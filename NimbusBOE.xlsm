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drawings/drawing5.xml" ContentType="application/vnd.openxmlformats-officedocument.drawing+xml"/>
  <Override PartName="/xl/charts/chart7.xml" ContentType="application/vnd.openxmlformats-officedocument.drawingml.chart+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https://ngc.sharepoint.us/sites/AS-Sector/NimbusTeam/Shared Documents/Model_Metrics/Updated_Metrics/"/>
    </mc:Choice>
  </mc:AlternateContent>
  <xr:revisionPtr revIDLastSave="166000" documentId="8_{0DCD780E-7664-4557-A131-151B40415524}" xr6:coauthVersionLast="47" xr6:coauthVersionMax="47" xr10:uidLastSave="{19089705-5D23-4929-B1F8-730A5E02853C}"/>
  <bookViews>
    <workbookView xWindow="-105" yWindow="0" windowWidth="38610" windowHeight="20985" xr2:uid="{00000000-000D-0000-FFFF-FFFF00000000}"/>
  </bookViews>
  <sheets>
    <sheet name="CleanData" sheetId="2" r:id="rId1"/>
    <sheet name="SuppCodes" sheetId="44" r:id="rId2"/>
    <sheet name="EP by Function" sheetId="41" r:id="rId3"/>
    <sheet name="PromoTable" sheetId="22" r:id="rId4"/>
    <sheet name="Promos_Stack_MonthX" sheetId="35" r:id="rId5"/>
    <sheet name="PIE" sheetId="38" r:id="rId6"/>
    <sheet name="Promotions" sheetId="10" r:id="rId7"/>
    <sheet name="Data" sheetId="1" r:id="rId8"/>
    <sheet name="MFC" sheetId="40" r:id="rId9"/>
  </sheets>
  <functionGroups builtInGroupCount="19"/>
  <definedNames>
    <definedName name="_xlnm._FilterDatabase" localSheetId="0" hidden="1">CleanData!$A$1:$K$680</definedName>
    <definedName name="_xlnm._FilterDatabase" localSheetId="7" hidden="1">Data!$A$1:$T$987</definedName>
    <definedName name="_xlnm._FilterDatabase" localSheetId="6" hidden="1">Promotions!$A$1:$BC$910</definedName>
    <definedName name="MyVAL">_xlfn.UNIQUE(#REF!)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57" i="40" l="1"/>
  <c r="AM57" i="40"/>
  <c r="AN56" i="40"/>
  <c r="AM56" i="40"/>
  <c r="AN55" i="40"/>
  <c r="AM55" i="40"/>
  <c r="AN54" i="40"/>
  <c r="AM54" i="40"/>
  <c r="AN53" i="40"/>
  <c r="AM53" i="40"/>
  <c r="AN52" i="40"/>
  <c r="AM52" i="40"/>
  <c r="AN51" i="40"/>
  <c r="AM51" i="40"/>
  <c r="AN50" i="40"/>
  <c r="AM50" i="40"/>
  <c r="AN49" i="40"/>
  <c r="AM49" i="40"/>
  <c r="AN48" i="40"/>
  <c r="AM48" i="40"/>
  <c r="AN47" i="40"/>
  <c r="AM47" i="40"/>
  <c r="AN46" i="40"/>
  <c r="AM46" i="40"/>
  <c r="AN45" i="40"/>
  <c r="AM45" i="40"/>
  <c r="AN44" i="40"/>
  <c r="AM44" i="40"/>
  <c r="AN43" i="40"/>
  <c r="AM43" i="40"/>
  <c r="AN42" i="40"/>
  <c r="AM42" i="40"/>
  <c r="AN41" i="40"/>
  <c r="AM41" i="40"/>
  <c r="AN40" i="40"/>
  <c r="AM40" i="40"/>
  <c r="AG40" i="40"/>
  <c r="AN39" i="40"/>
  <c r="AM39" i="40"/>
  <c r="AG39" i="40"/>
  <c r="AF39" i="40"/>
  <c r="AE39" i="40"/>
  <c r="AN38" i="40"/>
  <c r="AM38" i="40"/>
  <c r="AG38" i="40"/>
  <c r="AF38" i="40"/>
  <c r="AE38" i="40"/>
  <c r="AN37" i="40"/>
  <c r="AM37" i="40"/>
  <c r="AG37" i="40"/>
  <c r="AF37" i="40"/>
  <c r="AE37" i="40"/>
  <c r="AN36" i="40"/>
  <c r="AM36" i="40"/>
  <c r="AG36" i="40"/>
  <c r="AF36" i="40"/>
  <c r="AE36" i="40"/>
  <c r="AN35" i="40"/>
  <c r="AM35" i="40"/>
  <c r="AN34" i="40"/>
  <c r="AM34" i="40"/>
  <c r="AN33" i="40"/>
  <c r="AM33" i="40"/>
  <c r="AN32" i="40"/>
  <c r="AM32" i="40"/>
  <c r="AN31" i="40"/>
  <c r="AM31" i="40"/>
  <c r="AN30" i="40"/>
  <c r="AM30" i="40"/>
  <c r="AG30" i="40"/>
  <c r="AN29" i="40"/>
  <c r="AM29" i="40"/>
  <c r="AG29" i="40"/>
  <c r="AF29" i="40"/>
  <c r="AE29" i="40"/>
  <c r="AN28" i="40"/>
  <c r="AM28" i="40"/>
  <c r="AG28" i="40"/>
  <c r="AF28" i="40"/>
  <c r="AE28" i="40"/>
  <c r="AN27" i="40"/>
  <c r="AM27" i="40"/>
  <c r="AG27" i="40"/>
  <c r="AF27" i="40"/>
  <c r="AE27" i="40"/>
  <c r="AN26" i="40"/>
  <c r="AM26" i="40"/>
  <c r="AG26" i="40"/>
  <c r="AF26" i="40"/>
  <c r="AE26" i="40"/>
  <c r="AN25" i="40"/>
  <c r="AM25" i="40"/>
  <c r="AN24" i="40"/>
  <c r="AM24" i="40"/>
  <c r="AN23" i="40"/>
  <c r="AM23" i="40"/>
  <c r="AN22" i="40"/>
  <c r="AM22" i="40"/>
  <c r="AN21" i="40"/>
  <c r="AM21" i="40"/>
  <c r="AN20" i="40"/>
  <c r="AM20" i="40"/>
  <c r="AG20" i="40"/>
  <c r="AN19" i="40"/>
  <c r="AM19" i="40"/>
  <c r="AG19" i="40"/>
  <c r="AF19" i="40"/>
  <c r="AE19" i="40"/>
  <c r="AN18" i="40"/>
  <c r="AM18" i="40"/>
  <c r="AG18" i="40"/>
  <c r="AF18" i="40"/>
  <c r="AE18" i="40"/>
  <c r="AN17" i="40"/>
  <c r="AM17" i="40"/>
  <c r="AG17" i="40"/>
  <c r="AF17" i="40"/>
  <c r="AE17" i="40"/>
  <c r="AN16" i="40"/>
  <c r="AM16" i="40"/>
  <c r="AG16" i="40"/>
  <c r="AF16" i="40"/>
  <c r="AE16" i="40"/>
  <c r="AN15" i="40"/>
  <c r="AM15" i="40"/>
  <c r="AN14" i="40"/>
  <c r="AM14" i="40"/>
  <c r="AN13" i="40"/>
  <c r="AM13" i="40"/>
  <c r="AN12" i="40"/>
  <c r="AM12" i="40"/>
  <c r="AN11" i="40"/>
  <c r="AM11" i="40"/>
  <c r="AN10" i="40"/>
  <c r="AM10" i="40"/>
  <c r="AG10" i="40"/>
  <c r="AN9" i="40"/>
  <c r="AM9" i="40"/>
  <c r="AG9" i="40"/>
  <c r="AF9" i="40"/>
  <c r="AE9" i="40"/>
  <c r="AN8" i="40"/>
  <c r="AM8" i="40"/>
  <c r="AG8" i="40"/>
  <c r="AF8" i="40"/>
  <c r="AE8" i="40"/>
  <c r="AN7" i="40"/>
  <c r="AM7" i="40"/>
  <c r="AK7" i="40"/>
  <c r="AK8" i="40" s="1"/>
  <c r="AK9" i="40" s="1"/>
  <c r="AK10" i="40" s="1"/>
  <c r="AK11" i="40" s="1"/>
  <c r="AK12" i="40" s="1"/>
  <c r="AK13" i="40" s="1"/>
  <c r="AK14" i="40" s="1"/>
  <c r="AK15" i="40" s="1"/>
  <c r="AK16" i="40" s="1"/>
  <c r="AK17" i="40" s="1"/>
  <c r="AK18" i="40" s="1"/>
  <c r="AK19" i="40" s="1"/>
  <c r="AK20" i="40" s="1"/>
  <c r="AK21" i="40" s="1"/>
  <c r="AK22" i="40" s="1"/>
  <c r="AK23" i="40" s="1"/>
  <c r="AK24" i="40" s="1"/>
  <c r="AK25" i="40" s="1"/>
  <c r="AK26" i="40" s="1"/>
  <c r="AK27" i="40" s="1"/>
  <c r="AK28" i="40" s="1"/>
  <c r="AK29" i="40" s="1"/>
  <c r="AK30" i="40" s="1"/>
  <c r="AK31" i="40" s="1"/>
  <c r="AK32" i="40" s="1"/>
  <c r="AK33" i="40" s="1"/>
  <c r="AK34" i="40" s="1"/>
  <c r="AK35" i="40" s="1"/>
  <c r="AK36" i="40" s="1"/>
  <c r="AK37" i="40" s="1"/>
  <c r="AK38" i="40" s="1"/>
  <c r="AK39" i="40" s="1"/>
  <c r="AK40" i="40" s="1"/>
  <c r="AK41" i="40" s="1"/>
  <c r="AK42" i="40" s="1"/>
  <c r="AK43" i="40" s="1"/>
  <c r="AK44" i="40" s="1"/>
  <c r="AK45" i="40" s="1"/>
  <c r="AK46" i="40" s="1"/>
  <c r="AK47" i="40" s="1"/>
  <c r="AK48" i="40" s="1"/>
  <c r="AK49" i="40" s="1"/>
  <c r="AK50" i="40" s="1"/>
  <c r="AK51" i="40" s="1"/>
  <c r="AK52" i="40" s="1"/>
  <c r="AK53" i="40" s="1"/>
  <c r="AK54" i="40" s="1"/>
  <c r="AK55" i="40" s="1"/>
  <c r="AK56" i="40" s="1"/>
  <c r="AK57" i="40" s="1"/>
  <c r="AG7" i="40"/>
  <c r="AF7" i="40"/>
  <c r="AE7" i="40"/>
  <c r="AN6" i="40"/>
  <c r="AM6" i="40"/>
  <c r="AG6" i="40"/>
  <c r="AF6" i="40"/>
  <c r="AE6" i="40"/>
  <c r="AH3" i="40"/>
  <c r="AG3" i="40"/>
  <c r="AF3" i="40"/>
  <c r="AH2" i="40"/>
  <c r="AI2" i="40" s="1"/>
  <c r="AJ2" i="40" l="1"/>
  <c r="BD3" i="10" l="1" a="1"/>
  <c r="BD3"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Lopez De Victoria, Angel A [US] (AS)</author>
  </authors>
  <commentList>
    <comment ref="AG2" authorId="0" shapeId="0" xr:uid="{4BA83D80-CD89-486F-A96E-CB4DE0FE31C6}">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<sst xmlns="http://schemas.openxmlformats.org/spreadsheetml/2006/main" count="53826" uniqueCount="4110">
  <si>
    <t>Fiscal Year</t>
  </si>
  <si>
    <t>Fiscal Quarter</t>
  </si>
  <si>
    <t>Fiscal Month</t>
  </si>
  <si>
    <t>Pay Period Week Ending</t>
  </si>
  <si>
    <t>Week Ending Date</t>
  </si>
  <si>
    <t>Employee ID</t>
  </si>
  <si>
    <t>Att/Absence Type</t>
  </si>
  <si>
    <t>Supplemental 1</t>
  </si>
  <si>
    <t>Supplemental 2</t>
  </si>
  <si>
    <t>Supplemental 3</t>
  </si>
  <si>
    <t>Hours</t>
  </si>
  <si>
    <t>Chad Lauffer</t>
  </si>
  <si>
    <t>REG</t>
  </si>
  <si>
    <t>#</t>
  </si>
  <si>
    <t>NAT</t>
  </si>
  <si>
    <t>TRADES</t>
  </si>
  <si>
    <t>T&amp;E</t>
  </si>
  <si>
    <t>AEROSCI</t>
  </si>
  <si>
    <t>EVENTS</t>
  </si>
  <si>
    <t>VE</t>
  </si>
  <si>
    <t>IAT</t>
  </si>
  <si>
    <t>Nicholas Iain Georgeson</t>
  </si>
  <si>
    <t>HLW</t>
  </si>
  <si>
    <t>METRICS</t>
  </si>
  <si>
    <t>CLEAN UP</t>
  </si>
  <si>
    <t>David A Dickinson</t>
  </si>
  <si>
    <t>ADMIN</t>
  </si>
  <si>
    <t>CLEANUP</t>
  </si>
  <si>
    <t>PS</t>
  </si>
  <si>
    <t>TPS</t>
  </si>
  <si>
    <t>WSC</t>
  </si>
  <si>
    <t>CTT</t>
  </si>
  <si>
    <t>David Wayne Magee</t>
  </si>
  <si>
    <t>Cleanup</t>
  </si>
  <si>
    <t>PrOP  Trace</t>
  </si>
  <si>
    <t>Step Eng</t>
  </si>
  <si>
    <t>PSQ</t>
  </si>
  <si>
    <t>TAGUP</t>
  </si>
  <si>
    <t>SW</t>
  </si>
  <si>
    <t>PAUDIT</t>
  </si>
  <si>
    <t>INSTR</t>
  </si>
  <si>
    <t>Cathryn Leigh Curry</t>
  </si>
  <si>
    <t>Trades</t>
  </si>
  <si>
    <t>SLO</t>
  </si>
  <si>
    <t>SE</t>
  </si>
  <si>
    <t>SAFETY</t>
  </si>
  <si>
    <t>CLASS</t>
  </si>
  <si>
    <t>CDM</t>
  </si>
  <si>
    <t>Safety</t>
  </si>
  <si>
    <t>STEP ENG</t>
  </si>
  <si>
    <t>APEX</t>
  </si>
  <si>
    <t>PLANS</t>
  </si>
  <si>
    <t>TIM-COUP</t>
  </si>
  <si>
    <t>CSS</t>
  </si>
  <si>
    <t>PAL Docs</t>
  </si>
  <si>
    <t>EWW</t>
  </si>
  <si>
    <t>SEED</t>
  </si>
  <si>
    <t>PROMO</t>
  </si>
  <si>
    <t>PHM</t>
  </si>
  <si>
    <t>SCRM</t>
  </si>
  <si>
    <t>REQ</t>
  </si>
  <si>
    <t>ROLES</t>
  </si>
  <si>
    <t>SA</t>
  </si>
  <si>
    <t>PhM</t>
  </si>
  <si>
    <t>CONSULT</t>
  </si>
  <si>
    <t>SYSTEST</t>
  </si>
  <si>
    <t>AT</t>
  </si>
  <si>
    <t>CTM</t>
  </si>
  <si>
    <t>ZTA</t>
  </si>
  <si>
    <t>PCF</t>
  </si>
  <si>
    <t>STRUCT FST</t>
  </si>
  <si>
    <t>PMR</t>
  </si>
  <si>
    <t>TRB</t>
  </si>
  <si>
    <t>DAC</t>
  </si>
  <si>
    <t>MISSION PL</t>
  </si>
  <si>
    <t>TRADE</t>
  </si>
  <si>
    <t>SUMMIT</t>
  </si>
  <si>
    <t>TKRDEV</t>
  </si>
  <si>
    <t>PrOP Trace</t>
  </si>
  <si>
    <t>TAG UP</t>
  </si>
  <si>
    <t>TIBCOEA</t>
  </si>
  <si>
    <t>STATUS</t>
  </si>
  <si>
    <t>Tracker</t>
  </si>
  <si>
    <t>AvI</t>
  </si>
  <si>
    <t>ACTIONS</t>
  </si>
  <si>
    <t>TRNPROC</t>
  </si>
  <si>
    <t>SUBSYS</t>
  </si>
  <si>
    <t>DFC</t>
  </si>
  <si>
    <t>MBT&amp;E</t>
  </si>
  <si>
    <t>AW</t>
  </si>
  <si>
    <t>PAL Doc</t>
  </si>
  <si>
    <t>FTQ</t>
  </si>
  <si>
    <t>TPPVM</t>
  </si>
  <si>
    <t>PPB</t>
  </si>
  <si>
    <t>TRAINING</t>
  </si>
  <si>
    <t>IRB</t>
  </si>
  <si>
    <t>FS</t>
  </si>
  <si>
    <t>AERO</t>
  </si>
  <si>
    <t>Tool Cleanup</t>
  </si>
  <si>
    <t>Function</t>
  </si>
  <si>
    <t>Work</t>
  </si>
  <si>
    <t>Total Hours</t>
  </si>
  <si>
    <t>Employee Name</t>
  </si>
  <si>
    <t>Jan</t>
  </si>
  <si>
    <t>Feb</t>
  </si>
  <si>
    <t>Mar</t>
  </si>
  <si>
    <t>Apr</t>
  </si>
  <si>
    <t>May</t>
  </si>
  <si>
    <t>Jun</t>
  </si>
  <si>
    <t>Jul</t>
  </si>
  <si>
    <t>Grand Total</t>
  </si>
  <si>
    <t>Misc</t>
  </si>
  <si>
    <t>PAL DOCS</t>
  </si>
  <si>
    <t>PROP TRACE</t>
  </si>
  <si>
    <t>YTD Hours</t>
  </si>
  <si>
    <t>YTD Available Hours</t>
  </si>
  <si>
    <t>EP</t>
  </si>
  <si>
    <t>YTD Available Hours (from MFC 2025):</t>
  </si>
  <si>
    <t>Included months:</t>
  </si>
  <si>
    <t>Owner Group</t>
  </si>
  <si>
    <t>Diagrams Promoted</t>
  </si>
  <si>
    <t>Other Group Breakdown</t>
  </si>
  <si>
    <t>Engineering Group Breakdown</t>
  </si>
  <si>
    <t>Category</t>
  </si>
  <si>
    <t>Count</t>
  </si>
  <si>
    <t>Engineering</t>
  </si>
  <si>
    <t>(TBD)</t>
  </si>
  <si>
    <t>SI&amp;O</t>
  </si>
  <si>
    <t>New Diagrams</t>
  </si>
  <si>
    <t>Other</t>
  </si>
  <si>
    <t>Operations</t>
  </si>
  <si>
    <t>SRV</t>
  </si>
  <si>
    <t>Impacted by Change</t>
  </si>
  <si>
    <t>Security</t>
  </si>
  <si>
    <t>PM&amp;P</t>
  </si>
  <si>
    <t>Production</t>
  </si>
  <si>
    <t>Mission Assurance</t>
  </si>
  <si>
    <t>Supply Chain (GSC)</t>
  </si>
  <si>
    <t>Bus Mgmt (BM)</t>
  </si>
  <si>
    <t>Facilities</t>
  </si>
  <si>
    <t>Prog Mgmt (PM)</t>
  </si>
  <si>
    <t>Month</t>
  </si>
  <si>
    <t>NAT Hours</t>
  </si>
  <si>
    <t>January</t>
  </si>
  <si>
    <t>February</t>
  </si>
  <si>
    <t>March</t>
  </si>
  <si>
    <t>April</t>
  </si>
  <si>
    <t>June</t>
  </si>
  <si>
    <t>July</t>
  </si>
  <si>
    <t>Promotion Date</t>
  </si>
  <si>
    <t>Level</t>
  </si>
  <si>
    <t>Diagram Category (Identify Primary &amp; Verify Selection)</t>
  </si>
  <si>
    <t>Model Change Package Title</t>
  </si>
  <si>
    <t>PEACE Portal TRB Change Package Title OR Info Only</t>
  </si>
  <si>
    <t>PEACE Portal TRB Change Package Description</t>
  </si>
  <si>
    <t>NAT Contact</t>
  </si>
  <si>
    <t>SP Folder Created</t>
  </si>
  <si>
    <t>Tool Entry Created</t>
  </si>
  <si>
    <t>Related Files Posted</t>
  </si>
  <si>
    <t>CR Package Ready</t>
  </si>
  <si>
    <t>Doc Registry Item Attached</t>
  </si>
  <si>
    <t>Updated Doc Registry URL</t>
  </si>
  <si>
    <t>All Diagrams Included In Tracker</t>
  </si>
  <si>
    <t>Peer Review Complete</t>
  </si>
  <si>
    <t>Notes</t>
  </si>
  <si>
    <t>DSL UUID</t>
  </si>
  <si>
    <t>Diagram Level</t>
  </si>
  <si>
    <t>Draft Diagram Hyperlink</t>
  </si>
  <si>
    <t>Master Diagram Hyperlink</t>
  </si>
  <si>
    <t>Diagram Title</t>
  </si>
  <si>
    <t>Diagram Ownership by Function / CoP</t>
  </si>
  <si>
    <t>Draft Clean Diagram Status</t>
  </si>
  <si>
    <t>Master Clean Diagram Status</t>
  </si>
  <si>
    <t>Draft Template</t>
  </si>
  <si>
    <t>Master Template</t>
  </si>
  <si>
    <t>Owner</t>
  </si>
  <si>
    <t>Version</t>
  </si>
  <si>
    <t>Master Version</t>
  </si>
  <si>
    <t>Authorization</t>
  </si>
  <si>
    <t>Authorizer</t>
  </si>
  <si>
    <t>Overlap Disposition</t>
  </si>
  <si>
    <t>Multiple Occurrences</t>
  </si>
  <si>
    <t>Authorization Request Sent (Sent/Approved/Total)</t>
  </si>
  <si>
    <t>Authorized by POC</t>
  </si>
  <si>
    <t>Authorized by Eng Process TRB Chair</t>
  </si>
  <si>
    <t>Last Promotion Date</t>
  </si>
  <si>
    <t>Pre-Promotion In-Work Template</t>
  </si>
  <si>
    <t>Post-Promotion Template Changed in Draft (Not In-work)</t>
  </si>
  <si>
    <t>Post-Promotion Template Changed in Master (Not In-work)</t>
  </si>
  <si>
    <t>Non-engineering Approved Diagram Templates</t>
  </si>
  <si>
    <t>Links from Draft to Archive</t>
  </si>
  <si>
    <t>Links from Draft to Master</t>
  </si>
  <si>
    <t>Links from Master to Draft</t>
  </si>
  <si>
    <t>Links from Sandbox</t>
  </si>
  <si>
    <t>Diagram Links Errors</t>
  </si>
  <si>
    <t>Document Links Errors</t>
  </si>
  <si>
    <t>Broken FLL</t>
  </si>
  <si>
    <t>Total Errors</t>
  </si>
  <si>
    <t>PrOP/ Pal Document with Hyperlink to diagram</t>
  </si>
  <si>
    <t>Storyboard Impact</t>
  </si>
  <si>
    <t>Change Since Last Promotion</t>
  </si>
  <si>
    <t>Change Log Entries</t>
  </si>
  <si>
    <t>Master DSLID</t>
  </si>
  <si>
    <t>GUID</t>
  </si>
  <si>
    <t>1.7.5</t>
  </si>
  <si>
    <t>Other Primary</t>
  </si>
  <si>
    <t>PM Admin update</t>
  </si>
  <si>
    <t>Cat</t>
  </si>
  <si>
    <t>N/A</t>
  </si>
  <si>
    <t>70C792133F3B46A7ADCCF7A15AF6F5BB</t>
  </si>
  <si>
    <t>1.7.5 Draft Copy</t>
  </si>
  <si>
    <t>Manage Program Reviews</t>
  </si>
  <si>
    <t>Unclaimed</t>
  </si>
  <si>
    <t>1a_(Standard) Unclaimed</t>
  </si>
  <si>
    <t>Jamie Dunham</t>
  </si>
  <si>
    <t>0.34.2</t>
  </si>
  <si>
    <t>Update Pending</t>
  </si>
  <si>
    <t>Cathryn Curry</t>
  </si>
  <si>
    <t>No</t>
  </si>
  <si>
    <t>0/0/1</t>
  </si>
  <si>
    <t>4/26/2021</t>
  </si>
  <si>
    <t>Yes</t>
  </si>
  <si>
    <t>Good</t>
  </si>
  <si>
    <t>D0-5770</t>
  </si>
  <si>
    <t>• Template "1a_(Standard) Unclaimed" Applied (scope: Diagram Scope List File) (Nicholas Georgeson - 01/27/2024)
• Template "1a_(Standard) Unclaimed" Applied (scope: Diagram Scope List File) (Nicholas Georgeson - 01/27/2024)
• Template "1c_(Standard) Engineering Approved" Applied (scope: Diagram Scope List File) (David Magee - 02/23/2024)
• Template "1a_(Standard) Unclaimed" Applied (scope: Diagram Scope List File) (David Magee - 02/23/2024)</t>
  </si>
  <si>
    <t>087CFE3B86AC4B438CA4C2E6EE813BCF</t>
  </si>
  <si>
    <t>B79613B7C16546A8B153E0274ACD7E5E</t>
  </si>
  <si>
    <t>1.11.6</t>
  </si>
  <si>
    <t>New Content - NDA Process</t>
  </si>
  <si>
    <t>227504F8E2B04F5890B08C84DE4EB6B0</t>
  </si>
  <si>
    <t>1.11.6 Draft Copy</t>
  </si>
  <si>
    <t>Supply Chain Supporting Processes</t>
  </si>
  <si>
    <t>Not to be claimed</t>
  </si>
  <si>
    <t>1d_(Standard) Not to be claimed</t>
  </si>
  <si>
    <t>1/26/2020</t>
  </si>
  <si>
    <t>• Template "1d_(Standard) Not to be claimed" Applied (scope: Diagram Scope List File) (Nicholas Georgeson - 01/27/2024)
• Template "1d_(Standard) Not to be claimed" Applied (scope: Diagram Scope List File) (Nicholas Georgeson - 01/27/2024)
• Template "1c_(Standard) Engineering Approved" Applied (scope: Diagram Scope List File) (David Magee - 02/23/2024)
• Template "1d_(Standard) Not to be claimed" Applied (scope: Diagram Scope List File) (David Magee - 02/23/2024)</t>
  </si>
  <si>
    <t>4ED83517C99E4F1C9DEF63B5A4989089</t>
  </si>
  <si>
    <t>A37D451FA5094D97AE203E91D3CB9ADC</t>
  </si>
  <si>
    <t>1.11.6.23</t>
  </si>
  <si>
    <t>78096BA19755435D8514B0B154779AFB</t>
  </si>
  <si>
    <t>1.11.6.23 Draft Copy</t>
  </si>
  <si>
    <t>Manage Non-disclosure Agreement (NDA)</t>
  </si>
  <si>
    <t>0.34</t>
  </si>
  <si>
    <t>3/6/2025</t>
  </si>
  <si>
    <t>A0222A1623214BDABCD7A20CE1425D20</t>
  </si>
  <si>
    <t>1.11.6.23.1</t>
  </si>
  <si>
    <t>22B28326E6E14AE1A59FF94447DBD23E</t>
  </si>
  <si>
    <t>1.11.6.23.1 Draft Copy</t>
  </si>
  <si>
    <t>Initiate NDA</t>
  </si>
  <si>
    <t>2/18/2025</t>
  </si>
  <si>
    <t>7225D08637B648228DF70AA8A1F268F9</t>
  </si>
  <si>
    <t>1.11.6.23.2</t>
  </si>
  <si>
    <t>C865857FE40E402B88500D3343B1A7CE</t>
  </si>
  <si>
    <t>1.11.6.23.2 Draft Copy</t>
  </si>
  <si>
    <t>Negotiate &amp; Execute NDA</t>
  </si>
  <si>
    <t>27EAFC8E77334593963D668D4C8B84DA</t>
  </si>
  <si>
    <t>1.11.6.23.3</t>
  </si>
  <si>
    <t>A7AC2304827E4D028537870A1121CA64</t>
  </si>
  <si>
    <t>1.11.6.23.3 Draft Copy</t>
  </si>
  <si>
    <t>Perform Under NDA</t>
  </si>
  <si>
    <t>9E9567BAA6CF4ABCA280620415163B9D</t>
  </si>
  <si>
    <t>1.11.6.23.4</t>
  </si>
  <si>
    <t>29C8BAC82AC54F1BBF4EB8D8BA5E163A</t>
  </si>
  <si>
    <t>1.11.6.23.4 Draft Copy</t>
  </si>
  <si>
    <t>Initiate NDA Amendment</t>
  </si>
  <si>
    <t>2E302C88EAC94DA289994065C5AA926C</t>
  </si>
  <si>
    <t>1.11.6.23.5</t>
  </si>
  <si>
    <t>B0E3D128DE974831ABA859AAF34DB896</t>
  </si>
  <si>
    <t>1.11.6.23.5 Draft Copy</t>
  </si>
  <si>
    <t>Close NDA</t>
  </si>
  <si>
    <t>1D8D9860C33241268248CC30EC07CB9D</t>
  </si>
  <si>
    <t>1.7.4</t>
  </si>
  <si>
    <t>1F371AB5A0D548EFAE59EC8EA1B3A0C6</t>
  </si>
  <si>
    <t>1.7.4 Draft Copy</t>
  </si>
  <si>
    <t>Manage Program Performance</t>
  </si>
  <si>
    <t>2a_(In-work) Unclaimed</t>
  </si>
  <si>
    <t>0.34.9</t>
  </si>
  <si>
    <t>0.34.8</t>
  </si>
  <si>
    <t>D0-5700</t>
  </si>
  <si>
    <t>005BC1FD4B114F2193A3F131DCEF8216</t>
  </si>
  <si>
    <t>3F11FF77601A4450A556FE61DE9B9085</t>
  </si>
  <si>
    <t>1.11.3.2.4</t>
  </si>
  <si>
    <t>2FF83E1CEC3846B58E05232BE3B84028</t>
  </si>
  <si>
    <t>1.11.3.2.4 Draft Copy</t>
  </si>
  <si>
    <t>Manage Imports / Exports</t>
  </si>
  <si>
    <t>0.34.3</t>
  </si>
  <si>
    <t xml:space="preserve">DSEA Export Process Activity 3, DSEA Export Process Activity 10, </t>
  </si>
  <si>
    <t>• Template "1c_(Standard) Engineering Approved" Applied (scope: Diagram Scope List File) (David Magee - 02/23/2024)
• Template "1a_(Standard) Unclaimed" Applied (scope: Diagram Scope List File) (David Magee - 02/23/2024)</t>
  </si>
  <si>
    <t>6494B975FC2944E390484038A48E547C</t>
  </si>
  <si>
    <t>255978ABC2AE4450B39C018D56AE8C39</t>
  </si>
  <si>
    <t>1.11.2.5.1.7.1.3.4.1.4.4</t>
  </si>
  <si>
    <t>Eng TRB Return (primary)</t>
  </si>
  <si>
    <t>SE / WSC: CTT</t>
  </si>
  <si>
    <t>SE - Cyber Table-Top (CTT)</t>
  </si>
  <si>
    <t>Pappy</t>
  </si>
  <si>
    <t>5557B9F5300040DE93E02DAD05EB4BEF</t>
  </si>
  <si>
    <t>1.11.2.5.1.7.1.3.4.1.4.4 Draft Copy</t>
  </si>
  <si>
    <t xml:space="preserve">Conduct Platform Risk Assessments </t>
  </si>
  <si>
    <t>Engineering Approved</t>
  </si>
  <si>
    <t>1c_(Standard) Engineering Approved</t>
  </si>
  <si>
    <t>Jonathan Wallhauser</t>
  </si>
  <si>
    <t>2</t>
  </si>
  <si>
    <t>0/0/2</t>
  </si>
  <si>
    <t>1/14/2021</t>
  </si>
  <si>
    <t>• Template "1c_(Standard) Engineering Approved" Applied (scope: Diagram Scope List File) (David Magee - 02/23/2024)</t>
  </si>
  <si>
    <t>3C9A21CB0CF84F71A359D22298D989B5</t>
  </si>
  <si>
    <t>A8484D9F65A74B55A7A69A1719215168</t>
  </si>
  <si>
    <t>1.11.2.5.1.7.1.3.4.1.4.4.3</t>
  </si>
  <si>
    <t>Eng TRB Initial</t>
  </si>
  <si>
    <t>839CCF89A4E542C28CFEBAF28FBC7DD3</t>
  </si>
  <si>
    <t>1.11.2.5.1.7.1.3.4.1.4.4.3 Draft Copy</t>
  </si>
  <si>
    <t>Conduct Platform MBCRA</t>
  </si>
  <si>
    <t>1</t>
  </si>
  <si>
    <t>4CA1E646F2304BD889A7CAFDFA50C706</t>
  </si>
  <si>
    <t>1.11.2.5.1.7.1.3.4.1.4.4.3.3</t>
  </si>
  <si>
    <t>490F5B3E958C40D399717E2C7347D98E</t>
  </si>
  <si>
    <t>1.11.2.5.1.7.1.3.4.1.4.4.3.3 Draft Copy</t>
  </si>
  <si>
    <t>Conduct Platform CTT Risk Assessment</t>
  </si>
  <si>
    <t>9/9/2024</t>
  </si>
  <si>
    <t>B1D6DF1113484D829398EA6C948E312A</t>
  </si>
  <si>
    <t>1.11.2.5.1.7.1.3.4.1.4.4.3.3.1</t>
  </si>
  <si>
    <t>B8D799194CA54A7982240F2D7A774F00</t>
  </si>
  <si>
    <t>1.11.2.5.1.7.1.3.4.1.4.4.3.3.1 Draft Copy</t>
  </si>
  <si>
    <t>Prepare for CTT Risk Assessment</t>
  </si>
  <si>
    <t>BE70891965E44185B708E690C3367E0D</t>
  </si>
  <si>
    <t>1.11.2.5.1.7.1.3.4.1.4.4.3.3.1.1</t>
  </si>
  <si>
    <t>860960C3A64C4E4A8328BEF852C6CEE2</t>
  </si>
  <si>
    <t>1.11.2.5.1.7.1.3.4.1.4.4.3.3.1.1 Draft Copy</t>
  </si>
  <si>
    <t>Establish CTT Teams</t>
  </si>
  <si>
    <t>3/3/2025</t>
  </si>
  <si>
    <t>36BFDB7545C341798DB0DB68537E8787</t>
  </si>
  <si>
    <t>1.11.2.5.1.7.1.3.4.1.4.4.3.3.1.2</t>
  </si>
  <si>
    <t>7D1AB18BA097495ABE88480C4E33A81B</t>
  </si>
  <si>
    <t>1.11.2.5.1.7.1.3.4.1.4.4.3.3.1.2 Draft Copy</t>
  </si>
  <si>
    <t>Define CTT Missions</t>
  </si>
  <si>
    <t>10/2/2024</t>
  </si>
  <si>
    <t>BC53C7EB85114624AF90D309E0FA5629</t>
  </si>
  <si>
    <t>1.11.2.5.1.7.1.3.4.1.4.4.3.3.1.2.1</t>
  </si>
  <si>
    <t>7154720FE89C4B8887438E1DFF0E9304</t>
  </si>
  <si>
    <t>1.11.2.5.1.7.1.3.4.1.4.4.3.3.1.2.1 Draft Copy</t>
  </si>
  <si>
    <t>Define CTT Operational Team Mission &amp; Scenario</t>
  </si>
  <si>
    <t>CE9890965A5A445CA88EBDE153728D3B</t>
  </si>
  <si>
    <t>1.11.2.5.1.7.1.3.4.1.4.4.3.3.1.2.2</t>
  </si>
  <si>
    <t>42D620B9AFE449D8934B238BDED20D37</t>
  </si>
  <si>
    <t>1.11.2.5.1.7.1.3.4.1.4.4.3.3.1.2.2 Draft Copy</t>
  </si>
  <si>
    <t>Define Cyber OPFOR Mission</t>
  </si>
  <si>
    <t>10/17/2024</t>
  </si>
  <si>
    <t>882C3B6A8A574311ADE8B09BDAA62214</t>
  </si>
  <si>
    <t>1.11.2.5.1.7.1.3.4.1.4.4.3.3.2</t>
  </si>
  <si>
    <t>E434CD951F6F4B78813EE361CD223AFF</t>
  </si>
  <si>
    <t>1.11.2.5.1.7.1.3.4.1.4.4.3.3.2 Draft Copy</t>
  </si>
  <si>
    <t>Execute CTT Risk Assessment</t>
  </si>
  <si>
    <t>9/10/2024</t>
  </si>
  <si>
    <t>CEB5C13A3AC04D169FAE768A05B8D4E2</t>
  </si>
  <si>
    <t>1.11.2.5.1.7.1.3.4.1.4.4.3.3.2.1</t>
  </si>
  <si>
    <t>FC9111C6F0144AF0A35DCF441478FC8A</t>
  </si>
  <si>
    <t>1.11.2.5.1.7.1.3.4.1.4.4.3.3.2.1 Draft Copy</t>
  </si>
  <si>
    <t>Conduct Kick-off</t>
  </si>
  <si>
    <t>9/24/2024</t>
  </si>
  <si>
    <t>0396B6A273404A62BA853939C3A1227F</t>
  </si>
  <si>
    <t>1.11.2.5.1.7.1.3.4.1.4.4.3.3.2.2</t>
  </si>
  <si>
    <t>8FDA4F08ABF1436C9E7A374D837F4D30</t>
  </si>
  <si>
    <t>1.11.2.5.1.7.1.3.4.1.4.4.3.3.2.2 Draft Copy</t>
  </si>
  <si>
    <t>Perform CTT Collaboration</t>
  </si>
  <si>
    <t>10/24/2024</t>
  </si>
  <si>
    <t>F4220910D46041B3B6ABD2288A62972F</t>
  </si>
  <si>
    <t>1.11.2.5.1.7.1.3.4.1.4.4.3.3.3</t>
  </si>
  <si>
    <t>56FAF56304FB438899289582C3C4D9D3</t>
  </si>
  <si>
    <t>1.11.2.5.1.7.1.3.4.1.4.4.3.3.3 Draft Copy</t>
  </si>
  <si>
    <t>Conduct Post-exercise Analysis</t>
  </si>
  <si>
    <t>C510C7290D1D478089434816393E1439</t>
  </si>
  <si>
    <t>1.11.2.5.1.7.1.3.4.1.4.4.3.3.3.2</t>
  </si>
  <si>
    <t>5EBB990B8E704D2FA0AC08D32CC97A59</t>
  </si>
  <si>
    <t>1.11.2.5.1.7.1.3.4.1.4.4.3.3.3.2 Draft Copy</t>
  </si>
  <si>
    <t>Complete Working Meeting 1 Homework</t>
  </si>
  <si>
    <t>411A485218F845329902D11B266AA830</t>
  </si>
  <si>
    <t>1.11.2.5.1.7.1.3.4.1.4.4.3.3.3.4</t>
  </si>
  <si>
    <t>2047444290BF4124B391770DEE53D171</t>
  </si>
  <si>
    <t>1.11.2.5.1.7.1.3.4.1.4.4.3.3.3.4 Draft Copy</t>
  </si>
  <si>
    <t>Complete Working Meeting 2 Homework</t>
  </si>
  <si>
    <t>76DB94F35B434F76BEB5CB9AE3FBE05D</t>
  </si>
  <si>
    <t>1.11.2.5.1.7.1.3.4.1.4.4.3.3.4</t>
  </si>
  <si>
    <t>CA8FFC4D788E4FBE9A6B739EC163928D</t>
  </si>
  <si>
    <t>1.11.2.5.1.7.1.3.4.1.4.4.3.3.4 Draft Copy</t>
  </si>
  <si>
    <t>Report CTT Risk Assessment Results</t>
  </si>
  <si>
    <t>D534CB4C48E5452B82C022634211DC74</t>
  </si>
  <si>
    <t>1.11.2.5.1.7.1</t>
  </si>
  <si>
    <t>Eng TRB Return (secondary / impacted)</t>
  </si>
  <si>
    <t>364C62509A5B4BC9B3771DD3EE81E05C</t>
  </si>
  <si>
    <t>1.11.2.5.1.7.1 Draft Copy</t>
  </si>
  <si>
    <t>Manage Weapon System Security Engineering (SSE)</t>
  </si>
  <si>
    <t>5</t>
  </si>
  <si>
    <t>4/22/2022</t>
  </si>
  <si>
    <t>8CE7AB47241E4C129AACE657E2077971</t>
  </si>
  <si>
    <t>F443CA38C5B14241B23AB1E184EE400D</t>
  </si>
  <si>
    <t>1.11.2.5.1.7.1.3.4</t>
  </si>
  <si>
    <t>2F5348AAAA2643E993A8AE5DF803C1B4</t>
  </si>
  <si>
    <t>1.11.2.5.1.7.1.3.4 Draft Copy</t>
  </si>
  <si>
    <t>Manage Platform Risk Management Framework (RMF)</t>
  </si>
  <si>
    <t>11</t>
  </si>
  <si>
    <t>12/13/2019</t>
  </si>
  <si>
    <t>• Template "1c_(Standard) Engineering Approved" Applied (scope: Diagram Scope List File) (David Magee - 02/23/2024)
• Template "2c_(In-work) Engineering Approved" Applied (scope: Current Diagram) (David Dickinson - 04/22/2024)
• Class I change. Added new flow line link connections for "Initial Platform RAR" &amp; "Platform RAR" to new SW Diagram. (David Dickinson - 04/24/2024)
• Class II change. Added new flow line link connections for "Initial Platform RAR" &amp; "Platform RAR" to new TPPVM diagram. (David Dickinson - 05/30/2024)</t>
  </si>
  <si>
    <t>BAF1B2FC1D824592A673C3FC95E8F175</t>
  </si>
  <si>
    <t>B8F0481EBA684084A6B5CA6E2AFCCA9E</t>
  </si>
  <si>
    <t>1.11.2.5.1.7.1.3.4.1</t>
  </si>
  <si>
    <t>A29E7CA07C0C4BB9BE9E50FD57F24E75</t>
  </si>
  <si>
    <t>1.11.2.5.1.7.1.3.4.1 Draft Copy</t>
  </si>
  <si>
    <t>Establish Security Baseline</t>
  </si>
  <si>
    <t>6</t>
  </si>
  <si>
    <t>4/11/2022</t>
  </si>
  <si>
    <t>•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(David Magee - 02/23/2024)</t>
  </si>
  <si>
    <t>677EF47F14824305BEF9E635DF8B0A1E</t>
  </si>
  <si>
    <t>30D277FA929F492AB17918FDE1551A1F</t>
  </si>
  <si>
    <t>1.11.2.5.1.7.1.3.4.1.1</t>
  </si>
  <si>
    <t>5D78AE1D039D43508DE96069B49090C4</t>
  </si>
  <si>
    <t>1.11.2.5.1.7.1.3.4.1.1 Draft Copy</t>
  </si>
  <si>
    <t xml:space="preserve">Prepare System Baseline </t>
  </si>
  <si>
    <t>8</t>
  </si>
  <si>
    <t>• Template "2c_(In-work) Engineering Approved" Applied (scope: Current Diagram) (David Dickinson - 05/30/2024)</t>
  </si>
  <si>
    <t>AB89E92F516443C9B301831F36FBFAD8</t>
  </si>
  <si>
    <t>F345EEC177784E2E9F236DC8B356677E</t>
  </si>
  <si>
    <t>1.11.2.5.1.7.1.3.4.1.1.1</t>
  </si>
  <si>
    <t>555A64D7CDD04B71BC36100F8E792C5C</t>
  </si>
  <si>
    <t>1.11.2.5.1.7.1.3.4.1.1.1 Draft Copy</t>
  </si>
  <si>
    <t>Determine Platform Authorization Boundary</t>
  </si>
  <si>
    <t>4</t>
  </si>
  <si>
    <t>CEFCF901FFBF4BABB686A51983DC02A1</t>
  </si>
  <si>
    <t>741AF2DF40D444558BA575EFB989C1D6</t>
  </si>
  <si>
    <t>1.11.2.5.1.7.1.3.4.1.2</t>
  </si>
  <si>
    <t>B0504CDCBFB24329A0EA987E67D30812</t>
  </si>
  <si>
    <t>1.11.2.5.1.7.1.3.4.1.2 Draft Copy</t>
  </si>
  <si>
    <t xml:space="preserve">Categorize System &amp; Information </t>
  </si>
  <si>
    <t>0719C4C1A3914E3B843C12F9653B052E</t>
  </si>
  <si>
    <t>3CDB417574934478B7070FEC1BD1F74C</t>
  </si>
  <si>
    <t>1.11.2.5.1.7.1.3.4.1.4</t>
  </si>
  <si>
    <t>C97B1C95496449AA9C3D6B0D2C9ECE2A</t>
  </si>
  <si>
    <t>1.11.2.5.1.7.1.3.4.1.4 Draft Copy</t>
  </si>
  <si>
    <t>Generate Initial Cybersecurity Risk Artifacts</t>
  </si>
  <si>
    <t>4/21/2022</t>
  </si>
  <si>
    <t>0BBB52A042524D619025A01B8C7EF5DB</t>
  </si>
  <si>
    <t>C352E702ED604ABFBCC7CE838339DEF2</t>
  </si>
  <si>
    <t>1.11.2.5.1.7.1.3.4.1.4.4.2</t>
  </si>
  <si>
    <t>1B8681672511437AB7781DE6BB3491E3</t>
  </si>
  <si>
    <t>1.11.2.5.1.7.1.3.4.1.4.4.2 Draft Copy</t>
  </si>
  <si>
    <t>Conduct Platform Threat-based Cyber Risk Assessment</t>
  </si>
  <si>
    <t>4/6/2023</t>
  </si>
  <si>
    <t>53685B64A7A94F4AB541FE94B202919E</t>
  </si>
  <si>
    <t>8528E4E0F50C43A88F64460E7C9E3EFF</t>
  </si>
  <si>
    <t>1.11.2.5.1.7.1.3.4.1.4.4.2.3</t>
  </si>
  <si>
    <t>8455D0E8521145F7B507A6742D029651</t>
  </si>
  <si>
    <t>1.11.2.5.1.7.1.3.4.1.4.4.2.3 Draft Copy</t>
  </si>
  <si>
    <t xml:space="preserve">Generate Platform RAR </t>
  </si>
  <si>
    <t>3/2/2021</t>
  </si>
  <si>
    <t>98513CB777394617AAAF33AC95AF233A</t>
  </si>
  <si>
    <t>CE48F70D95FD468D9DDC0D4D03A87C3E</t>
  </si>
  <si>
    <t>1.11.2.5.1.7.1.3.4.1.4.4.3.2</t>
  </si>
  <si>
    <t>548BA870512B4C4CB29BC26E8CBC97B5</t>
  </si>
  <si>
    <t>1.11.2.5.1.7.1.3.4.1.4.4.3.2 Draft Copy</t>
  </si>
  <si>
    <t>Conduct Platform Cyber Survivability Risk Assessment</t>
  </si>
  <si>
    <t>11/9/2022</t>
  </si>
  <si>
    <t>49883F60BC454FFD95E6EDED551F0EDC</t>
  </si>
  <si>
    <t>1.11.2.5.1.7.1.3.4.1.4.4.3.2.1</t>
  </si>
  <si>
    <t>C75F159D7E984FB880BE688DD3D043FE</t>
  </si>
  <si>
    <t>1.11.2.5.1.7.1.3.4.1.4.4.3.2.1 Draft Copy</t>
  </si>
  <si>
    <t>Plan for CSRA</t>
  </si>
  <si>
    <t>3</t>
  </si>
  <si>
    <t>11/10/2022</t>
  </si>
  <si>
    <t>830FEB67649347DB9FBBC4B3E0B7D318</t>
  </si>
  <si>
    <t>1.11.2.5.1.7.1.3.4.1.4.4.3.2.1.1</t>
  </si>
  <si>
    <t>02931857413842D6A447EBC08A4634DF</t>
  </si>
  <si>
    <t>1.11.2.5.1.7.1.3.4.1.4.4.3.2.1.1 Draft Copy</t>
  </si>
  <si>
    <t>Define CSRA</t>
  </si>
  <si>
    <t>11/17/2022</t>
  </si>
  <si>
    <t>8440543DB80C487F952BD07B6667C736</t>
  </si>
  <si>
    <t>1.11.2.5.1.7.1.3.4.1.4.4.3.2.2</t>
  </si>
  <si>
    <t>A96450166EC74685A38E967BE723203A</t>
  </si>
  <si>
    <t>1.11.2.5.1.7.1.3.4.1.4.4.3.2.2 Draft Copy</t>
  </si>
  <si>
    <t>Perform CSRA</t>
  </si>
  <si>
    <t>DFDF679690C94616A832B47B084FB523</t>
  </si>
  <si>
    <t>1.11.2.5.1.7.1.3.4.1.4.4.3.2.2.1</t>
  </si>
  <si>
    <t>3816CF3DAE4B4226911D67320E2DD70C</t>
  </si>
  <si>
    <t>1.11.2.5.1.7.1.3.4.1.4.4.3.2.2.1 Draft Copy</t>
  </si>
  <si>
    <t>Develop Mission Model</t>
  </si>
  <si>
    <t>11/30/2022</t>
  </si>
  <si>
    <t>• Template "1c_(Standard) Engineering Approved" Applied (scope: Diagram Scope List File) (David Magee - 02/26/2024)</t>
  </si>
  <si>
    <t>6394F3800898439A9E145764C05E96AA</t>
  </si>
  <si>
    <t>1.11.2.5.1.7.1.3.4.1.4.4.3.2.2.2</t>
  </si>
  <si>
    <t>F1E8359735994546A58643C75C31C1FA</t>
  </si>
  <si>
    <t>1.11.2.5.1.7.1.3.4.1.4.4.3.2.2.2 Draft Copy</t>
  </si>
  <si>
    <t>Develop Adversary Model</t>
  </si>
  <si>
    <t>176BE8067F754D288E3140D043B72CC2</t>
  </si>
  <si>
    <t>1.11.2.5.1.7.1.3.4.1.4.4.3.2.2.4</t>
  </si>
  <si>
    <t>58DB39A2941244F8B364E685E54E70D0</t>
  </si>
  <si>
    <t>1.11.2.5.1.7.1.3.4.1.4.4.3.2.2.4 Draft Copy</t>
  </si>
  <si>
    <t>Develop Platform Model for Specific Viewpoint</t>
  </si>
  <si>
    <t>1/13/2023</t>
  </si>
  <si>
    <t>712D76924A6D4A29B5B7E61072FFF706</t>
  </si>
  <si>
    <t>1.11.2.5.1.7.1.3.4.1.4.4.3.2.2.4.1</t>
  </si>
  <si>
    <t>508FF8D58A7E49729B1D568784F307C8</t>
  </si>
  <si>
    <t>1.11.2.5.1.7.1.3.4.1.4.4.3.2.2.4.1 Draft Copy</t>
  </si>
  <si>
    <t>Develop Platform Model for 1st Viewpoint (SRR/SFR)</t>
  </si>
  <si>
    <t>191E1EB9E2CB4B0B924F83BCF55DF307</t>
  </si>
  <si>
    <t>1.11.2.5.1.7.1.3.4.1.4.4.3.2.2.4.2</t>
  </si>
  <si>
    <t>E99325F3BADE40769D3D0F743411848C</t>
  </si>
  <si>
    <t>1.11.2.5.1.7.1.3.4.1.4.4.3.2.2.4.2 Draft Copy</t>
  </si>
  <si>
    <t>Develop Platform Model for 2nd Viewpoint (PDR)</t>
  </si>
  <si>
    <t>9ABB195E24FE4D8B93DE5811F0BD459E</t>
  </si>
  <si>
    <t>1.11.2.5.1.7.1.3.4.1.4.4.3.2.2.4.2.2</t>
  </si>
  <si>
    <t>789F2DC82607450B8AD05E309E80BE5F</t>
  </si>
  <si>
    <t>1.11.2.5.1.7.1.3.4.1.4.4.3.2.2.4.2.2 Draft Copy</t>
  </si>
  <si>
    <t>Evaluate 2nd Viewpoint</t>
  </si>
  <si>
    <t>12/3/2022</t>
  </si>
  <si>
    <t>91839EEB0305453BA09F531EA7AD33E0</t>
  </si>
  <si>
    <t>1.11.2.5.1.7.1.3.4.1.4.4.3.2.2.4.3</t>
  </si>
  <si>
    <t>112C617FC8AA481C95CB641CD44B6B71</t>
  </si>
  <si>
    <t>1.11.2.5.1.7.1.3.4.1.4.4.3.2.2.4.3 Draft Copy</t>
  </si>
  <si>
    <t>Develop Platform Model for 3rd Viewpoint (CDR)</t>
  </si>
  <si>
    <t>12B22B34B82041FFB86635EFA3274925</t>
  </si>
  <si>
    <t>1.11.2.5.1.7.1.3.4.1.4.4.3.2.2.4.3.2</t>
  </si>
  <si>
    <t>4ADF11E100E046AFAC515FB5A9572D24</t>
  </si>
  <si>
    <t>1.11.2.5.1.7.1.3.4.1.4.4.3.2.2.4.3.2 Draft Copy</t>
  </si>
  <si>
    <t>Evaluate 3rd Viewpoint</t>
  </si>
  <si>
    <t>40C95CB1EEF647D191AEC71CF05C04E6</t>
  </si>
  <si>
    <t>1.11.2.5.1.7.1.3.4.1.4.4.3.2.3</t>
  </si>
  <si>
    <t>25FCBF23C2D74B339A3F186C55940BB6</t>
  </si>
  <si>
    <t>1.11.2.5.1.7.1.3.4.1.4.4.3.2.3 Draft Copy</t>
  </si>
  <si>
    <t>Report CSRA Results</t>
  </si>
  <si>
    <t>C90BD9FBA5F5416CA5B07710ECE505BE</t>
  </si>
  <si>
    <t>1.11.2.5.1.7.1.3.4.1.4.4.3.2.3.5</t>
  </si>
  <si>
    <t>0DE8FA18471446F8B8CE3A44D1CD3717</t>
  </si>
  <si>
    <t>1.11.2.5.1.7.1.3.4.1.4.4.3.2.3.5 Draft Copy</t>
  </si>
  <si>
    <t>Develop Platform CSRA Report</t>
  </si>
  <si>
    <t>3/2/2023</t>
  </si>
  <si>
    <t>B2C18119618F443E9DA12F18DC890CDC</t>
  </si>
  <si>
    <t>1.11.2.5.1.7.1.3.4.2</t>
  </si>
  <si>
    <t>EBD08FFE9BAE4A95BB4D32B7A01CC753</t>
  </si>
  <si>
    <t>1.11.2.5.1.7.1.3.4.2 Draft Copy</t>
  </si>
  <si>
    <t xml:space="preserve">Implement Security Controls </t>
  </si>
  <si>
    <t>9</t>
  </si>
  <si>
    <t>B637065C604449908A8722356AAC8A5D</t>
  </si>
  <si>
    <t>16F9B04378424285A1B9AB99394D796B</t>
  </si>
  <si>
    <t>1.11.2.5.1.7.1.3.4.2.3</t>
  </si>
  <si>
    <t>734A0199E1044BF38B989C464F4A67DA</t>
  </si>
  <si>
    <t>1.11.2.5.1.7.1.3.4.2.3 Draft Copy</t>
  </si>
  <si>
    <t>Implement Technical Security Controls on System(s)</t>
  </si>
  <si>
    <t>• Template "1c_(Standard) Engineering Approved" Applied (scope: Diagram Scope List File) (Cathryn Curry - 11/19/2023)
• Template "2c_(In-work) Engineering Approved" Applied (scope: Current Diagram) (David Dickinson - 04/22/2024)
• Class I change. Renamed activity box #2 from Perform System Security Engineering (SSE) Analysis of SW Code Vulnerabilities to Perform SSE Analysis of SW Code Vulnerabilities. Changed output of box #2 from SSE Static Analysis Summary Report to System Security Engineering (SSE) Static Analysis Summary Report.  Removed the flow line link Software Storage Location Ready For Use that was input into box #2. This link was added to lower-level diagram. Replaced the Build Automation flow line link with the Software Development Environment flow line link. (David Dickinson - 04/24/2024)</t>
  </si>
  <si>
    <t>1639385F1AB04E1FAFC2195A85163A0B</t>
  </si>
  <si>
    <t>E0157AD33F494FE99014046E6825BB4E</t>
  </si>
  <si>
    <t>1.11.2.5.1.7.1.3.4.2.3.1</t>
  </si>
  <si>
    <t>BAE195392C16430E8343685CBC387C73</t>
  </si>
  <si>
    <t>1.11.2.5.1.7.1.3.4.2.3.1 Draft Copy</t>
  </si>
  <si>
    <t>Manage Platform Network Vulnerabilities</t>
  </si>
  <si>
    <t>2B53222300964D22BB5CED96663931D5</t>
  </si>
  <si>
    <t>B640BC8409F448E2A6F6ADA09CF8AACB</t>
  </si>
  <si>
    <t>1.11.2.5.1.7.1.3.4.2.3.1.1</t>
  </si>
  <si>
    <t>72A541E49AF24861B2E7B5FB936D220F</t>
  </si>
  <si>
    <t>1.11.2.5.1.7.1.3.4.2.3.1.1 Draft Copy</t>
  </si>
  <si>
    <t>Prepare for Network Vulnerability Analysis</t>
  </si>
  <si>
    <t>5/18/2022</t>
  </si>
  <si>
    <t>38F21DBE6A5546EBAB790DB2D2583387</t>
  </si>
  <si>
    <t>04A15091C0564248A8DB82934B61E85B</t>
  </si>
  <si>
    <t>1.11.2.5.1.7.1.3.4.2.3.1.2</t>
  </si>
  <si>
    <t>BE8EF00771E743E980755F3EE3278997</t>
  </si>
  <si>
    <t>1.11.2.5.1.7.1.3.4.2.3.1.2 Draft Copy</t>
  </si>
  <si>
    <t>Analyze Network Vulnerabilities</t>
  </si>
  <si>
    <t>5/20/2022</t>
  </si>
  <si>
    <t>FCC5390899164E488CE3F86BAF66FC50</t>
  </si>
  <si>
    <t>31A1218DD71E4099B5DEB0C2E0D053AB</t>
  </si>
  <si>
    <t>1.11.2.5.1.7.1.3.4.2.3.2A</t>
  </si>
  <si>
    <t>6AF7AC28D64F488BB1FDA61574540244</t>
  </si>
  <si>
    <t>1.11.2.5.1.7.1.3.4.2.3.2A Draft Copy</t>
  </si>
  <si>
    <t>Perform SSE Analysis of SW Code Vulnerabilities</t>
  </si>
  <si>
    <t>6/14/2023</t>
  </si>
  <si>
    <t>• Template "2b_(In-work) Claimed" Applied (scope: Current Diagram) (David Dickinson - 04/22/2024)</t>
  </si>
  <si>
    <t>32CF25A0E0E34B15BD14D7EE7A901371</t>
  </si>
  <si>
    <t>AEE1C9FF3AA74954AD52ACE3C3764426</t>
  </si>
  <si>
    <t>1.11.2.5.1.7.1.3.4.2.3.2B</t>
  </si>
  <si>
    <t>067D4AC15BF44B86B1251BD08B1AB4C1</t>
  </si>
  <si>
    <t>1.11.2.5.1.7.1.3.4.2.3.2B Draft Copy</t>
  </si>
  <si>
    <t>Perform SSE Analysis of SW Code Vulnerabilities (Build Automation)</t>
  </si>
  <si>
    <t>8/17/2022</t>
  </si>
  <si>
    <t>• Template "2c_(In-work) Engineering Approved" Applied (scope: Current Diagram) (David Dickinson - 04/22/2024)
• Class I change. Changed Build Automation input to Software Development Environment and changed Software Storage Location Ready For Use input  to a flow line link input since it was removed from the parent diagram. (David Dickinson - 04/24/2024)</t>
  </si>
  <si>
    <t>07FE85FD842B462D9FD5FA907D1B49EB</t>
  </si>
  <si>
    <t>A6397E03EAE3458D8A70E9EB2C96669A</t>
  </si>
  <si>
    <t>1.11.2.5.1.7.1.3.4.2.3.2B.1</t>
  </si>
  <si>
    <t>5D88B438460A4E1A8F21FA41A8B26628</t>
  </si>
  <si>
    <t>1.11.2.5.1.7.1.3.4.2.3.2B.1 Draft Copy</t>
  </si>
  <si>
    <t>Configure SSE Static Code Analysis</t>
  </si>
  <si>
    <t>10/27/2022</t>
  </si>
  <si>
    <t>• Template "2c_(In-work) Engineering Approved" Applied (scope: Current Diagram) (David Dickinson - 04/22/2024)
• Class I change. Changed Build Automation input from parent int box #1 and flow line link input into box #4 to "Software Development Environment". (David Dickinson - 04/24/2024)</t>
  </si>
  <si>
    <t>15679EBD65DF4F67845838538C2A5877</t>
  </si>
  <si>
    <t>E48ECA58C41F405F92AA6D03369B7B4C</t>
  </si>
  <si>
    <t>1.11.2.5.1.7.1.3.4.2.3.2B.1.2</t>
  </si>
  <si>
    <t>D15287BB789D4CB5A2DDB458E8E8DCA2</t>
  </si>
  <si>
    <t>1.11.2.5.1.7.1.3.4.2.3.2B.1.2 Draft Copy</t>
  </si>
  <si>
    <t>Perform Vulnerability Analysis</t>
  </si>
  <si>
    <t>12/7/2022</t>
  </si>
  <si>
    <t>44930860438749F399DC10559A82C6AE</t>
  </si>
  <si>
    <t>9AE82E4AB58D448197CABAE463F6BFA1</t>
  </si>
  <si>
    <t>1.11.2.5.1.7.1.3.4.3</t>
  </si>
  <si>
    <t>F29FC6A469064DA78A9BDE4A31BE3AAD</t>
  </si>
  <si>
    <t>1.11.2.5.1.7.1.3.4.3 Draft Copy</t>
  </si>
  <si>
    <t>Assess Security Controls</t>
  </si>
  <si>
    <t>7</t>
  </si>
  <si>
    <t>69C4F3F5FFFC44CDB08E09270DFDDAE4</t>
  </si>
  <si>
    <t>8DD8700C7C454F1D980188A0C7B7E15E</t>
  </si>
  <si>
    <t>1.11.2.5.1.7.1.3.4.3.2</t>
  </si>
  <si>
    <t>795F90AD16484FB7A47EC22ED29C79B0</t>
  </si>
  <si>
    <t>1.11.2.5.1.7.1.3.4.3.2 Draft Copy</t>
  </si>
  <si>
    <t>Develop Assessment Reports</t>
  </si>
  <si>
    <t>A172C807EDDB4ABAB526B44B90BF8B2D</t>
  </si>
  <si>
    <t>A349F063DA13415F8604AF7401B37F79</t>
  </si>
  <si>
    <t>1.11.2.5.1.7.1.3.4.4</t>
  </si>
  <si>
    <t>F23B438158504F588D8BF230B49E59C8</t>
  </si>
  <si>
    <t>1.11.2.5.1.7.1.3.4.4 Draft Copy</t>
  </si>
  <si>
    <t>Authorize the System</t>
  </si>
  <si>
    <t>27651423FCBC415191AA6A05FA5962CA</t>
  </si>
  <si>
    <t>B742553916084055A1508578E4F06EC0</t>
  </si>
  <si>
    <t>1.11.2.5.1.7.1.3.4.5.3.3</t>
  </si>
  <si>
    <t>9F2CF3584D214D69A0A4168526939462</t>
  </si>
  <si>
    <t>1.11.2.5.1.7.1.3.4.5.3.3 Draft Copy</t>
  </si>
  <si>
    <t>Evaluate Cybersecurity Impact</t>
  </si>
  <si>
    <t>FAFE425A312A49E9A8FCE82FF92D83C1</t>
  </si>
  <si>
    <t>6204F2B88CC946C7912A7C7FC7D12B04</t>
  </si>
  <si>
    <t>1.11.2.5.1.7.2.5.3.2</t>
  </si>
  <si>
    <t>CDDC991198E04B0D875879FA8F059F4A</t>
  </si>
  <si>
    <t>1.11.2.5.1.7.2.5.3.2 Draft Copy</t>
  </si>
  <si>
    <t>Identify Third-party Security Certification Requirements</t>
  </si>
  <si>
    <t>5/2/2024</t>
  </si>
  <si>
    <t>5CACFCD4B0F14CEC98F66EFAF9FC9806</t>
  </si>
  <si>
    <t>11B86002C3BA46D08FC3CDC40233AFD6</t>
  </si>
  <si>
    <t>1.3.1.3.4</t>
  </si>
  <si>
    <t>A3BCA29320604E538AD689650D07A58B</t>
  </si>
  <si>
    <t>1.3.1.3.4 Draft Copy</t>
  </si>
  <si>
    <t xml:space="preserve">Coordinate Use of Architecture </t>
  </si>
  <si>
    <t>SE-MBSE</t>
  </si>
  <si>
    <t>Kathleen Doherty</t>
  </si>
  <si>
    <t>1/24/2020</t>
  </si>
  <si>
    <t>D6E00EB9F0B84501A3E6F8E7DF51A947</t>
  </si>
  <si>
    <t>56CA162B15F94D84A350C09DD23E6A39</t>
  </si>
  <si>
    <t>1.3.2A.1</t>
  </si>
  <si>
    <t>0D22F2B278274116BF0B754380AA1E86</t>
  </si>
  <si>
    <t>1.3.2A.1 Draft Copy</t>
  </si>
  <si>
    <t>Define System / Segment / Element (Common)</t>
  </si>
  <si>
    <t>SE-SE&amp;I</t>
  </si>
  <si>
    <t>Alma King</t>
  </si>
  <si>
    <t>14</t>
  </si>
  <si>
    <t>9878BCEB525140A0BDEBB92A39AA6922</t>
  </si>
  <si>
    <t>C28B90672E1145DC81A5722FDD789112</t>
  </si>
  <si>
    <t>1.3.3.1.2.5A.3.1</t>
  </si>
  <si>
    <t>065E9EBE219C40BBB5A0F217202818AE</t>
  </si>
  <si>
    <t>1.3.3.1.2.5A.3.1 Draft Copy</t>
  </si>
  <si>
    <t>Design SW Factory</t>
  </si>
  <si>
    <t>Jean Szakovits</t>
  </si>
  <si>
    <t>Denis Pomerleau</t>
  </si>
  <si>
    <t>4/18/2024</t>
  </si>
  <si>
    <t>A1D304EF5A7444F1BC65C81D342A929A</t>
  </si>
  <si>
    <t>59AE22825D894C53998CE0170C4AFEB0</t>
  </si>
  <si>
    <t>1.9.1</t>
  </si>
  <si>
    <t>3A7E71727E9447508387D20D9EE42CBD</t>
  </si>
  <si>
    <t>1.9.1 Draft Copy</t>
  </si>
  <si>
    <t>Manage Records / Data</t>
  </si>
  <si>
    <t>SE-CDM</t>
  </si>
  <si>
    <t>Andrew Schaefer</t>
  </si>
  <si>
    <t>D0-7231</t>
  </si>
  <si>
    <t>56BF9AC5B903402EA27C739D6F84BFB8</t>
  </si>
  <si>
    <t>710638E050FF4520B8E90EA65E00FEFC</t>
  </si>
  <si>
    <t>1.6</t>
  </si>
  <si>
    <t>Impacted Unclaimed Diagram (not for approval)</t>
  </si>
  <si>
    <t>7F68FD334C4A433397C8B5110CAE423B</t>
  </si>
  <si>
    <t>1.6 Draft Copy</t>
  </si>
  <si>
    <t>Perform Business Management</t>
  </si>
  <si>
    <t>0.34.10</t>
  </si>
  <si>
    <t>David Dickinson</t>
  </si>
  <si>
    <t xml:space="preserve">Manage Program Resource Rqmts (WAD Walk through) Activity 3, </t>
  </si>
  <si>
    <t>90752FDFABF24B8699F0F921F53D4A2A</t>
  </si>
  <si>
    <t>E6E7CB4A4C7C4052BEA02F631D911144</t>
  </si>
  <si>
    <t>1.2</t>
  </si>
  <si>
    <t>52850D0A80EA4D60AF63259F7ACC6D94</t>
  </si>
  <si>
    <t>1.2 Draft Copy</t>
  </si>
  <si>
    <t>Establish Program (BAP 5)</t>
  </si>
  <si>
    <t>0.34.7</t>
  </si>
  <si>
    <t xml:space="preserve">nan Activity 5, nan Activity 5, nan Activity 5, nan Activity 5, D0-5200 Manage Requirements Activity 5, nan Activity 5, nan Activity 5, D0-5200 Manage Requirements - Full Activity 6, nan Activity 8, nan Activity 8, nan Activity 8, nan Activity 8, D0-5200 Manage Requirements Activity 8, nan Activity 8, nan Activity 8, D0-5200 Manage Requirements - Full Activity 9, </t>
  </si>
  <si>
    <t>• Template "2a_(In-work) Unclaimed" Applied (scope: Current Diagram) (David Dickinson - 05/22/2024)
• Class I change. Added two flow line links to new SW diagrams for "Programmatic Requirements" and the "IFC Strategic Plan". (David Dickinson - 05/22/2024)
• Class I change. Added flow line link for "SOW" to new Cyber TPPVM diagram. (David Dickinson - 05/30/2024)</t>
  </si>
  <si>
    <t>0509B241088A4E36972AC66098BF0144</t>
  </si>
  <si>
    <t>A54031E23B634F2CA10F2466A6CCAD5C</t>
  </si>
  <si>
    <t>1.9.1.1</t>
  </si>
  <si>
    <t>Impacted Not to be Claimed Diagram (not for approval)</t>
  </si>
  <si>
    <t>4914BDDA759C420E9427ED2AAEC2DCFA</t>
  </si>
  <si>
    <t>1.9.1.1 Draft Copy</t>
  </si>
  <si>
    <t>Review &amp; Release Documents</t>
  </si>
  <si>
    <t>0.34.13</t>
  </si>
  <si>
    <t>E0-7128, E0-7425, ESM7413, WSM0308</t>
  </si>
  <si>
    <t>• Template "2d_(In-work) Not to be claimed" Applied (scope: Current Diagram) (David Dickinson - 05/30/2024)</t>
  </si>
  <si>
    <t>D5D2C1C1658944BAA12887DA17C08640</t>
  </si>
  <si>
    <t>2369852202B5484E88791779794E1337</t>
  </si>
  <si>
    <t>1.11.2.5.11</t>
  </si>
  <si>
    <t>3156B4EC643B49A0B18A18A673A7A0F0</t>
  </si>
  <si>
    <t>1.11.2.5.11 Draft Copy</t>
  </si>
  <si>
    <t>Assign Criticalities</t>
  </si>
  <si>
    <t>SE-Design Int</t>
  </si>
  <si>
    <t>0.34.1</t>
  </si>
  <si>
    <t>2/25/2021</t>
  </si>
  <si>
    <t>20B5D6C913FA41FCA8B85970E0F13723</t>
  </si>
  <si>
    <t>F8C765315A8B4751B68833CD952246E4</t>
  </si>
  <si>
    <t>1.11.3.2.14</t>
  </si>
  <si>
    <t>63E29DA47E9B4F60B0E8066462F6C8C7</t>
  </si>
  <si>
    <t>1.11.3.2.14 Draft Copy</t>
  </si>
  <si>
    <t>Manage Formal Correspondence with Customer</t>
  </si>
  <si>
    <t>8/12/2021</t>
  </si>
  <si>
    <t>• Template "2a_(In-work) Unclaimed" Applied (scope: Current Diagram) (David Dickinson - 05/30/2024)</t>
  </si>
  <si>
    <t>D30188EA850145D89D2685A22062EDA6</t>
  </si>
  <si>
    <t>11CCB604BF9C431EA5674F8DDCFD9982</t>
  </si>
  <si>
    <t>1.11.2.5.1.7.2.4</t>
  </si>
  <si>
    <t>Promotion Only</t>
  </si>
  <si>
    <t>0CD93842D0BC4800B0ED642AABA64A28</t>
  </si>
  <si>
    <t>1.11.2.5.1.7.2.4 Draft Copy</t>
  </si>
  <si>
    <t>Develop Platform Plan Of Action &amp; Milestones</t>
  </si>
  <si>
    <t>4EF9B94C85DB425186B92AA7B4B5C71D</t>
  </si>
  <si>
    <t>F846EC2F1D484560A7C0BDDF56A25E6C</t>
  </si>
  <si>
    <t>1.11.2.5.1.7.2.3</t>
  </si>
  <si>
    <t>11EB2B71EE4A4029A04BD0B3DD388968</t>
  </si>
  <si>
    <t>1.11.2.5.1.7.2.3 Draft Copy</t>
  </si>
  <si>
    <t>Develop Platform System Security Plan (SSP)</t>
  </si>
  <si>
    <t>Jay Dorney</t>
  </si>
  <si>
    <t>4/27/2022</t>
  </si>
  <si>
    <t>A5FD4468BE3143BB97BB1BC82E74D8F2</t>
  </si>
  <si>
    <t>39A6526D8D5A4CEA8E26C5CFDCBD0585</t>
  </si>
  <si>
    <t>1.3.2A.4.1.6</t>
  </si>
  <si>
    <t>40B5725393BB4043BE5B05749F6D6027</t>
  </si>
  <si>
    <t>1.3.2A.4.1.6 Draft Copy</t>
  </si>
  <si>
    <t>Codify &amp; Implement Subsystem Design</t>
  </si>
  <si>
    <t>David DesBois</t>
  </si>
  <si>
    <t>3DA4F02A87F748D9A72B8AA4A9B6791C</t>
  </si>
  <si>
    <t>F8837F0B53814A24A9C233DC1FDE048D</t>
  </si>
  <si>
    <t>1.3.3.3.1.5.1</t>
  </si>
  <si>
    <t>6F337A11CE5B4DBEAB08EFAB4C83DE11</t>
  </si>
  <si>
    <t>1.3.3.3.1.5.1 Draft Copy</t>
  </si>
  <si>
    <t>Integrate &amp; Test Network Subsystem</t>
  </si>
  <si>
    <t>BCCACE382B054F93B009E2F3CED23E43</t>
  </si>
  <si>
    <t>31FDE0DA291D4382B01336CD0291A910</t>
  </si>
  <si>
    <t>1.11.2.5.1.7.1.3.4.1.4.4.3.2.1.4</t>
  </si>
  <si>
    <t>E1468597F65E4BE5BE1AF793F08088D2</t>
  </si>
  <si>
    <t>1.11.2.5.1.7.1.3.4.1.4.4.3.2.1.4 Draft Copy</t>
  </si>
  <si>
    <t>Monitor CSRA</t>
  </si>
  <si>
    <t>11/19/2022</t>
  </si>
  <si>
    <t>C3D3F19116C54CC9AC6489EF7954AFA9</t>
  </si>
  <si>
    <t>1.11.2.5.1.7.1.3.4.1.4.4.3.2.2.4.1.2</t>
  </si>
  <si>
    <t>881D55229B404CAD8A56BE7F7EA31AB1</t>
  </si>
  <si>
    <t>1.11.2.5.1.7.1.3.4.1.4.4.3.2.2.4.1.2 Draft Copy</t>
  </si>
  <si>
    <t>Evaluate 1st Viewpoint</t>
  </si>
  <si>
    <t>7002FDBD631D4CE688D324D995CB07CB</t>
  </si>
  <si>
    <t>1.12</t>
  </si>
  <si>
    <t>Facilities: Fair &amp; Reasonable Evaluation</t>
  </si>
  <si>
    <t>Chad</t>
  </si>
  <si>
    <t>038CE4F06FEF42478EDE0E64F8DA9F85</t>
  </si>
  <si>
    <t>1.12 Draft Copy</t>
  </si>
  <si>
    <t>Infrastructure Processes</t>
  </si>
  <si>
    <t>0.34.4</t>
  </si>
  <si>
    <t>4168EA0781F946F9AE92DFF9C134701F</t>
  </si>
  <si>
    <t>F61AE997AB6A400FA6A1C58274B99AC8</t>
  </si>
  <si>
    <t>1.12.14</t>
  </si>
  <si>
    <t>CCE2813119604EAFB8834B8B7C9CCAF5</t>
  </si>
  <si>
    <t>1.12.14 Draft Copy</t>
  </si>
  <si>
    <t>Facilities Processes</t>
  </si>
  <si>
    <t>4a_Images (Navigation &amp; Title Only)</t>
  </si>
  <si>
    <t>Not Found</t>
  </si>
  <si>
    <t>3/11/2025</t>
  </si>
  <si>
    <t>43775D54D3A2430D9FB897E82E209CFF</t>
  </si>
  <si>
    <t>1.12.14.1</t>
  </si>
  <si>
    <t>C46AE006242146409A6E69BDEE9BCCEC</t>
  </si>
  <si>
    <t>1.12.14.1 Draft Copy</t>
  </si>
  <si>
    <t>Conduct Fair &amp; Reasonable (F&amp;R) Evaluation</t>
  </si>
  <si>
    <t>Facilities-Estimating</t>
  </si>
  <si>
    <t>Claimed</t>
  </si>
  <si>
    <t>1b_(Standard) Claimed</t>
  </si>
  <si>
    <t>Lisa Pole</t>
  </si>
  <si>
    <t>Sonny Mangio</t>
  </si>
  <si>
    <t>F05635ED221B45DB9F53E5D7DB4CBB80</t>
  </si>
  <si>
    <t>1.12.14.1.1</t>
  </si>
  <si>
    <t>10BD55E778EF4AF4A7C2F17251024619</t>
  </si>
  <si>
    <t>1.12.14.1.1 Draft Copy</t>
  </si>
  <si>
    <t>Initiate F&amp;R Evaluation</t>
  </si>
  <si>
    <t>2/27/2025</t>
  </si>
  <si>
    <t>0FFE9B85074B41EAAC0A2376AB126D06</t>
  </si>
  <si>
    <t>1.12.14.1.3</t>
  </si>
  <si>
    <t>0F8564CFC00F4F09B029072330B84F94</t>
  </si>
  <si>
    <t>1.12.14.1.3 Draft Copy</t>
  </si>
  <si>
    <t>Conduct Independent Cost Estimate</t>
  </si>
  <si>
    <t>3/4/2025</t>
  </si>
  <si>
    <t>5A5854CE91074A44B1496FD6AC060E8B</t>
  </si>
  <si>
    <t>1.12.14.1.4</t>
  </si>
  <si>
    <t>735EE88C9B36401B913121FA6D0F860D</t>
  </si>
  <si>
    <t>1.12.14.1.4 Draft Copy</t>
  </si>
  <si>
    <t>Conduct Price Analysis</t>
  </si>
  <si>
    <t>46C13B8713FA415BBD06BFD5C85351B8</t>
  </si>
  <si>
    <t>1.12.14.2</t>
  </si>
  <si>
    <t>CDEB530BE4114B1B95104FC61E98E81D</t>
  </si>
  <si>
    <t>1.12.14.2 Draft Copy</t>
  </si>
  <si>
    <t>Manage Facilities Supplier Contracts</t>
  </si>
  <si>
    <t>Facilities-Project Management</t>
  </si>
  <si>
    <t>94DBBABCDECC4F8F85C1CC14442497B1</t>
  </si>
  <si>
    <t>1.11.1</t>
  </si>
  <si>
    <t>8E76EA601288482F87E778CC7EF90C95</t>
  </si>
  <si>
    <t>1.11.1 Draft Copy</t>
  </si>
  <si>
    <t>Conceptual Diagrams / Images</t>
  </si>
  <si>
    <t>• Template "1d_(Standard) Not to be claimed" Applied (scope: Diagram Scope List File) (David Magee - 02/26/2024)
• Template "1d_(Standard) Not to be claimed" Applied (scope: Diagram Scope List File) (David Magee - 02/26/2024)</t>
  </si>
  <si>
    <t>C53D2FF6170A4AFE9FBCA32EC514F90A</t>
  </si>
  <si>
    <t>37A7DCB29784473DB69327D8ED699070</t>
  </si>
  <si>
    <t>1.11.1.23</t>
  </si>
  <si>
    <t>1.11.1.23 Draft Copy</t>
  </si>
  <si>
    <t>3/20/2025</t>
  </si>
  <si>
    <t>3E3FE2DABBB74304A721D7FA4DFB0FC6</t>
  </si>
  <si>
    <t>1.2.2</t>
  </si>
  <si>
    <t>Facilities: SPUR</t>
  </si>
  <si>
    <t>B5B2B5A96CFC435F92D39094ADF9C0A0</t>
  </si>
  <si>
    <t>1.2.2 Draft Copy</t>
  </si>
  <si>
    <t>Define Program Structure &amp; Integration Approach</t>
  </si>
  <si>
    <t xml:space="preserve">Manage Program Resource Rqmts (WAD Walk through) Activity 2, </t>
  </si>
  <si>
    <t>898680A2F51C40E5A2300F0249796155</t>
  </si>
  <si>
    <t>11DD8904AB6A4D618F43A74CD196BEA3</t>
  </si>
  <si>
    <t>1.3.4</t>
  </si>
  <si>
    <t>4B8456D21ADB48229E789D67491C74F1</t>
  </si>
  <si>
    <t>1.3.4 Draft Copy</t>
  </si>
  <si>
    <t>Plan Ground &amp; Flight Tests</t>
  </si>
  <si>
    <t>T&amp;E-Flight Test</t>
  </si>
  <si>
    <t>Robert Gudikunst</t>
  </si>
  <si>
    <t>12</t>
  </si>
  <si>
    <t>E0-7415, ESM7314</t>
  </si>
  <si>
    <t xml:space="preserve">Establish Flying Test Bed Activity 41, Establish Flying Test Bed Activity 42, Establish Flying Test Bed Activity 43, Establish Flying Test Bed Activity 69, Establish Flying Test Bed Activity 70, Establish Flying Test Bed Activity 78, Establish Flying Test Bed Activity 79, </t>
  </si>
  <si>
    <t>563178BD56B9460196DAAC4984F2B71D</t>
  </si>
  <si>
    <t>2944DE9FC1F0450ABB68A3D3A4F62AB7</t>
  </si>
  <si>
    <t>0.34.11</t>
  </si>
  <si>
    <t>1.11.2.6.12.1.2</t>
  </si>
  <si>
    <t>964347D5245747CD960C706505DF47F0</t>
  </si>
  <si>
    <t>1.11.2.6.12.1.2 Draft Copy</t>
  </si>
  <si>
    <t>Design Lab Environment</t>
  </si>
  <si>
    <t>T&amp;E-Lab Design</t>
  </si>
  <si>
    <t>Derek Grimm</t>
  </si>
  <si>
    <t>06E94F9945D84542A30022732BDFAD04</t>
  </si>
  <si>
    <t>F36A5F8202EB44B3B35DF15BBFD4BE7E</t>
  </si>
  <si>
    <t>1.12.8.3</t>
  </si>
  <si>
    <t>58436198D5A6479DA9EB6472FD5BDEB4</t>
  </si>
  <si>
    <t>1.12.8.3 Draft Copy</t>
  </si>
  <si>
    <t>Manage Facility Operations</t>
  </si>
  <si>
    <t>9/27/2022</t>
  </si>
  <si>
    <t>4113C174BAFD4656ABEBE5E8CE7C70DF</t>
  </si>
  <si>
    <t>1500897596A342838CD73CFBB36D84AD</t>
  </si>
  <si>
    <t>Facilities Infrastructure Processes</t>
  </si>
  <si>
    <t>Facilities-Other</t>
  </si>
  <si>
    <t>36CBE395AAA8400CBF042A225595572F</t>
  </si>
  <si>
    <t>1.12.14.3</t>
  </si>
  <si>
    <t>1FC2CE8CB4224DF6A0BFF1CA3B29104E</t>
  </si>
  <si>
    <t>1.12.14.3 Draft Copy</t>
  </si>
  <si>
    <t>Manage Space Utilization Requirements (SPUR)</t>
  </si>
  <si>
    <t>Facilities-Planning</t>
  </si>
  <si>
    <t>Kathryn McKenzie</t>
  </si>
  <si>
    <t>0.31</t>
  </si>
  <si>
    <t>3/21/2025</t>
  </si>
  <si>
    <t>E12D5679F8834820AF9E6EDE234B710A</t>
  </si>
  <si>
    <t>1.12.14.3.5</t>
  </si>
  <si>
    <t>A0B180E721604AC882F4436455FB4589</t>
  </si>
  <si>
    <t>1.12.14.3.5 Draft Copy</t>
  </si>
  <si>
    <t>Manage Sector SPUR Requests</t>
  </si>
  <si>
    <t>A503B5D93B4441D6B5C16B8AD58AE4D0</t>
  </si>
  <si>
    <t>1.12.14.3.5.1</t>
  </si>
  <si>
    <t>C065AA3DD8E0416E95609676F290D016</t>
  </si>
  <si>
    <t>1.12.14.3.5.1 Draft Copy</t>
  </si>
  <si>
    <t>Develop &amp; Validate Requirements (SPUR 1)</t>
  </si>
  <si>
    <t>3/26/2025</t>
  </si>
  <si>
    <t>22517783C4444E3D97DAE1E8902F97DA</t>
  </si>
  <si>
    <t>1.12.14.3.5.1.1</t>
  </si>
  <si>
    <t>B107AD4C763B40A2A4FB1D8EA5D7BB47</t>
  </si>
  <si>
    <t>1.12.14.3.5.1.1 Draft Copy</t>
  </si>
  <si>
    <t>Develop Requirements</t>
  </si>
  <si>
    <t>8A60B30B61BD4A41B491193A4EE0AD77</t>
  </si>
  <si>
    <t>1.12.14.3.5.1.1.1</t>
  </si>
  <si>
    <t>AC242312D47340868976BDBDC62706A6</t>
  </si>
  <si>
    <t>1.12.14.3.5.1.1.1 Draft Copy</t>
  </si>
  <si>
    <t>Develop Sector SPUR 1 Package</t>
  </si>
  <si>
    <t>4/2/2025</t>
  </si>
  <si>
    <t>79A98DC36C514C4488CA4036475A2084</t>
  </si>
  <si>
    <t>1.12.14.3.5.1.2</t>
  </si>
  <si>
    <t>62A4BFB993A042BF9636B6C7C1547AA8</t>
  </si>
  <si>
    <t>1.12.14.3.5.1.2 Draft Copy</t>
  </si>
  <si>
    <t>Coordinate Meeting Logistics</t>
  </si>
  <si>
    <t>A501C4C394464758815C35CD83F20D07</t>
  </si>
  <si>
    <t>1.12.14.3.5.1.3</t>
  </si>
  <si>
    <t>9DDA6C481D054197BBEDC536F3044D79</t>
  </si>
  <si>
    <t>1.12.14.3.5.1.3 Draft Copy</t>
  </si>
  <si>
    <t>Conduct SPUR 1 Meeting</t>
  </si>
  <si>
    <t>FC66FD4950E64D859AD62EE6E9DEF485</t>
  </si>
  <si>
    <t>1.12.14.3.5.2</t>
  </si>
  <si>
    <t>33B9841E1FE3463796C4DA357BA4E92B</t>
  </si>
  <si>
    <t>1.12.14.3.5.2 Draft Copy</t>
  </si>
  <si>
    <t>Develop Options (SPUR 2)</t>
  </si>
  <si>
    <t>F43BCF00688940E6AFB30D2585028684</t>
  </si>
  <si>
    <t>1.12.14.3.5.2.1</t>
  </si>
  <si>
    <t>66F201A4B3FB4C91A1C8931B5D02EF52</t>
  </si>
  <si>
    <t>1.12.14.3.5.2.1 Draft Copy</t>
  </si>
  <si>
    <t>Develop Options</t>
  </si>
  <si>
    <t>EE563F47AB22444B9DBFCCBE88839E1A</t>
  </si>
  <si>
    <t>1.12.14.3.5.2.2</t>
  </si>
  <si>
    <t>7627D535E5A54C77B6ED98F5F0463CFA</t>
  </si>
  <si>
    <t>1.12.14.3.5.2.2 Draft Copy</t>
  </si>
  <si>
    <t>7948F799B13F42329C7D5531FD90ACC7</t>
  </si>
  <si>
    <t>1.12.14.3.5.2.3</t>
  </si>
  <si>
    <t>CAD95754105247FD8C15B539587CEF7E</t>
  </si>
  <si>
    <t>1.12.14.3.5.2.3 Draft Copy</t>
  </si>
  <si>
    <t>Conduct SPUR 2 Meeting</t>
  </si>
  <si>
    <t>8A24B44E20C6493FBF5AD9EBB206D770</t>
  </si>
  <si>
    <t>1.12.14.3.5.3</t>
  </si>
  <si>
    <t>7A6529CDA1534F378C800CB296E9AA83</t>
  </si>
  <si>
    <t>1.12.14.3.5.3 Draft Copy</t>
  </si>
  <si>
    <t>Select Option (SPUR 3)</t>
  </si>
  <si>
    <t>B8804111DC464618A6CAFE34B0DB903F</t>
  </si>
  <si>
    <t>1.12.14.3.5.3.1</t>
  </si>
  <si>
    <t>358B8A5691B44663B2ECB209067F2A29</t>
  </si>
  <si>
    <t>1.12.14.3.5.3.1 Draft Copy</t>
  </si>
  <si>
    <t>Down-select Option Set</t>
  </si>
  <si>
    <t>8B8DA67D056A4AB7938ABFA235F7080F</t>
  </si>
  <si>
    <t>1.12.14.3.5.3.2</t>
  </si>
  <si>
    <t>FC711522CED445C7ACBB56D42814730B</t>
  </si>
  <si>
    <t>1.12.14.3.5.3.2 Draft Copy</t>
  </si>
  <si>
    <t>146C20D266EC46868B9A233D0CAFC119</t>
  </si>
  <si>
    <t>1.12.14.3.5.3.3</t>
  </si>
  <si>
    <t>18109B0291F446529E50A469D54B4316</t>
  </si>
  <si>
    <t>1.12.14.3.5.3.3 Draft Copy</t>
  </si>
  <si>
    <t>Conduct SPUR 3 Meeting</t>
  </si>
  <si>
    <t>DDB0DB8F81194358AE766D45E35A1E56</t>
  </si>
  <si>
    <t>1.12.14.3.6</t>
  </si>
  <si>
    <t>9F4B21CF00D843459A4F67E89A42F1A9</t>
  </si>
  <si>
    <t>1.12.14.3.6 Draft Copy</t>
  </si>
  <si>
    <t>Manage Site SPUR Requests</t>
  </si>
  <si>
    <t>3/22/2025</t>
  </si>
  <si>
    <t>923E8610D41F4EDBB2DFAB8BD195547E</t>
  </si>
  <si>
    <t>1.12.14.3.6.1</t>
  </si>
  <si>
    <t>40CCF456C76948F48E10EE707C6A9EB4</t>
  </si>
  <si>
    <t>1.12.14.3.6.1 Draft Copy</t>
  </si>
  <si>
    <t>7F8F80166CB14CDD9C49FBAE6F95F6BB</t>
  </si>
  <si>
    <t>1.12.14.3.6.1.2</t>
  </si>
  <si>
    <t>5935B3614F4A4AB8B289CF5B2CE78E8A</t>
  </si>
  <si>
    <t>1.12.14.3.6.1.2 Draft Copy</t>
  </si>
  <si>
    <t>1.12.14.3.6.1.1 Draft Copy</t>
  </si>
  <si>
    <t>1.12.14.3.6.1.1</t>
  </si>
  <si>
    <t>D8627951523E4F7DB579ED9C9FBD029B</t>
  </si>
  <si>
    <t>1.12.14.3.6.1.2.1</t>
  </si>
  <si>
    <t>8F1F2DC8AB804022B8CC040FCA7E4FFA</t>
  </si>
  <si>
    <t>1.12.14.3.6.1.2.1 Draft Copy</t>
  </si>
  <si>
    <t>1.12.14.3.6.1.1.1 Draft Copy</t>
  </si>
  <si>
    <t>1.12.14.3.6.1.1.1</t>
  </si>
  <si>
    <t>Develop Site SPUR 1 Package</t>
  </si>
  <si>
    <t>67FBAF634A0D4CFF91C162ADD18E1EB3</t>
  </si>
  <si>
    <t>1.12.14.3.6.1.3</t>
  </si>
  <si>
    <t>BF4732F321A449268776DFBB958443DE</t>
  </si>
  <si>
    <t>1.12.14.3.6.1.3 Draft Copy</t>
  </si>
  <si>
    <t>186971BF246745E0909CE56B7A50EDDE</t>
  </si>
  <si>
    <t>1.12.14.3.6.1.4</t>
  </si>
  <si>
    <t>98A78AE6FA3E40DE961FAD1FC6A96B32</t>
  </si>
  <si>
    <t>1.12.14.3.6.1.4 Draft Copy</t>
  </si>
  <si>
    <t>931326E65EDB4CA09B5B6A5076321DBE</t>
  </si>
  <si>
    <t>1.12.14.3.6.2</t>
  </si>
  <si>
    <t>14959C272B5048EE881C20688224A661</t>
  </si>
  <si>
    <t>1.12.14.3.6.2 Draft Copy</t>
  </si>
  <si>
    <t>EB02134794434E3FA6CD699B81CF40CE</t>
  </si>
  <si>
    <t>1.12.14.3.6.2.1</t>
  </si>
  <si>
    <t>FD36FE8DE2944C8E8DDC7EE9286269E9</t>
  </si>
  <si>
    <t>1.12.14.3.6.2.1 Draft Copy</t>
  </si>
  <si>
    <t>696FE4C2E77F48F4B497ACA1E76C3212</t>
  </si>
  <si>
    <t>1.12.14.3.6.2.2</t>
  </si>
  <si>
    <t>03CC55E2540E4E8EA73B249F8ED5A39D</t>
  </si>
  <si>
    <t>1.12.14.3.6.2.2 Draft Copy</t>
  </si>
  <si>
    <t>9A1E31DF6A4A41E39661312F6CE08A32</t>
  </si>
  <si>
    <t>1.12.14.3.6.2.3</t>
  </si>
  <si>
    <t>C184E09EA8E74ADC8EF97DD6689B7A27</t>
  </si>
  <si>
    <t>1.12.14.3.6.2.3 Draft Copy</t>
  </si>
  <si>
    <t>1CB383A414CA4818A72EA129BBDE6378</t>
  </si>
  <si>
    <t>1.12.14.3.6.3</t>
  </si>
  <si>
    <t>8E46300AEBFD4050A9F1E40EA09A43AD</t>
  </si>
  <si>
    <t>1.12.14.3.6.3 Draft Copy</t>
  </si>
  <si>
    <t>7A01D4FF4C1C4945970D552DA7877CAB</t>
  </si>
  <si>
    <t>1.12.14.3.6.3.1</t>
  </si>
  <si>
    <t>003677B7F8C941E3B6071D4CD034C5B3</t>
  </si>
  <si>
    <t>1.12.14.3.6.3.1 Draft Copy</t>
  </si>
  <si>
    <t>0955CD1AF23E4AD3963B01DCD3B55ED9</t>
  </si>
  <si>
    <t>1.12.14.3.6.3.2</t>
  </si>
  <si>
    <t>7D85E9AFA82F4A7EAE2A1B9BD7255C8C</t>
  </si>
  <si>
    <t>1.12.14.3.6.3.2 Draft Copy</t>
  </si>
  <si>
    <t>03320DB6A8A948438DAB132F9A396483</t>
  </si>
  <si>
    <t>1.12.14.3.6.3.3</t>
  </si>
  <si>
    <t>BFF587BB85FD45DEB7EA8339A0F60841</t>
  </si>
  <si>
    <t>1.12.14.3.6.3.3 Draft Copy</t>
  </si>
  <si>
    <t>57697D953C2E455C80328B59870A8562</t>
  </si>
  <si>
    <t>1.12.14.4</t>
  </si>
  <si>
    <t>1B58F77837A9487997207FE4D8F726A4</t>
  </si>
  <si>
    <t>1.12.14.4 Draft Copy</t>
  </si>
  <si>
    <t>Develop Project Cost Estimate</t>
  </si>
  <si>
    <t>3/27/2025</t>
  </si>
  <si>
    <t>EA307821A9F84F4CB5E6E5E98D950C1C</t>
  </si>
  <si>
    <t>1.12.14.4.1</t>
  </si>
  <si>
    <t>6867991191F842E39FDB67461ADE6445</t>
  </si>
  <si>
    <t>1.12.14.4.1 Draft Copy</t>
  </si>
  <si>
    <t>Initiate Evaluation</t>
  </si>
  <si>
    <t>39D8CEA52CF64995A74BCCAF3FADE35E</t>
  </si>
  <si>
    <t>1.12.14.5</t>
  </si>
  <si>
    <t>65B851FF19854528A05A99E88562EAAA</t>
  </si>
  <si>
    <t>1.12.14.5 Draft Copy</t>
  </si>
  <si>
    <t>Manage Facilities Services Requests</t>
  </si>
  <si>
    <t>3/31/2025</t>
  </si>
  <si>
    <t>49EDD882DAAD4382A1B13FBEA9F69315</t>
  </si>
  <si>
    <t>1.12.14.6</t>
  </si>
  <si>
    <t>CAE9F1E3242748E785807D1D39757911</t>
  </si>
  <si>
    <t>1.12.14.6 Draft Copy</t>
  </si>
  <si>
    <t>Implement Facilities Project</t>
  </si>
  <si>
    <t>D1E679687F4C409C908B1E61B1B82A4A</t>
  </si>
  <si>
    <t>1.12.14.7</t>
  </si>
  <si>
    <t>C79F17A2C00B4B7DB55F6C929FBAB2BF</t>
  </si>
  <si>
    <t>1.12.14.7 Draft Copy</t>
  </si>
  <si>
    <t>Manage Facilities Organization</t>
  </si>
  <si>
    <t>1C843A79E9B5446F9C54325730F9AF15</t>
  </si>
  <si>
    <t>American Productivity &amp; Quality Center (APQC) Process Classification Framework (PCF)</t>
  </si>
  <si>
    <t>1.11.1.24</t>
  </si>
  <si>
    <t>E8A4939B1F3149B797A48CBF4C3EF60A</t>
  </si>
  <si>
    <t>1.11.1.24 Draft Copy</t>
  </si>
  <si>
    <t>B406D338CFBA4E16A72D023A41DD9489</t>
  </si>
  <si>
    <t>Facilities CCIs</t>
  </si>
  <si>
    <t>077EE357BE954198915447A1D5577DD7</t>
  </si>
  <si>
    <t>Facilities-Estimating, Facilities-Other</t>
  </si>
  <si>
    <t>AAE9AC592D784B6B96A4B01700CE7584</t>
  </si>
  <si>
    <t>1.11.1.23.1</t>
  </si>
  <si>
    <t>0324511C8FE24459BFCCA56A54915033</t>
  </si>
  <si>
    <t>1.11.1.23.1 Draft Copy</t>
  </si>
  <si>
    <t>Facilities Lifecycle &amp; Process Architecture</t>
  </si>
  <si>
    <t>4/1/2025</t>
  </si>
  <si>
    <t>933300871EEF4D54BFBF70CDB58A28EF</t>
  </si>
  <si>
    <t>1.11.1.23.2</t>
  </si>
  <si>
    <t>6EA1100E56A344629C19422989DBDB78</t>
  </si>
  <si>
    <t>1.11.1.23.2 Draft Copy</t>
  </si>
  <si>
    <t>Space Utilization Requirements (SPUR)</t>
  </si>
  <si>
    <t>85CF6346BEF5446E9EC93953F9B7C08D</t>
  </si>
  <si>
    <t>1.11.1.23.3</t>
  </si>
  <si>
    <t>2E3607F4BED043B99616A285230ADE3F</t>
  </si>
  <si>
    <t>1.11.1.23.3 Draft Copy</t>
  </si>
  <si>
    <t>Facilities Process Overview</t>
  </si>
  <si>
    <t>9F09BF0093DF459FA1FD21C88A110BB3</t>
  </si>
  <si>
    <t>1.7.5.3.2</t>
  </si>
  <si>
    <t>AS6500 Tracing to MRL Process</t>
  </si>
  <si>
    <t>DDD9FF39D90246EAA3D4C262F2CBEEE9</t>
  </si>
  <si>
    <t>1.7.5.3.2 Draft Copy</t>
  </si>
  <si>
    <t>Conduct System-level Manufacturing Readiness Assessment</t>
  </si>
  <si>
    <t>Jose Borges</t>
  </si>
  <si>
    <t>12/15/2023</t>
  </si>
  <si>
    <t>7916E8C893404146AB38345329EBD563</t>
  </si>
  <si>
    <t>0CE65B30C9D94C089FDEC39829D5B6A4</t>
  </si>
  <si>
    <t>1.7.5.3.2.3</t>
  </si>
  <si>
    <t>D02897105CB64A42A662B7EA62B40A09</t>
  </si>
  <si>
    <t>1.7.5.3.2.3 Draft Copy</t>
  </si>
  <si>
    <t xml:space="preserve">Conduct Internal MRAs (instance 1-N) </t>
  </si>
  <si>
    <t>12/19/2023</t>
  </si>
  <si>
    <t>96692BBE14B242D68946824B66CAA9E4</t>
  </si>
  <si>
    <t>5C48E86BA1DF4C17BAA276A3C6256175</t>
  </si>
  <si>
    <t>1.7.5.3.2.4</t>
  </si>
  <si>
    <t>00AC4721EEC54BAAABEFCC82DAF7F46D</t>
  </si>
  <si>
    <t>1.7.5.3.2.4 Draft Copy</t>
  </si>
  <si>
    <t xml:space="preserve">Conduct Supplier MRAs (instance 1-N) </t>
  </si>
  <si>
    <t>12/29/2023</t>
  </si>
  <si>
    <t>E764B7BFF43F4F77A7BB8B89DB2711DF</t>
  </si>
  <si>
    <t>EADFE7E47F384FB1ABD4EBB95375FD1B</t>
  </si>
  <si>
    <t>Facilities - Claiming SPUR</t>
  </si>
  <si>
    <t>1.12.14.9</t>
  </si>
  <si>
    <t>1.12.14.9 Draft Copy</t>
  </si>
  <si>
    <t>Develop Facilities Site Master Plans</t>
  </si>
  <si>
    <t>4/17/2025</t>
  </si>
  <si>
    <t>563B56CE5A2A436B9A3BCA8E8C2F8317</t>
  </si>
  <si>
    <t>1.11.7.13</t>
  </si>
  <si>
    <t>PHM Data Sci</t>
  </si>
  <si>
    <t>Manage Prognostic Health</t>
  </si>
  <si>
    <t>Nick</t>
  </si>
  <si>
    <t>E651242C8B6249A9A72766422843F20C</t>
  </si>
  <si>
    <t>1.11.7.13 Draft Copy</t>
  </si>
  <si>
    <t>Manage Prognostic Health Data</t>
  </si>
  <si>
    <t>PS-PhM</t>
  </si>
  <si>
    <t>2b_(In-work) Claimed</t>
  </si>
  <si>
    <t>Peter Tanaka</t>
  </si>
  <si>
    <t>Authorization Pending - 5/2/2025</t>
  </si>
  <si>
    <t>3/25/2025</t>
  </si>
  <si>
    <t>Warning</t>
  </si>
  <si>
    <t>1A7898CF044A47D185E772D3440310D2</t>
  </si>
  <si>
    <t>1.11.7.13.2</t>
  </si>
  <si>
    <t>A790BA0F84BA4F9086887AAD97401B89</t>
  </si>
  <si>
    <t>1.11.7.13.2 Draft Copy</t>
  </si>
  <si>
    <t>Begin Data Prioritization &amp; Analytical Model Creation</t>
  </si>
  <si>
    <t>3/18/2025</t>
  </si>
  <si>
    <t>B8D16036F9744029BEA68EE967E0E7FF</t>
  </si>
  <si>
    <t>1.11.7.13.3</t>
  </si>
  <si>
    <t>A0542F598FA049CE83B9ACEFA4092DA7</t>
  </si>
  <si>
    <t>1.11.7.13.3 Draft Copy</t>
  </si>
  <si>
    <t>Validate Data Structure</t>
  </si>
  <si>
    <t>430DED978ED04B9AA027A49A41EB82F0</t>
  </si>
  <si>
    <t>1.11.2.4.4</t>
  </si>
  <si>
    <t>7170D96FBE3247FDB49F4FE58035A4AC</t>
  </si>
  <si>
    <t>1.11.2.4.4 Draft Copy</t>
  </si>
  <si>
    <t>Address Software Discrepancies</t>
  </si>
  <si>
    <t>2c_(In-work) Engineering Approved</t>
  </si>
  <si>
    <t>6/8/2021</t>
  </si>
  <si>
    <t>• Template "2c_(In-work) Engineering Approved" Applied (scope: Current Diagram) (Nicholas Georgeson - 03/26/2025)
• Class I change. Added FLL connection to "Software Discrepancy" Main input from Phm Data Sci Diagrams.  (Nicholas Georgeson - 03/26/2025)</t>
  </si>
  <si>
    <t>EDBCCC0223A54334826F680CB8B02431</t>
  </si>
  <si>
    <t>3DFF7F48AAC940AE84900617345CBF94</t>
  </si>
  <si>
    <t>1.11.2.5.5</t>
  </si>
  <si>
    <t>4B081642E3AE42FD860CB90F548DCE3B</t>
  </si>
  <si>
    <t>1.11.2.5.5 Draft Copy</t>
  </si>
  <si>
    <t>Document &amp; Control System Interfaces</t>
  </si>
  <si>
    <t>Promotion Ready - 4/24/2025</t>
  </si>
  <si>
    <t>• Template "2a_(In-work) Unclaimed" Applied (scope: Current Diagram) (Nicholas Georgeson - 03/25/2025)
• Class I change. Added FLL connection from "Interface Document" output of AB3 "Notify document Stakeholders" to new PhM Data Sci Diagram. (Nicholas Georgeson - 03/25/2025)</t>
  </si>
  <si>
    <t>760616AB93E64577809008BCEB997721</t>
  </si>
  <si>
    <t>CC538668484E4AEFA1CE709B19B70354</t>
  </si>
  <si>
    <t>1.3.2B.1</t>
  </si>
  <si>
    <t>8452DA738C2E48BE941A6AE377D04CE8</t>
  </si>
  <si>
    <t>1.3.2B.1 Draft Copy</t>
  </si>
  <si>
    <t>Define System / Segment / Element / Subsystem (Common)</t>
  </si>
  <si>
    <t>8/15/2021</t>
  </si>
  <si>
    <t>• Template "2c_(In-work) Engineering Approved" Applied (scope: Current Diagram) (Nicholas Georgeson - 03/25/2025)
• Class I change. Added "SV-4" output to Activity Box 4 "Coordinate Use of Architecture" and FLL connection to new PhM Data Sci Diagram.  (Nicholas Georgeson - 03/25/2025)</t>
  </si>
  <si>
    <t>A7CC3C2B2AAA4675A819D5297163B47F</t>
  </si>
  <si>
    <t>1035163AB8EC46B8ABC450A9F22522C5</t>
  </si>
  <si>
    <t>1.11.2.7.30</t>
  </si>
  <si>
    <t>CCF68E250BB647BCBCACD697EEC75AC1</t>
  </si>
  <si>
    <t>1.11.2.7.30 Draft Copy</t>
  </si>
  <si>
    <t>Implement Individual Aircraft Tracking (IAT)</t>
  </si>
  <si>
    <t>VE-SATMP</t>
  </si>
  <si>
    <t>Cassandra Jacobsen</t>
  </si>
  <si>
    <t>12/20/2024</t>
  </si>
  <si>
    <t>• Template "2c_(In-work) Engineering Approved" Applied (scope: Current Diagram) (Nicholas Georgeson - 03/26/2025)
• Class I change. From AB4 "Populate IAT Database w/ Flight data" output "Populated IAT Database (automatic Signal)" added 2 new FLL connections to the new PhM Data Sci diagrams. (Nicholas Georgeson - 03/26/2025)</t>
  </si>
  <si>
    <t>4528C3B4B2F4445BB4DC665F831AC483</t>
  </si>
  <si>
    <t>FC7C1120D6DE44C3A47D7DBFF1346DA7</t>
  </si>
  <si>
    <t>1.2.2.3.2.5</t>
  </si>
  <si>
    <t>2D06CAFAE76F4A58A7141224C730164B</t>
  </si>
  <si>
    <t>1.2.2.3.2.5 Draft Copy</t>
  </si>
  <si>
    <t xml:space="preserve">Establish Review &amp; Monitoring Guidelines </t>
  </si>
  <si>
    <t>9/13/2021</t>
  </si>
  <si>
    <t>• Template "1c_(Standard) Engineering Approved" Applied (scope: Diagram Scope List File) (David Magee - 02/23/2024)
• Template "1a_(Standard) Unclaimed" Applied (scope: Diagram Scope List File) (David Magee - 02/23/2024)
• Template "2a_(In-work) Unclaimed" Applied (scope: Current Diagram) (Nicholas Georgeson - 03/25/2025)
• Class I change. Added FLL connection from output of AB2 "Establish Metrics" "Metrics Collection Plan" to new PhM Data Sci diagram. (Nicholas Georgeson - 03/25/2025)</t>
  </si>
  <si>
    <t>C7D94890292446F3BEF16E19E4FD0EB4</t>
  </si>
  <si>
    <t>9D2F1C22CFBE407A929EF2F0EFE5259A</t>
  </si>
  <si>
    <t>1.3.2A.1.1</t>
  </si>
  <si>
    <t>8A347966306441E3A18FF054F5C71612</t>
  </si>
  <si>
    <t>1.3.2A.1.1 Draft Copy</t>
  </si>
  <si>
    <t>Analyze Requirements</t>
  </si>
  <si>
    <t>SE-Req'ts &amp; Verif (R&amp;V)</t>
  </si>
  <si>
    <t>15</t>
  </si>
  <si>
    <t>2/28/2020</t>
  </si>
  <si>
    <t>E0-7111</t>
  </si>
  <si>
    <t>• Template "2c_(In-work) Engineering Approved" Applied (scope: Current Diagram) (Nicholas Georgeson - 03/26/2025)
• Class I change. Added new FLL connection to "New / Derived Technical Requirements" from the new PhM Data Sci diagram.  (Nicholas Georgeson - 03/26/2025)</t>
  </si>
  <si>
    <t>D2738BCFFEBA486D805791BBEC2E4B3F</t>
  </si>
  <si>
    <t>CCF9B82A13EA49758E6A230361897301</t>
  </si>
  <si>
    <t>PS IRB 4/25</t>
  </si>
  <si>
    <t>Primary</t>
  </si>
  <si>
    <t>• Template "2c_(In-work) Engineering Approved" Applied (scope: Current Diagram) (Nicholas Georgeson - 03/26/2025)
• Class I change. Added FLL connections from "Technical Requirements Baseline" to the new PhM Data Sci Diagrams.  (Nicholas Georgeson - 03/26/2025)</t>
  </si>
  <si>
    <t>Secondary</t>
  </si>
  <si>
    <t>• Template "2a_(In-work) Unclaimed" Applied (scope: Current Diagram) (Nicholas Georgeson - 03/25/2025)
• Class I change. Added FLL connection to "Metrics" input to AB1 "Monitor &amp; Report Performance" from new PhM Data Sci Diagram (Nicholas Georgeson - 03/25/2025)
• Class III change. Added PM trace step to box 2. (Cathryn Curry - 04/17/2025)</t>
  </si>
  <si>
    <t>1.7.1.1</t>
  </si>
  <si>
    <t>PM FHR - Change Management</t>
  </si>
  <si>
    <t xml:space="preserve">Cat </t>
  </si>
  <si>
    <t>A9387EACEF724B109C99CFAF4A55652D</t>
  </si>
  <si>
    <t>1.7.1.1 Draft Copy</t>
  </si>
  <si>
    <t>Identify R&amp;Os</t>
  </si>
  <si>
    <t>John Golombeck</t>
  </si>
  <si>
    <t>Promotion Ready - 4/30/2025</t>
  </si>
  <si>
    <t>Ashton Albert</t>
  </si>
  <si>
    <t>3/26/2024</t>
  </si>
  <si>
    <t xml:space="preserve">D0-5400  Manage Risk &amp; Opportunity Activity 12, D0-5400  Manage Risk &amp; Opportunity Activity 13, D0-5400  Manage Risk &amp; Opportunity Activity 14, D0-5400  Manage Risk &amp; Opportunity Activity 15, </t>
  </si>
  <si>
    <t>• Template "2b_(In-work) Claimed" Applied (scope: Current Diagram) (Cathryn Curry - 04/15/2025)
• Class II change. Updated FLL connections from updated Change Mgmt process to Risk &amp; Opportunity, and new TRIO development area in 1.2.8.  (Cathryn Curry - 04/15/2025)</t>
  </si>
  <si>
    <t>78A13BCE94914A9C8060B41EFC1ED7C0</t>
  </si>
  <si>
    <t>90FA96EF19EE43CF9F5FC80FE9FF5101</t>
  </si>
  <si>
    <t>1.7.3.1</t>
  </si>
  <si>
    <t>83B0927CDDCC439DBA3422BCC1971E97</t>
  </si>
  <si>
    <t>1.7.3.1 Draft Copy</t>
  </si>
  <si>
    <t>1.7.3.2 Draft Copy</t>
  </si>
  <si>
    <t>1.7.3.2</t>
  </si>
  <si>
    <t>Manage Program Change Requests</t>
  </si>
  <si>
    <t xml:space="preserve">D0-5600 Manage Change Activity 9, D0-5600 Manage Change Activity 10, </t>
  </si>
  <si>
    <t>• Template "2b_(In-work) Claimed" Applied (scope: Current Diagram) (Cathryn Curry - 04/10/2025)
• Deleted data table attachment "Overview / Introduction" from Image (Cathryn Curry - 04/14/2025)</t>
  </si>
  <si>
    <t>2EE0D45AC78E4D4A846848D253F3F7A4</t>
  </si>
  <si>
    <t>73A1D2043D0C4403BDE80DD2E49096F0</t>
  </si>
  <si>
    <t>1.7.3.1.1</t>
  </si>
  <si>
    <t>4D37C6A1F7BC48FCAAE37733D617DD9D</t>
  </si>
  <si>
    <t>1.7.3.1.1 Draft Copy</t>
  </si>
  <si>
    <t>1.7.3.2.1 Draft Copy</t>
  </si>
  <si>
    <t>1.7.3.2.1</t>
  </si>
  <si>
    <t>Evaluate Proposed Change</t>
  </si>
  <si>
    <t>• Deleted data table attachment "Scope" from Image (Cathryn Curry - 09/24/2024)
• Deleted data table attachment "Purpose" from Image (Cathryn Curry - 09/24/2024)
• Deleted data table attachment "Overview / Introduction" from Image (Cathryn Curry - 09/24/2024)
• Deleted data table attachment "Needs Attachment" from Activity: Verify Need for Change (Cathryn Curry - 03/04/2025)
• Template "2b_(In-work) Claimed" Applied (scope: Current Diagram and Lower Levels) (Cathryn Curry - 03/11/2025)</t>
  </si>
  <si>
    <t>CC0380F225AB4FE09D76E054DBCA1E00</t>
  </si>
  <si>
    <t>1.7.3.1.1.4</t>
  </si>
  <si>
    <t>DF305DD7937D4BAEB6B3D5FE060C12A1</t>
  </si>
  <si>
    <t>1.7.3.1.1.4 Draft Copy</t>
  </si>
  <si>
    <t>1.7.3.2.1.4 Draft Copy</t>
  </si>
  <si>
    <t>1.7.3.2.1.4</t>
  </si>
  <si>
    <t>Develop Change Request Package</t>
  </si>
  <si>
    <t>6/2/2020</t>
  </si>
  <si>
    <t>• Template "5_Sandbox" Applied (scope: Current Diagram) (Cathryn Curry - 03/05/2025)
• Template "2b_(In-work) Claimed" Applied (scope: Current Diagram and Lower Levels) (Cathryn Curry - 03/11/2025)</t>
  </si>
  <si>
    <t>46EAA7F4FB15431B8458B7A7227F3C3D</t>
  </si>
  <si>
    <t>1.7.3.1.1.5</t>
  </si>
  <si>
    <t>69DA8D7C60074845A6D1620C24FA4BD8</t>
  </si>
  <si>
    <t>1.7.3.1.1.5 Draft Copy</t>
  </si>
  <si>
    <t>1.7.3.2.1.5 Draft Copy</t>
  </si>
  <si>
    <t>1.7.3.2.1.5</t>
  </si>
  <si>
    <t>Manage Internal Review Boards (IRB)</t>
  </si>
  <si>
    <t>• Deleted data table attachment "Needs Attachment" from Activity: Create CR Package Presentation (Cathryn Curry - 09/25/2024)
• Template "2b_(In-work) Claimed" Applied (scope: Current Diagram and Lower Levels) (Cathryn Curry - 03/11/2025)</t>
  </si>
  <si>
    <t>03704A5D242846A7BBC502F2C7FC6A60</t>
  </si>
  <si>
    <t>1.7.3.1.1.5.3</t>
  </si>
  <si>
    <t>203A3B1C0B57446A8646B26DA947A7D2</t>
  </si>
  <si>
    <t>1.7.3.1.1.5.3 Draft Copy</t>
  </si>
  <si>
    <t>1.7.3.2.1.5.3 Draft Copy</t>
  </si>
  <si>
    <t>1.7.3.2.1.5.3</t>
  </si>
  <si>
    <t>Conduct IRB Meeting</t>
  </si>
  <si>
    <t>9/19/2024</t>
  </si>
  <si>
    <t>6BF21C7DCC9D4B5D850AF9DDE8C54001</t>
  </si>
  <si>
    <t>1.7.3.1.2</t>
  </si>
  <si>
    <t>03639762ECC54D7AA6B80E6783E5BB23</t>
  </si>
  <si>
    <t>1.7.3.1.2 Draft Copy</t>
  </si>
  <si>
    <t>1.7.3.2.2 Draft Copy</t>
  </si>
  <si>
    <t>1.7.3.2.2</t>
  </si>
  <si>
    <t>Manage Technical Review Boards (TRB)</t>
  </si>
  <si>
    <t>Claimed, Unclaimed</t>
  </si>
  <si>
    <t>• Deleted data table attachment "Needs Attachment" from Activity: Conduct Meeting (Cathryn Curry - 03/11/2025)
• Template "2b_(In-work) Claimed" Applied (scope: Current Diagram and Lower Levels) (Cathryn Curry - 03/11/2025)</t>
  </si>
  <si>
    <t>EBF2449B5FB044E1B77FFDEEC622B89F</t>
  </si>
  <si>
    <t>1.7.3.1.2.1</t>
  </si>
  <si>
    <t>29ED67D79BA54B6C914BE687A3601E6D</t>
  </si>
  <si>
    <t>1.7.3.1.2.1 Draft Copy</t>
  </si>
  <si>
    <t>1.7.3.2.2.1 Draft Copy</t>
  </si>
  <si>
    <t>1.7.3.2.2.1</t>
  </si>
  <si>
    <t>Develop TRB Package Presentation</t>
  </si>
  <si>
    <t>• Deleted data table attachment "Needs Attachment" from Activity: Update Presentation Package  (Cathryn Curry - 03/11/2025)
• Template "2b_(In-work) Claimed" Applied (scope: Current Diagram and Lower Levels) (Cathryn Curry - 03/11/2025)</t>
  </si>
  <si>
    <t>45ED434334B04D26A443861F661A3739</t>
  </si>
  <si>
    <t>1.7.3.1.3</t>
  </si>
  <si>
    <t>1897010600894D96AE86CAABF22885EC</t>
  </si>
  <si>
    <t>1.7.3.1.3 Draft Copy</t>
  </si>
  <si>
    <t>1.7.3.2.3 Draft Copy</t>
  </si>
  <si>
    <t>1.7.3.2.3</t>
  </si>
  <si>
    <t>Conduct Change Control Board (CCB) Review</t>
  </si>
  <si>
    <t>A5D40570E73B404A9B539A42F75073F9</t>
  </si>
  <si>
    <t>1.7.3.1.3.1</t>
  </si>
  <si>
    <t>6F7017F09728484785A6EEC9BB054C5D</t>
  </si>
  <si>
    <t>1.7.3.1.3.1 Draft Copy</t>
  </si>
  <si>
    <t>1.7.3.2.3.1 Draft Copy</t>
  </si>
  <si>
    <t>1.7.3.2.3.1</t>
  </si>
  <si>
    <t>Develop Presentation Package</t>
  </si>
  <si>
    <t>D3611BD7CE11462B9603D4189C607421</t>
  </si>
  <si>
    <t>1.7.3.1.3.4</t>
  </si>
  <si>
    <t>0D856E5D010A455E8FBCB3CF1BFB50C6</t>
  </si>
  <si>
    <t>1.7.3.1.3.4 Draft Copy</t>
  </si>
  <si>
    <t>1.7.3.2.3.4 Draft Copy</t>
  </si>
  <si>
    <t>1.7.3.2.3.4</t>
  </si>
  <si>
    <t>Manage Meeting Actions</t>
  </si>
  <si>
    <t>86ADD772A4764A6CB9D08F87FDC567AC</t>
  </si>
  <si>
    <t>1.6.2</t>
  </si>
  <si>
    <t>573FC4D082364726AE3E295459056784</t>
  </si>
  <si>
    <t>1.6.2 Draft Copy</t>
  </si>
  <si>
    <t xml:space="preserve">Manage &amp; Control EVMS </t>
  </si>
  <si>
    <t>• Template "2a_(In-work) Unclaimed" Applied (scope: Current Diagram) (Cathryn Curry - 04/15/2025)
• Class II change. Updated Change Management connection to Draft Updated WAD FLL.  (Cathryn Curry - 04/15/2025)</t>
  </si>
  <si>
    <t>4B47B75023144654B969FB94246ADE79</t>
  </si>
  <si>
    <t>A5ECD19629E7485BADC1874DDFC591CF</t>
  </si>
  <si>
    <t>1.6.2.1</t>
  </si>
  <si>
    <t>ED70FFE5695C46AFB8B16E2D364B97A9</t>
  </si>
  <si>
    <t>1.6.2.1 Draft Copy</t>
  </si>
  <si>
    <t>Manage EVMS Changes</t>
  </si>
  <si>
    <t>• Template "2a_(In-work) Unclaimed" Applied (scope: Current Diagram) (Cathryn Curry - 04/15/2025)
• Class II change. Updated FLL connections to the revised change management process.  (Cathryn Curry - 04/15/2025)</t>
  </si>
  <si>
    <t>B03814F1786240C591CC43A19DB593B3</t>
  </si>
  <si>
    <t>82768C4C723645BDBEDA9FD06671FCFC</t>
  </si>
  <si>
    <t>1.6.2.1.3</t>
  </si>
  <si>
    <t>F001C0DD82F34902B5DAD2D1F840D7BE</t>
  </si>
  <si>
    <t>1.6.2.1.3 Draft Copy</t>
  </si>
  <si>
    <t>Conduct Business Integration Review (BIR)</t>
  </si>
  <si>
    <t>• Template "2a_(In-work) Unclaimed" Applied (scope: Current Diagram) (Cathryn Curry - 04/15/2025)
• Class II change. Removed FLL connection to deferred CR Package. Will revisit when this area is reviewed with BM.  (Cathryn Curry - 04/15/2025)</t>
  </si>
  <si>
    <t>E87F365B14D046CFBE1638421C56C4E7</t>
  </si>
  <si>
    <t>62BD86B3054B479ABCD8A94596E556E1</t>
  </si>
  <si>
    <t>1.11.2.5.6</t>
  </si>
  <si>
    <t>Info Only</t>
  </si>
  <si>
    <t>5CE1DF8F0D2A4A75BBC37401FEE52613</t>
  </si>
  <si>
    <t>1.11.2.5.6 Draft Copy</t>
  </si>
  <si>
    <t>Perform Trade Study</t>
  </si>
  <si>
    <t>Authorization Pending - 4/30/2025</t>
  </si>
  <si>
    <t>E0-7130, ESM7314</t>
  </si>
  <si>
    <t xml:space="preserve">Develop Program Make/Buy Plan - OM3a Activity 4, Develop Program Make/Buy Plan - OM3a Activity 5, Reuse - Preliminary Mechanical Design via a Trade Study Activity 5, Develop Program Make/Buy Plan - OM3a Activity 6, Reuse - Preliminary Mechanical Design via a Trade Study Activity 6, Develop Program Make/Buy Plan - OM3a Activity 7, Establish Flying Test Bed Activity 7, Reuse - Preliminary Mechanical Design via a Trade Study Activity 7, Develop Program Make/Buy Plan - OM3a Activity 8, Establish Flying Test Bed Activity 8, Establish Flying Test Bed Activity 9, Establish Flying Test Bed Activity 16, Establish Flying Test Bed Activity 17, Establish Flying Test Bed Activity 18, Reuse - Preliminary Mechanical Design via a Trade Study Activity 26, Reuse - Preliminary Mechanical Design via a Trade Study Activity 27, Reuse - Preliminary Mechanical Design via a Trade Study Activity 28, </t>
  </si>
  <si>
    <t>• Template "2c_(In-work) Engineering Approved" Applied (scope: Current Diagram) (Cathryn Curry - 04/15/2025)
• Class II change. Updated FLL connections to revised Change Management process.  (Cathryn Curry - 04/15/2025)</t>
  </si>
  <si>
    <t>1FC281CB6C3D4B399ECE5EED464F5DC8</t>
  </si>
  <si>
    <t>DFE56EE3B8B7490BAD261991CA8E4F1E</t>
  </si>
  <si>
    <t>1.2.7.1.3.5</t>
  </si>
  <si>
    <t>522EA4E85B1C48959DBB8CB4AA73BBD6</t>
  </si>
  <si>
    <t>1.2.7.1.3.5 Draft Copy</t>
  </si>
  <si>
    <t>Initiate CDM Products</t>
  </si>
  <si>
    <t>• Template "2c_(In-work) Engineering Approved" Applied (scope: Current Diagram) (Cathryn Curry - 04/15/2025)
• Class II change. Updated FLL connections to the revised change management process.  (Cathryn Curry - 04/15/2025)</t>
  </si>
  <si>
    <t>D8E5348DCC88440892D3BA034AC098A5</t>
  </si>
  <si>
    <t>98340DC6CC194486ACF0726584360A02</t>
  </si>
  <si>
    <t>1.11.3.2.8</t>
  </si>
  <si>
    <t>8A6AD1F6A44540C596F5B3A6CE72C3CE</t>
  </si>
  <si>
    <t>1.11.3.2.8 Draft Copy</t>
  </si>
  <si>
    <t xml:space="preserve">Develop Estimates </t>
  </si>
  <si>
    <t>Nicholas Georgeson</t>
  </si>
  <si>
    <t>0C22424233A84CB1991DDF345E9CB32B</t>
  </si>
  <si>
    <t>BACB086F0826400499440C7774514E2F</t>
  </si>
  <si>
    <t>1.1</t>
  </si>
  <si>
    <t>8B164C5A9AB84ADC80FFFC442CD1280F</t>
  </si>
  <si>
    <t>1.1 Draft Copy</t>
  </si>
  <si>
    <t>Capture Business</t>
  </si>
  <si>
    <t>6F534EEDA9D44565B913A0F2A61A4C88</t>
  </si>
  <si>
    <t>ACDF1AE9385543888E91381F30D3F806</t>
  </si>
  <si>
    <t>1.10.4</t>
  </si>
  <si>
    <t>EB4BA9A97D114D60BDA85B88A006E12F</t>
  </si>
  <si>
    <t>1.10.4 Draft Copy</t>
  </si>
  <si>
    <t>Issue Subcontract</t>
  </si>
  <si>
    <t>Patricia Stone</t>
  </si>
  <si>
    <t xml:space="preserve">D0-5300 Manage Supplier Activity 10, </t>
  </si>
  <si>
    <t>• Template "2b_(In-work) Claimed" Applied (scope: Current Diagram) (Cathryn Curry - 04/15/2025)
• Class II change. Updated FLL connections to the revised change management process.  (Cathryn Curry - 04/15/2025)</t>
  </si>
  <si>
    <t>738FE6E667314B5885C52432764F0340</t>
  </si>
  <si>
    <t>91E4CB7A39E8486A9127942EBB6A1A8C</t>
  </si>
  <si>
    <t>1.10.4.4</t>
  </si>
  <si>
    <t>94E3D69D4ECC4447B489F33E7F62E16D</t>
  </si>
  <si>
    <t>1.10.4.4 Draft Copy</t>
  </si>
  <si>
    <t>Select Supplier &amp; Negotiate Contract</t>
  </si>
  <si>
    <t>Promotion Ready - 4/29/2025</t>
  </si>
  <si>
    <t>• Template "1b_(Standard) Claimed" Applied (scope: Diagram Scope List File) (Cathryn Curry - 11/19/2023)
• Template "2b_(In-work) Claimed" Applied (scope: Current Diagram) (Cathryn Curry - 04/10/2025)
• Class I change. Updated FLL connections to revised change management process.Updated Tech package passback to show negotiated supplier requirements which prompt an update to the TPP. Fixed floating UCA box, and added commentary and passback from box 6 showing the need for UCA approval from PM.  (Cathryn Curry - 04/10/2025)</t>
  </si>
  <si>
    <t>562BC0493463464194B3D90C8CD06090</t>
  </si>
  <si>
    <t>58E1E35E62FF423F8132C1BE4DBEA087</t>
  </si>
  <si>
    <t>1.11.3.1.8</t>
  </si>
  <si>
    <t>FCFB3A4665E0412E9F478204BB0119E6</t>
  </si>
  <si>
    <t>1.11.3.1.8 Draft Copy</t>
  </si>
  <si>
    <t>Manage Program Action Items</t>
  </si>
  <si>
    <t>17</t>
  </si>
  <si>
    <t>16</t>
  </si>
  <si>
    <t>• Template "2b_(In-work) Claimed" Applied (scope: Current Diagram) (Cathryn Curry - 04/15/2025)
• Class II change. Updated FLL connections to the revised change management process. Added PM PrOP trace step to box 5 and updated commentary.  (Cathryn Curry - 04/15/2025)</t>
  </si>
  <si>
    <t>6DE16E4922C34778A1BAC7995DAA859C</t>
  </si>
  <si>
    <t>1D99FDF2AE9A4E94B04A7545508EE64C</t>
  </si>
  <si>
    <t>1.11.3.1.3</t>
  </si>
  <si>
    <t>3CEEA134C22E42CEAE09DD73D8925AD8</t>
  </si>
  <si>
    <t>1.11.3.1.3 Draft Copy</t>
  </si>
  <si>
    <t xml:space="preserve">Conduct Informal Doc Version Control </t>
  </si>
  <si>
    <t>0.34.6</t>
  </si>
  <si>
    <t>0.34.5</t>
  </si>
  <si>
    <t>• Template "1a_(Standard) Unclaimed" Applied (scope: Current Diagram) (Nicholas Georgeson - 04/11/2024)
• Template "2a_(In-work) Unclaimed" Applied (scope: Current Diagram) (Cathryn Curry - 04/15/2025)
• Class II change. Added FLL connections from revised Change Management process.  (Cathryn Curry - 04/15/2025)</t>
  </si>
  <si>
    <t>71322EEE391644BEA01A651E48A0B2B1</t>
  </si>
  <si>
    <t>A06FBC497F6B4AE8A5C32FF8CBD2B1CC</t>
  </si>
  <si>
    <t>1.2.2.6.1.2</t>
  </si>
  <si>
    <t>9BF27DF61C47486FA2D698403BB70FFA</t>
  </si>
  <si>
    <t>1.2.2.6.1.2 Draft Copy</t>
  </si>
  <si>
    <t>Manage Technical Review Board (TRB) Roster</t>
  </si>
  <si>
    <t>4/10/2020</t>
  </si>
  <si>
    <t>• Template "2a_(In-work) Unclaimed" Applied (scope: Current Diagram) (Cathryn Curry - 04/15/2025)
• Class II change. Updated FLL connection to revised Change Mgmt process.  (Cathryn Curry - 04/15/2025)</t>
  </si>
  <si>
    <t>89E3E2BFEDD342CC8E6F233CFDE93C2E</t>
  </si>
  <si>
    <t>7CC10AE6FDD44E36A1F907A637128B0A</t>
  </si>
  <si>
    <t>• Template "2a_(In-work) Unclaimed" Applied (scope: Current Diagram) (Cathryn Curry - 04/15/2025)
• Class III change. Updated / added DSEA connections to revised Change Mgmt process.  (Cathryn Curry - 04/15/2025)</t>
  </si>
  <si>
    <t>• Class II change. Removed reference to CCB log. Added Preliminary RAM to input stack.  (Cathryn Curry - 04/10/2025)</t>
  </si>
  <si>
    <t>1.2.2.5</t>
  </si>
  <si>
    <t>1D93AE48B52E476D9894548C2A225A73</t>
  </si>
  <si>
    <t>1.2.2.5 Draft Copy</t>
  </si>
  <si>
    <t>Define Program Integration Approach</t>
  </si>
  <si>
    <t>• Template "2b_(In-work) Claimed" Applied (scope: Current Diagram) (Cathryn Curry - 04/10/2025)
• Class III change. Removed reference to CCB log.  (Cathryn Curry - 04/10/2025)</t>
  </si>
  <si>
    <t>1EBC64AFFBBF4692A6D4E9E95DE772A2</t>
  </si>
  <si>
    <t>6D1D737C5DE140EEA0CD80B330E91282</t>
  </si>
  <si>
    <t>1.6.4</t>
  </si>
  <si>
    <t>32221F7F609F4BF6BC06EBF702D5B5CE</t>
  </si>
  <si>
    <t>1.6.4 Draft Copy</t>
  </si>
  <si>
    <t>Manage Contract</t>
  </si>
  <si>
    <t>• Template "1a_(Standard) Unclaimed" Applied (scope: Diagram Scope List File) (Nicholas Georgeson - 01/27/2024)
• Template "2a_(In-work) Unclaimed" Applied (scope: Current Diagram) (Cathryn Curry - 04/10/2025)
• Class II change. Deleted FLL CCB1 - Change proposal authorization from updated change management process. Will revise this / ECP process with SME and will update link from.  (Cathryn Curry - 04/10/2025)</t>
  </si>
  <si>
    <t>CDA8892442AD4A17ACA2803009C40D0B</t>
  </si>
  <si>
    <t>85AA257C8F61449A9422271DE6F1539B</t>
  </si>
  <si>
    <t>1.6.4.2</t>
  </si>
  <si>
    <t>2A8BA3A94A984C208FCACC4B3361260A</t>
  </si>
  <si>
    <t>1.6.4.2 Draft Copy</t>
  </si>
  <si>
    <t>Develop Engineering / Contract Change Proposal (ECP/CCP)</t>
  </si>
  <si>
    <t>• Template "2a_(In-work) Unclaimed" Applied (scope: Current Diagram) (Cathryn Curry - 04/10/2025)
• Class II change. Removed Class I proposed technical design concept flow line link to the updated change management process. Will revisit this process with SME.  (Cathryn Curry - 04/10/2025)</t>
  </si>
  <si>
    <t>ADA64BCC718B4A87B660415894D93988</t>
  </si>
  <si>
    <t>445E0742C86D45F78AAE91657D77132C</t>
  </si>
  <si>
    <t>1.6.4.3</t>
  </si>
  <si>
    <t>12F89B33EFA041D882D636D01422E00F</t>
  </si>
  <si>
    <t>1.6.4.3 Draft Copy</t>
  </si>
  <si>
    <t>Establish Class I Contract Modification</t>
  </si>
  <si>
    <t>• Template "2a_(In-work) Unclaimed" Applied (scope: Current Diagram) (Cathryn Curry - 04/15/2025)
• Class II change. Removed connection to revised Change Management process and added link to box. Will revisit when process is updated with BM.  (Cathryn Curry - 04/15/2025)</t>
  </si>
  <si>
    <t>84A56DBED7A949EEB5559C6638036805</t>
  </si>
  <si>
    <t>F4B2286949FF46C6BAA913B24804C8C1</t>
  </si>
  <si>
    <t>1.11.3.1.6.5</t>
  </si>
  <si>
    <t>6F80F672F2CB4E688416020D7A6EA208</t>
  </si>
  <si>
    <t>1.11.3.1.6.5 Draft Copy</t>
  </si>
  <si>
    <t>Enhance Affordability</t>
  </si>
  <si>
    <t>• Template "2a_(In-work) Unclaimed" Applied (scope: Current Diagram) (Cathryn Curry - 04/10/2025)
• Class II change. Updated FLL connections on passback on box 4.  (Cathryn Curry - 04/10/2025)</t>
  </si>
  <si>
    <t>B1ED524B21614499A7038CBB6F4BF883</t>
  </si>
  <si>
    <t>8F39E5FE5BAE4BEB98971AB4CE861190</t>
  </si>
  <si>
    <t>1.11.3.2.8.4</t>
  </si>
  <si>
    <t>60044D8572D5462D902CBC7AB0E63AD4</t>
  </si>
  <si>
    <t>1.11.3.2.8.4 Draft Copy</t>
  </si>
  <si>
    <t>Develop Material &amp; Subcontract Estimates</t>
  </si>
  <si>
    <t>• Template "1c_(Standard) Engineering Approved" Applied (scope: Diagram Scope List File) (David Magee - 02/23/2024)
• Template "1a_(Standard) Unclaimed" Applied (scope: Diagram Scope List File) (David Magee - 02/23/2024)
• Template "2a_(In-work) Unclaimed" Applied (scope: Current Diagram) (Cathryn Curry - 04/14/2025)
• Class II change. Removed OBE reference from CCB2. BOE passback happens twice earlier in change mgmt process.  (Cathryn Curry - 04/14/2025)</t>
  </si>
  <si>
    <t>C301ABB8A8984BA9A7C1D0C20C4AAB8B</t>
  </si>
  <si>
    <t>62F5C7663BEF44E2A383D554D668FFD3</t>
  </si>
  <si>
    <t>1.2.2.6.1.3</t>
  </si>
  <si>
    <t>20583F7BC6AC4DE68C91FF5114D55850</t>
  </si>
  <si>
    <t>1.2.2.6.1.3 Draft Copy</t>
  </si>
  <si>
    <t xml:space="preserve">Manage Change Control Board (CCB) Roster </t>
  </si>
  <si>
    <t>4/18/2025</t>
  </si>
  <si>
    <t>6DF33B3D02374C4497FF47D65F4C464C</t>
  </si>
  <si>
    <t>1.2.2.6.1</t>
  </si>
  <si>
    <t>DC3182EFA87A4F6A870030BE0985A8FF</t>
  </si>
  <si>
    <t>1.2.2.6.1 Draft Copy</t>
  </si>
  <si>
    <t>Identify Board Membership</t>
  </si>
  <si>
    <t>• Template "2a_(In-work) Unclaimed" Applied (scope: Current Diagram) (Cathryn Curry - 04/18/2025)
• Class I change. Added drilldown on CCB box.  (Cathryn Curry - 04/18/2025)
• Class II change.  On box 9, entitled "Manage IFWG Roster", removed the resource called "IPT Leads".  A drill-down can only have one accountable role. (Chad Lauffer - 04/22/2025)</t>
  </si>
  <si>
    <t>3E109663BCAF4C2CB61ECB86C65D3FDF</t>
  </si>
  <si>
    <t>20B7868642D94F21995021920D2D2F3F</t>
  </si>
  <si>
    <t>1.5.1.3.1</t>
  </si>
  <si>
    <t>D1B6BAE493574221AA9B6BFDAE519EFA</t>
  </si>
  <si>
    <t>1.5.1.3.1 Draft Copy</t>
  </si>
  <si>
    <t>Develop Reliability Allocations &amp; Series Reliability Predictions</t>
  </si>
  <si>
    <t>PS-R&amp;M</t>
  </si>
  <si>
    <t>Alexandra Ryerson</t>
  </si>
  <si>
    <t>11/7/2019</t>
  </si>
  <si>
    <t>• Template "2c_(In-work) Engineering Approved" Applied (scope: Current Diagram) (Cathryn Curry - 04/10/2025)
• Class II change. Deleted flow line link connections to ACB which we were told by the SME does not exist.  (Cathryn Curry - 04/10/2025)</t>
  </si>
  <si>
    <t>206F2225D5EB4B47A5C1D7BF0AC379BE</t>
  </si>
  <si>
    <t>772DF8B6F00D46048257B621BED71C93</t>
  </si>
  <si>
    <t>1.5.1.3.2</t>
  </si>
  <si>
    <t>107C1E6E8A9A4C51A39ACF4D9FE9EBA5</t>
  </si>
  <si>
    <t>1.5.1.3.2 Draft Copy</t>
  </si>
  <si>
    <t>Develop Maintainability Allocations &amp; Predictions</t>
  </si>
  <si>
    <t>• Template "2c_(In-work) Engineering Approved" Applied (scope: Current Diagram) (Cathryn Curry - 04/10/2025)
• Class II change. Deleted FLL connections to ACB which we were told by the SME does not exist.  (Cathryn Curry - 04/10/2025)
• Class I change. Added new flow line and connection called "LO Reliability Predictions Spreadsheet" into the top of AB2 called"Develop Maintainability Predictions" from new SLO Diagrams. (Nicholas Georgeson - 04/23/2025)</t>
  </si>
  <si>
    <t>18BF60C176584A2EB51701CA79926603</t>
  </si>
  <si>
    <t>77F095053CF4431EAF926E4739A76B90</t>
  </si>
  <si>
    <t>1.7.3</t>
  </si>
  <si>
    <t>B585EE5B8601414596DC40377A07058B</t>
  </si>
  <si>
    <t>1.7.3 Draft Copy</t>
  </si>
  <si>
    <t>Manage Program Change / Configuration</t>
  </si>
  <si>
    <t xml:space="preserve">D0-5600 Manage Change Activity 8, </t>
  </si>
  <si>
    <t>• Template "2a_(In-work) Unclaimed" Applied (scope: Current Diagram) (Cathryn Curry - 04/10/2025)
• Class II change. Relocated TPP and Proposed affordability initiative FLL from within manage program change to this level. Added affordability connection to approved change package FLL.  (Cathryn Curry - 04/10/2025)
• Class I change. Connected to "Approved Change Request Package" from AB1 "Manage Program" to new PS Diagrams. (Nicholas Georgeson - 04/17/2025)</t>
  </si>
  <si>
    <t>D0C521EF79A94C5BBF11715DBBA514C8</t>
  </si>
  <si>
    <t>86D0B53E968E43DA94259BEBF197B3FA</t>
  </si>
  <si>
    <t>0.34.14</t>
  </si>
  <si>
    <t>• Template "2a_(In-work) Unclaimed" Applied (scope: Current Diagram) (Cathryn Curry - 04/15/2025)
• Class II change. Updated / added connections to revised Change Mgmt process.  (Cathryn Curry - 04/15/2025)
• Class I change. Added connections to "Draft Document" and "CM Released Document" to the new PS diagrams (Nicholas Georgeson - 04/17/2025)</t>
  </si>
  <si>
    <t>1.11.6.1</t>
  </si>
  <si>
    <t>27CBD34896454DFD8E6F2569CD7497C3</t>
  </si>
  <si>
    <t>1.11.6.1 Draft Copy</t>
  </si>
  <si>
    <t>Prepare Procurement Review Board (PRB) Package</t>
  </si>
  <si>
    <t>• Template "2a_(In-work) Unclaimed" Applied (scope: Current Diagram) (Cathryn Curry - 04/23/2025)
• Class II change. Removed redundant passback from supplier contract negotiations.  (Cathryn Curry - 04/23/2025)</t>
  </si>
  <si>
    <t>940198E55C884E9A9194CD6F7042911A</t>
  </si>
  <si>
    <t>9B8A15541BF3469F87B50C2E784C7FF1</t>
  </si>
  <si>
    <t>1.3</t>
  </si>
  <si>
    <t>PM FHR - PrOP Tracing Updates</t>
  </si>
  <si>
    <t>091F8FDB82E84DDCA08CCAAC86E56F58</t>
  </si>
  <si>
    <t>1.3 Draft Copy</t>
  </si>
  <si>
    <t>Create Product</t>
  </si>
  <si>
    <t>Promotion Ready - 5/1/2025</t>
  </si>
  <si>
    <t>0/1/1</t>
  </si>
  <si>
    <t xml:space="preserve">Establish Flying Test Bed Activity 80, Establish Flying Test Bed Activity 81, </t>
  </si>
  <si>
    <t>• Template "2a_(In-work) Unclaimed" Applied (scope: Current Diagram) (Cathryn Curry - 04/15/2025)
• Class III change. Added PM Trace step to box 2.  (Cathryn Curry - 04/15/2025)</t>
  </si>
  <si>
    <t>9A5B95B5F402428CB4412BA20FF7A99D</t>
  </si>
  <si>
    <t>5CC7731912404DA9A3E20396E057B5B7</t>
  </si>
  <si>
    <t>1.1.6.6</t>
  </si>
  <si>
    <t>C49CE787B6E346BBB77595753B37EEF2</t>
  </si>
  <si>
    <t>1.1.6.6 Draft Copy</t>
  </si>
  <si>
    <t>Shape RFP</t>
  </si>
  <si>
    <t>4/28/2020</t>
  </si>
  <si>
    <t xml:space="preserve">D0-5100 Define Program Activity 2, </t>
  </si>
  <si>
    <t>• Template "2a_(In-work) Unclaimed" Applied (scope: Current Diagram) (Cathryn Curry - 04/15/2025)
• Class III change. Added a trace step to box 7.  (Cathryn Curry - 04/15/2025)</t>
  </si>
  <si>
    <t>503E31B0742B4CEE97EBE36D2EC981D5</t>
  </si>
  <si>
    <t>5F46425FC72B43CDA0B29F1C10C15FE6</t>
  </si>
  <si>
    <t>1.1.7.2</t>
  </si>
  <si>
    <t>515EC43996ED4F1F971A7A21117D0167</t>
  </si>
  <si>
    <t>1.1.7.2 Draft Copy</t>
  </si>
  <si>
    <t>Define / Design the Offer</t>
  </si>
  <si>
    <t xml:space="preserve">nan Activity 2, D0-5400  Manage Risk &amp; Opportunity Activity 2, D0-5100 Define Program Activity 3, nan Activity 6, D0-5400  Manage Risk &amp; Opportunity Activity 6, D0-5100 Define Program Activity 6, D0-5100 Define Program Activity 10, </t>
  </si>
  <si>
    <t>• Template "2a_(In-work) Unclaimed" Applied (scope: Current Diagram) (Cathryn Curry - 04/15/2025)
• Class III change. Added trace step to box 7 from PM PrOP.  (Cathryn Curry - 04/15/2025)</t>
  </si>
  <si>
    <t>9A89B1108792438D988CD25CC5BDE0FC</t>
  </si>
  <si>
    <t>9819E0AA39334F85BCEA9FB73C3E8A2D</t>
  </si>
  <si>
    <t>1.1.7.2.2</t>
  </si>
  <si>
    <t>3BDA8DC9446C46C982522CED9ECC006D</t>
  </si>
  <si>
    <t>1.1.7.2.2 Draft Copy</t>
  </si>
  <si>
    <t>Initiate Risk &amp; Opportunity (R&amp;O) Management</t>
  </si>
  <si>
    <t>3/20/2024</t>
  </si>
  <si>
    <t xml:space="preserve">nan Activity 3, D0-5400  Manage Risk &amp; Opportunity Activity 3, nan Activity 4, D0-5400  Manage Risk &amp; Opportunity Activity 4, nan Activity 5, D0-5400  Manage Risk &amp; Opportunity Activity 5, </t>
  </si>
  <si>
    <t>• Template "2b_(In-work) Claimed" Applied (scope: Current Diagram) (Cathryn Curry - 02/12/2025)
• Class III change. Added commentary and two statement set trace steps to box 1. Added ROMP template, trace steps and desk instruction to box 2.  (Cathryn Curry - 02/12/2025)</t>
  </si>
  <si>
    <t>AA83E800FA5E4F75AB08338E4E2BF195</t>
  </si>
  <si>
    <t>4208FC96AC274141A1043738B3F4634E</t>
  </si>
  <si>
    <t>1.1.7.2.4</t>
  </si>
  <si>
    <t>BA316A8D3BB34AAAB62B799A831D7275</t>
  </si>
  <si>
    <t>1.1.7.2.4 Draft Copy</t>
  </si>
  <si>
    <t>Develop Program Definition Doc (PDD)</t>
  </si>
  <si>
    <t>10</t>
  </si>
  <si>
    <t>4/28/2021</t>
  </si>
  <si>
    <t xml:space="preserve">D0-5100 Define Program Activity 4, D0-5100 Define Program Activity 5, </t>
  </si>
  <si>
    <t>• Template "2b_(In-work) Claimed" Applied (scope: Current Diagram) (Cathryn Curry - 04/15/2025)
• Class III change. Added trace steps from PM PrOP to box 2.  (Cathryn Curry - 04/15/2025)</t>
  </si>
  <si>
    <t>06830E8C77EF4F139AE372CB99D4E669</t>
  </si>
  <si>
    <t>444E029527D841E7A814EBA74BE5D7E0</t>
  </si>
  <si>
    <t>1.1.7.2.5.1</t>
  </si>
  <si>
    <t>D7BA132FC0334EB0BBB13C68541264D7</t>
  </si>
  <si>
    <t>1.1.7.2.5.1 Draft Copy</t>
  </si>
  <si>
    <t>Define Work Scope</t>
  </si>
  <si>
    <t xml:space="preserve">D0-5100 Define Program Activity 8, </t>
  </si>
  <si>
    <t>• Template "2a_(In-work) Unclaimed" Applied (scope: Current Diagram) (Cathryn Curry - 02/11/2025)
• Class III change. Added commentary and statement set trace to box 2.  (Cathryn Curry - 02/11/2025)</t>
  </si>
  <si>
    <t>218B2ED4938243908D4EF51F488E6732</t>
  </si>
  <si>
    <t>8877D72752C240269AB65177B2628A12</t>
  </si>
  <si>
    <t>1.1.7.2.5.3</t>
  </si>
  <si>
    <t>237B731902604562AE45B6133ED3598D</t>
  </si>
  <si>
    <t>1.1.7.2.5.3 Draft Copy</t>
  </si>
  <si>
    <t>Plan Tasks &amp; Schedule</t>
  </si>
  <si>
    <t>6/16/2021</t>
  </si>
  <si>
    <t xml:space="preserve">nan Activity 2, nan Activity 2, nan Activity 2, D0-5200 Manage Requirements - Full Activity 2, nan Activity 2, D0-5200 Manage Requirements Activity 2, nan Activity 2, nan Activity 2, nan Activity 3, nan Activity 3, nan Activity 3, D0-5200 Manage Requirements - Full Activity 3, nan Activity 3, D0-5200 Manage Requirements Activity 3, nan Activity 3, nan Activity 3, </t>
  </si>
  <si>
    <t>• Template "2b_(In-work) Claimed" Applied (scope: Current Diagram) (Cathryn Curry - 02/13/2025)
• Class III change. Added statement set trace, and updated commentary on box 4.  (Cathryn Curry - 02/13/2025)</t>
  </si>
  <si>
    <t>7559CA7031D040D28C4A2DB3AAD4055A</t>
  </si>
  <si>
    <t>62CE5E4C9FC3424DA87299AB5EC4BA3F</t>
  </si>
  <si>
    <t>1.1.7.8.1.3</t>
  </si>
  <si>
    <t>BA35AEC4ACF64B67958C5D0D6B797CCC</t>
  </si>
  <si>
    <t>1.1.7.8.1.3 Draft Copy</t>
  </si>
  <si>
    <t xml:space="preserve">Conduct Independent Reviews (NAR/ICE) (if required) </t>
  </si>
  <si>
    <t xml:space="preserve">D0-5100 Define Program Activity 14, </t>
  </si>
  <si>
    <t>• Template "2b_(In-work) Claimed" Applied (scope: Current Diagram) (Cathryn Curry - 04/15/2025)
• Class III change. Added trace step from PM PrOP on box 1.  (Cathryn Curry - 04/15/2025)</t>
  </si>
  <si>
    <t>1D13DF42ED464160A7684FE27CF8B0C3</t>
  </si>
  <si>
    <t>9CD46BF6ED00434C87A011D34101C022</t>
  </si>
  <si>
    <t>1.10.1</t>
  </si>
  <si>
    <t>7C8069C01006435CBBA20D1B2976E0D0</t>
  </si>
  <si>
    <t>1.10.1 Draft Copy</t>
  </si>
  <si>
    <t>Develop Supply Chain Strategy</t>
  </si>
  <si>
    <t xml:space="preserve">D0-5300 Manage Supplier Activity 8, </t>
  </si>
  <si>
    <t>• Template "2b_(In-work) Claimed" Applied (scope: Current Diagram) (Cathryn Curry - 04/15/2025)
• Class III change. Added PM trace step to box 3.  (Cathryn Curry - 04/15/2025)</t>
  </si>
  <si>
    <t>1D920D6CE9284C1DB608E3019F8F7187</t>
  </si>
  <si>
    <t>81D01DF3FCC640C9B33F09434742589B</t>
  </si>
  <si>
    <t>1.2.12</t>
  </si>
  <si>
    <t>4C5A060D6B5C424AA89D9C5FA4314432</t>
  </si>
  <si>
    <t>1.2.12 Draft Copy</t>
  </si>
  <si>
    <t xml:space="preserve">Conduct Program Start-up Review (PSR) </t>
  </si>
  <si>
    <t xml:space="preserve">D0-5100 Define Program Activity 22, </t>
  </si>
  <si>
    <t>• Template "2b_(In-work) Claimed" Applied (scope: Current Diagram) (Cathryn Curry - 02/11/2025)
• Class III change. Updated commentary on box 1, and added two statement set items from updated PrOP.  (Cathryn Curry - 02/11/2025)</t>
  </si>
  <si>
    <t>80E938880FEB41DBAA16282D65F6DAC0</t>
  </si>
  <si>
    <t>C83228228BF04396B2624D255C71FC21</t>
  </si>
  <si>
    <t>1.2.2.4.1</t>
  </si>
  <si>
    <t>EEB547BA355F43A18D61110A8B1A7C1F</t>
  </si>
  <si>
    <t>1.2.2.4.1 Draft Copy</t>
  </si>
  <si>
    <t>Define Data &amp; Information &amp; Mgmt Approach</t>
  </si>
  <si>
    <t>7/19/2023</t>
  </si>
  <si>
    <t xml:space="preserve">D0-5100 Define Program Activity 18, D0-5100 Define Program Activity 19, </t>
  </si>
  <si>
    <t>• Template "2b_(In-work) Claimed" Applied (scope: Current Diagram) (Cathryn Curry - 02/11/2025)
• Class III change. Added statement set trace and updated commentary on box 1.  (Cathryn Curry - 02/11/2025)</t>
  </si>
  <si>
    <t>22C7571F948444D7AAF497A09A638CB8</t>
  </si>
  <si>
    <t>F3A02792E57940B190BD455569BEE83E</t>
  </si>
  <si>
    <t>1.2.2.4.1.2</t>
  </si>
  <si>
    <t>4F0ACC0DB1B34D3A85671B6EC08EDB73</t>
  </si>
  <si>
    <t>1.2.2.4.1.2 Draft Copy</t>
  </si>
  <si>
    <t>Define Customer Interface Approach</t>
  </si>
  <si>
    <t>8/5/2021</t>
  </si>
  <si>
    <t xml:space="preserve">D0-5100 Define Program Activity 20, </t>
  </si>
  <si>
    <t>• Template "2b_(In-work) Claimed" Applied (scope: Current Diagram) (Cathryn Curry - 02/11/2025)
• Class III change. Added commentary and statement set link to box 3.  (Cathryn Curry - 02/11/2025)</t>
  </si>
  <si>
    <t>10C9B116C70345139221CEB4D5894493</t>
  </si>
  <si>
    <t>87408341590448C8858A91DB0E7651BE</t>
  </si>
  <si>
    <t>1.2.3</t>
  </si>
  <si>
    <t>4146C30C12954FEDA92B46F334B3149A</t>
  </si>
  <si>
    <t>1.2.3 Draft Copy</t>
  </si>
  <si>
    <t xml:space="preserve">Initiate Requirements Management </t>
  </si>
  <si>
    <t xml:space="preserve">D0-5300 Manage Supplier Activity 5, nan Activity 6, nan Activity 6, nan Activity 6, nan Activity 6, D0-5200 Manage Requirements Activity 6, nan Activity 6, nan Activity 6, nan Activity 7, nan Activity 7, nan Activity 7, D0-5200 Manage Requirements - Full Activity 7, nan Activity 7, D0-5200 Manage Requirements Activity 7, nan Activity 7, nan Activity 7, D0-5200 Manage Requirements - Full Activity 8, </t>
  </si>
  <si>
    <t>• Template "2a_(In-work) Unclaimed" Applied (scope: Current Diagram) (Cathryn Curry - 04/09/2025)
• Class II change. Updated commentary on box 2 and corrected trace step from PM PrOP from box 3 to box 2.  (Cathryn Curry - 04/09/2025)</t>
  </si>
  <si>
    <t>864986FF55CF401B9E59E55ADD0A5853</t>
  </si>
  <si>
    <t>A9AB1F8DB0334212B65F6C0D9030934D</t>
  </si>
  <si>
    <t>1.2.4</t>
  </si>
  <si>
    <t>67E4AA1E47CD40F5B70CA507618FDA25</t>
  </si>
  <si>
    <t>1.2.4 Draft Copy</t>
  </si>
  <si>
    <t>Establish Contract (BAP 6)</t>
  </si>
  <si>
    <t xml:space="preserve">D0-5300 Manage Supplier Activity 2, </t>
  </si>
  <si>
    <t>• Template "2a_(In-work) Unclaimed" Applied (scope: Current Diagram) (Cathryn Curry - 03/10/2025)
• Class III change. Added commentary and trace step to box 9 from updated PM PrOP.  (Cathryn Curry - 03/10/2025)</t>
  </si>
  <si>
    <t>DA389C3F68EB44308C9CFD9371DF041B</t>
  </si>
  <si>
    <t>1B23E156B448409E87CF7C3009473C37</t>
  </si>
  <si>
    <t>1.2.7.1.2</t>
  </si>
  <si>
    <t>166779A1A22C42B8AE0ECAB5801B6F52</t>
  </si>
  <si>
    <t>1.2.7.1.2 Draft Copy</t>
  </si>
  <si>
    <t>1.2.7.1.1.1 Draft Copy</t>
  </si>
  <si>
    <t>1.2.7.1.1.1</t>
  </si>
  <si>
    <t>Develop Risk &amp; Opportunity Management Plan (ROMP)</t>
  </si>
  <si>
    <t xml:space="preserve">nan Activity 8, D0-5400  Manage Risk &amp; Opportunity Activity 8, nan Activity 9, D0-5400  Manage Risk &amp; Opportunity Activity 9, </t>
  </si>
  <si>
    <t>• Template "1a_(Standard) Unclaimed" Applied (scope: Current Diagram) (Nicholas Georgeson - 04/11/2024)
• Template "2a_(In-work) Unclaimed" Applied (scope: Current Diagram) (Cathryn Curry - 03/10/2025)
• Class III change. Added trace steps and commentary to box 1.  (Cathryn Curry - 03/10/2025)</t>
  </si>
  <si>
    <t>7590588D676D4F088747CCC2911F5E67</t>
  </si>
  <si>
    <t>6E4AB408C5D94710BD2DA26EBC543454</t>
  </si>
  <si>
    <t>1.2.9</t>
  </si>
  <si>
    <t>F36BB07C19334BBAB41C1BDA2D1D5BAF</t>
  </si>
  <si>
    <t>1.2.9 Draft Copy</t>
  </si>
  <si>
    <t>Establish Performance Measurement Baseline (PMB)</t>
  </si>
  <si>
    <t>• Template "2a_(In-work) Unclaimed" Applied (scope: Current Diagram) (Cathryn Curry - 02/12/2025)
• Class III change. Added commentary and trace step to box 3.  (Cathryn Curry - 02/12/2025)</t>
  </si>
  <si>
    <t>4C01121994AE4257A7030F082670C3C4</t>
  </si>
  <si>
    <t>68F39B726E094C4AABF1E825313C60EE</t>
  </si>
  <si>
    <t>1.7.1.3</t>
  </si>
  <si>
    <t>471371713CA24C808BECE4AA37C91141</t>
  </si>
  <si>
    <t>1.7.1.3 Draft Copy</t>
  </si>
  <si>
    <t>Handle R&amp;Os</t>
  </si>
  <si>
    <t xml:space="preserve">nan Activity 12, D0-5400  Manage Risk &amp; Opportunity Activity 21, D0-5400  Manage Risk &amp; Opportunity Activity 22, </t>
  </si>
  <si>
    <t>• Template "1b_(Standard) Claimed" Applied (scope: Diagram Scope List File) (Cathryn Curry - 11/19/2023)
• Template "2b_(In-work) Claimed" Applied (scope: Current Diagram) (Cathryn Curry - 02/12/2025)
• Class III change. Added commentary and statement set link to box 1.  (Cathryn Curry - 02/12/2025)</t>
  </si>
  <si>
    <t>CBE0AB07EE7C4205A16D4C4E7D9B49D7</t>
  </si>
  <si>
    <t>639E41E7F9984ED4A26E05921E805736</t>
  </si>
  <si>
    <t>1.7.1.4</t>
  </si>
  <si>
    <t>4BDAA662DDCE47FC8DB4C87EBA2182CF</t>
  </si>
  <si>
    <t>1.7.1.4 Draft Copy</t>
  </si>
  <si>
    <t>Monitor R&amp;Os</t>
  </si>
  <si>
    <t xml:space="preserve">nan Activity 14, D0-5400  Manage Risk &amp; Opportunity Activity 24, D0-5400  Manage Risk &amp; Opportunity Activity 25, </t>
  </si>
  <si>
    <t>• Template "2b_(In-work) Claimed" Applied (scope: Current Diagram) (Cathryn Curry - 02/12/2025)
• Class III change. Added commentary and trace step to box 1.  (Cathryn Curry - 02/12/2025)</t>
  </si>
  <si>
    <t>582F2AD435004AE2BB1FACCF57E73DF7</t>
  </si>
  <si>
    <t>4DCE214B89F54978BCA522677B28931A</t>
  </si>
  <si>
    <t>1.7.2</t>
  </si>
  <si>
    <t>D6CEB584BF874C66A9B0F78E0E413E56</t>
  </si>
  <si>
    <t>1.7.2 Draft Copy</t>
  </si>
  <si>
    <t xml:space="preserve">Manage Programmatic Requirements </t>
  </si>
  <si>
    <t xml:space="preserve">nan Activity 10, nan Activity 10, nan Activity 10, nan Activity 10, D0-5200 Manage Requirements Activity 10, nan Activity 10, nan Activity 10, nan Activity 11, nan Activity 11, nan Activity 11, D0-5200 Manage Requirements - Full Activity 11, nan Activity 11, D0-5200 Manage Requirements Activity 11, nan Activity 11, nan Activity 11, nan Activity 12, nan Activity 12, nan Activity 12, D0-5200 Manage Requirements - Full Activity 12, nan Activity 12, D0-5200 Manage Requirements Activity 12, nan Activity 12, nan Activity 12, D0-5200 Manage Requirements - Full Activity 13, </t>
  </si>
  <si>
    <t>• Template "2b_(In-work) Claimed" Applied (scope: Current Diagram) (Cathryn Curry - 04/15/2025)
• Class III change. Added trace steps from updated PM PrOP.  (Cathryn Curry - 04/15/2025)</t>
  </si>
  <si>
    <t>90347AE2B18A4B748EB1378A193AAAFF</t>
  </si>
  <si>
    <t>DAE1D5AAFA164D45BA26B56D2980E3E7</t>
  </si>
  <si>
    <t>1.2.2.5.3</t>
  </si>
  <si>
    <t>FBB9373822AB4724902D624AB749DD67</t>
  </si>
  <si>
    <t>1.2.2.5.3 Draft Copy</t>
  </si>
  <si>
    <t>Define &amp; Manage Strategic Rhythm</t>
  </si>
  <si>
    <t>• Template "2b_(In-work) Claimed" Applied (scope: Current Diagram) (Cathryn Curry - 04/17/2025)
• Class III change. Added trace step to box 5 from PM PrOP.  (Cathryn Curry - 04/17/2025)</t>
  </si>
  <si>
    <t>16C53C1E8D214533A02697B856BCC9B1</t>
  </si>
  <si>
    <t>841FD717760341FF9B301FE86A4859C4</t>
  </si>
  <si>
    <t>1.2.7.1.3.4</t>
  </si>
  <si>
    <t>24A345C22AC84098917156242BF7C4FF</t>
  </si>
  <si>
    <t>1.2.7.1.3.4 Draft Copy</t>
  </si>
  <si>
    <t>Create CDM Plans</t>
  </si>
  <si>
    <t>6/24/2021</t>
  </si>
  <si>
    <t xml:space="preserve">D0-5600 Manage Change Activity 2, D0-5600 Manage Change Activity 3, </t>
  </si>
  <si>
    <t>• Template "2c_(In-work) Engineering Approved" Applied (scope: Current Diagram) (Cathryn Curry - 04/17/2025)
• Class III change. Added PM PrOP statement sets to box 1.  (Cathryn Curry - 04/17/2025)</t>
  </si>
  <si>
    <t>1824109CE3C44341B6E0DAC6F9F17E1C</t>
  </si>
  <si>
    <t>734A5051773A4FCBABBD420AD648EAC1</t>
  </si>
  <si>
    <t>1.7</t>
  </si>
  <si>
    <t>2061D934B4CB4C8698F16614FB385804</t>
  </si>
  <si>
    <t>1.7 Draft Copy</t>
  </si>
  <si>
    <t>Manage Program</t>
  </si>
  <si>
    <t xml:space="preserve">nan Activity 9, nan Activity 9, nan Activity 9, nan Activity 9, D0-5200 Manage Requirements Activity 9, nan Activity 9, nan Activity 9, nan Activity 10, D0-5200 Manage Requirements - Full Activity 10, D0-5400  Manage Risk &amp; Opportunity Activity 10, </t>
  </si>
  <si>
    <t>• Template "2b_(In-work) Claimed" Applied (scope: Current Diagram) (Cathryn Curry - 04/17/2025)
• Class III change. Added PM PrOP trace step to box 5.  (Cathryn Curry - 04/17/2025)
• Template "2a_(In-work) Unclaimed" Applied (scope: Current Diagram) (Chad Lauffer - 04/22/2025)</t>
  </si>
  <si>
    <t>92669F29C9FE4D19A4032D8D39519949</t>
  </si>
  <si>
    <t>F2334E16BE0C4B62B0ADF545683B7475</t>
  </si>
  <si>
    <t>1.7.4.1</t>
  </si>
  <si>
    <t>7D58ED82D0BF4C6C88C6FC404C5008F6</t>
  </si>
  <si>
    <t>1.7.4.1 Draft Copy</t>
  </si>
  <si>
    <t>Monitor &amp; Report Performance</t>
  </si>
  <si>
    <t>ESM7424</t>
  </si>
  <si>
    <t>• Template "2b_(In-work) Claimed" Applied (scope: Current Diagram) (Cathryn Curry - 04/17/2025)
• Class III change. Added PM PrOP trace step to box 1.  (Cathryn Curry - 04/17/2025)</t>
  </si>
  <si>
    <t>EF9A72923B8941A29D01B28A138914C6</t>
  </si>
  <si>
    <t>CAEDFBF57CC34846A958D55DA4483E9A</t>
  </si>
  <si>
    <t>1.7.4.1.3</t>
  </si>
  <si>
    <t>D24AF6C12E454072928C150BB975148F</t>
  </si>
  <si>
    <t>1.7.4.1.3 Draft Copy</t>
  </si>
  <si>
    <t>Conduct Program Management Review (PMR)</t>
  </si>
  <si>
    <t>• Template "2b_(In-work) Claimed" Applied (scope: Current Diagram) (Cathryn Curry - 04/18/2025)
• Class III change. Added a trace step and commentary on box 2.  (Cathryn Curry - 04/18/2025)</t>
  </si>
  <si>
    <t>2A628EB75DDA41499D780E2F24AC0902</t>
  </si>
  <si>
    <t>B6F7DB0EFC8440CB8BDA3CDC12CFBE4E</t>
  </si>
  <si>
    <t>PM FHR - Risk &amp; Opp Update</t>
  </si>
  <si>
    <t xml:space="preserve">D0-5300 Manage Supplier Activity 3, D0-5300 Manage Supplier Activity 4, nan Activity 5, nan Activity 5, nan Activity 5, nan Activity 5, D0-5200 Manage Requirements Activity 5, nan Activity 5, nan Activity 5, D0-5300 Manage Supplier Activity 6, D0-5200 Manage Requirements - Full Activity 6, D0-5600 Manage Change Activity 7, nan Activity 8, nan Activity 8, nan Activity 8, nan Activity 8, D0-5200 Manage Requirements Activity 8, nan Activity 8, nan Activity 8, D0-5200 Manage Requirements - Full Activity 9, D0-5100 Define Program Activity 15, D0-5100 Define Program Activity 21, </t>
  </si>
  <si>
    <t>• Template "2a_(In-work) Unclaimed" Applied (scope: Current Diagram) (Chad Lauffer - 04/03/2025)
• Class I change.  On box 3, entitled "Initiate Requirements Management", removed a flow line link from the existing output called "Technical Requirements". It no longer needs to connect to the Structural Full-scale Test area. (Chad Lauffer - 04/03/2025)
• Class II change. Updated FLL out of box 8 from IPRS to new Management Systems Status Summary which feeds into the development of draft CPLC in box 7. Renamed box 8. Added FLL connection from Preliminary RAM to box 2.  (Cathryn Curry - 04/15/2025)</t>
  </si>
  <si>
    <t>1.2.7</t>
  </si>
  <si>
    <t>4288478D561B45AD95233EB5BF8CDBB7</t>
  </si>
  <si>
    <t>1.2.7 Draft Copy</t>
  </si>
  <si>
    <t>Develop Program Defining Documents</t>
  </si>
  <si>
    <t xml:space="preserve">D0-5600 Manage Change Activity 6, </t>
  </si>
  <si>
    <t>• Template "2a_(In-work) Unclaimed" Applied (scope: Current Diagram) (Cathryn Curry - 04/15/2025)
• Class II change. Added new FLL to Management Systems Status Summary and shifted diagram to accomodate.  (Cathryn Curry - 04/15/2025)</t>
  </si>
  <si>
    <t>D49E61FDD828444C87BF2C61B43619D9</t>
  </si>
  <si>
    <t>1AB213F038E74FF684302F9267DC26C2</t>
  </si>
  <si>
    <t>1.2.8</t>
  </si>
  <si>
    <t>This was previously a claimed diagram, but that diagram is now in a drill down, and this level is not to be claimed</t>
  </si>
  <si>
    <t>6C4C280DD742459FA0635EFCEC94A5E1</t>
  </si>
  <si>
    <t>1.2.8 Draft Copy</t>
  </si>
  <si>
    <t>Initiate Management Systems</t>
  </si>
  <si>
    <t>1/30/2023</t>
  </si>
  <si>
    <t>• Template "2a_(In-work) Unclaimed" Applied (scope: Current Diagram) (Cathryn Curry - 04/15/2025)
• Class I change. Converting this diagram into an area where all programmatic systems are stood up. Sent IPRS into a drill down, and added R&amp;O Register.  (Cathryn Curry - 04/15/2025)</t>
  </si>
  <si>
    <t>41B1B863F0E64DA785502692C994698C</t>
  </si>
  <si>
    <t>400B24BDD59A44B4B38938AB836BF6FC</t>
  </si>
  <si>
    <t>1.2.8.1</t>
  </si>
  <si>
    <t>D0B16F800D0A4E3C84AD9E560C1EB8FA</t>
  </si>
  <si>
    <t>1.2.8.1 Draft Copy</t>
  </si>
  <si>
    <t>Initiate Program Performance Reporting</t>
  </si>
  <si>
    <t>4/15/2025</t>
  </si>
  <si>
    <t>BE8095816FE645CBBFE689B019620025</t>
  </si>
  <si>
    <t>1.2.8.1.5</t>
  </si>
  <si>
    <t>E5C991F5CC1646649AE3B9048E7502AB</t>
  </si>
  <si>
    <t>1.2.8.1.5 Draft Copy</t>
  </si>
  <si>
    <t>Initiate Sector-standard Performance Reporting</t>
  </si>
  <si>
    <t>2/25/2023</t>
  </si>
  <si>
    <t>• Template "6_ADMIN. No change but promo required." Applied (scope: Current Diagram) (Cathryn Curry - 04/16/2025)
• Template "2b_(In-work) Claimed" Applied (scope: Current Diagram) (Cathryn Curry - 04/22/2025)
• Class III change. Added "Systems Set up Status Notification" to output stack to match above updates.  (Cathryn Curry - 04/22/2025)</t>
  </si>
  <si>
    <t>64CB3150E0084ACEBFEA4F4124415136</t>
  </si>
  <si>
    <t>F2F7A6EE52D14EF8837D3FE446DA0DDE</t>
  </si>
  <si>
    <t>1.2.8.2</t>
  </si>
  <si>
    <t>95EACE6FC1AB4A7EBC7614351E051BEA</t>
  </si>
  <si>
    <t>1.2.8.2 Draft Copy</t>
  </si>
  <si>
    <t>Develop Program Risk &amp; Opportunity Register</t>
  </si>
  <si>
    <t>4/10/2025</t>
  </si>
  <si>
    <t>F4EB867DE9CA42A3BA1519572C3BD42E</t>
  </si>
  <si>
    <t>1.7.4.1.1</t>
  </si>
  <si>
    <t>5DF3C815D1EC48CC89BD92AA2BA24003</t>
  </si>
  <si>
    <t>1.7.4.1.1 Draft Copy</t>
  </si>
  <si>
    <t>Conduct Reporting System Update</t>
  </si>
  <si>
    <t>• Template "2b_(In-work) Claimed" Applied (scope: Current Diagram) (Cathryn Curry - 04/15/2025)
• Class II change. Updated FLL on box 3 to new location in 1.2.8 (Cathryn Curry - 04/15/2025)</t>
  </si>
  <si>
    <t>35C4D3E6025F44A199ACC0558F81D267</t>
  </si>
  <si>
    <t>630663C7FE664F71A1ED3F4C29A1190A</t>
  </si>
  <si>
    <t>1.2.7.1.5.2.5.7</t>
  </si>
  <si>
    <t>System Safety</t>
  </si>
  <si>
    <t>AB183E447790449F96C1EB92A8F7C5AA</t>
  </si>
  <si>
    <t>1.2.7.1.5.2.5.7 Draft Copy</t>
  </si>
  <si>
    <t>Develop System Safety Program Plan (SSPP)</t>
  </si>
  <si>
    <t>SE-Sys Safety</t>
  </si>
  <si>
    <t>Manuel Duarte</t>
  </si>
  <si>
    <t>• Template "1c_(Standard) Engineering Approved" Applied (scope: Diagram Scope List File) (David Magee - 02/23/2024)
• Deleted data table attachment "Needs Attachment" from Activity: Create System Safety Program Plan (SSPP) (Chad Lauffer - 04/10/2025)
• Template "2c_(In-work) Engineering Approved" Applied (scope: Current Diagram) (Chad Lauffer - 04/10/2025)
• Class II change.  On box 1, entitiled "Create System Safety Program Plan (SSPP)", added the template and DID as attachments. (Chad Lauffer - 04/10/2025)</t>
  </si>
  <si>
    <t>21762E38B3A94EAF9F66DC93DC03A8D5</t>
  </si>
  <si>
    <t>28390481FB0B47DDBAD06AB36169A5BB</t>
  </si>
  <si>
    <t>1.11.7</t>
  </si>
  <si>
    <t>D05F9D3100844728B637CABD012E28BD</t>
  </si>
  <si>
    <t>1.11.7 Draft Copy</t>
  </si>
  <si>
    <t>Product Support Supporting Processes</t>
  </si>
  <si>
    <t>PS-PSM</t>
  </si>
  <si>
    <t>Stephen Bennice</t>
  </si>
  <si>
    <t>7/23/2020</t>
  </si>
  <si>
    <t>66BFFB901D4547E98AB8D872C613721F</t>
  </si>
  <si>
    <t>5B25BA744AB946B78C4A4162D202D60E</t>
  </si>
  <si>
    <t>1.11.2.3.1</t>
  </si>
  <si>
    <t>78B2A8A22E8F457D88BB8AD7E8160618</t>
  </si>
  <si>
    <t>1.11.2.3.1 Draft Copy</t>
  </si>
  <si>
    <t>Manage Material / Process Specification Library Changes</t>
  </si>
  <si>
    <t>Herbert Miles</t>
  </si>
  <si>
    <t>Authorization Pending - 5/16/2025</t>
  </si>
  <si>
    <t>E0-7600</t>
  </si>
  <si>
    <t>• Template "1c_(Standard) Engineering Approved" Applied (scope: Diagram Scope List File) (Nicholas Georgeson - 01/16/2024)
• Template "1c_(Standard) Engineering Approved" Applied (scope: Diagram Scope List File) (David Magee - 02/23/2024)
• Template "2c_(In-work) Engineering Approved" Applied (scope: Current Diagram) (David Magee - 02/24/2025)
• Class III change. Added ETP7605-2, ETP7605-4, and ETP7605-6 to diagram paperclip. (David Magee - 02/24/2025)
• Class I change. On box 4, entitled "Initiate Qualification", added a new dog-legged line with a flow line link.  This is now connected with the "Manage Aerosciences Test Project" area. (Chad Lauffer - 03/05/2025)
• Class I change. Connected "Released M&amp;P Specification" to new SLO diagrams &amp; added new FLL connection to "Potential Need for New or Revised Internl Common Material / Process" from new SLO diagram (Nicholas Georgeson - 04/18/2025)</t>
  </si>
  <si>
    <t>C23708E885864989A85062A90BD76853</t>
  </si>
  <si>
    <t>303ED930F35C4C2A988812F8F8F4A7F6</t>
  </si>
  <si>
    <t>1.11.2.5.1.6</t>
  </si>
  <si>
    <t>BD03F14D553640D8BFFDE12820A6AE64</t>
  </si>
  <si>
    <t>1.11.2.5.1.6 Draft Copy</t>
  </si>
  <si>
    <t>Manage Survivability</t>
  </si>
  <si>
    <t>Brett Geraghty</t>
  </si>
  <si>
    <t>Virginia Busse</t>
  </si>
  <si>
    <t>ESM8502</t>
  </si>
  <si>
    <t>• Template "1c_(Standard) Engineering Approved" Applied (scope: Diagram Scope List File) (Nicholas Georgeson - 01/16/2024)
• Template "2c_(In-work) Engineering Approved" Applied (scope: Current Diagram) (Nicholas Georgeson - 04/22/2025)
• Class I change. Added FLL connection from "Survivability Support Plan" to new SLO diagrams.  (Nicholas Georgeson - 04/22/2025)</t>
  </si>
  <si>
    <t>8B96603B4E884468B1044C94D5CF2D0C</t>
  </si>
  <si>
    <t>390ABBD5BFF4450E84EA888862A8D440</t>
  </si>
  <si>
    <t>1.11.2.5.1.6.3</t>
  </si>
  <si>
    <t>3AA4FBBBFFAB450A9160C4DA02DBB148</t>
  </si>
  <si>
    <t>1.11.2.5.1.6.3 Draft Copy</t>
  </si>
  <si>
    <t>Provide Survivability Support Guidance</t>
  </si>
  <si>
    <t>Christian Reyes</t>
  </si>
  <si>
    <t>9/13/2022</t>
  </si>
  <si>
    <t>• Template "2c_(In-work) Engineering Approved" Applied (scope: Current Diagram) (Nicholas Georgeson - 04/22/2025)</t>
  </si>
  <si>
    <t>164B34ED293E4B029310AB525ED863C4</t>
  </si>
  <si>
    <t>0B3393EA3BD84473AF4D5C2305941D49</t>
  </si>
  <si>
    <t>1.11.2.6.6</t>
  </si>
  <si>
    <t>4E15EC25248A4E9F8C692D1E38D7CBEA</t>
  </si>
  <si>
    <t>1.11.2.6.6 Draft Copy</t>
  </si>
  <si>
    <t>Manage Measurement &amp; Test Equipment</t>
  </si>
  <si>
    <t>T&amp;E-Eng Asset Mgmt (EAM)</t>
  </si>
  <si>
    <t>Orville Dothage</t>
  </si>
  <si>
    <t>Garrett Cannon</t>
  </si>
  <si>
    <t>12/14/2018</t>
  </si>
  <si>
    <t>• Template "2c_(In-work) Engineering Approved" Applied (scope: Current Diagram) (Nicholas Georgeson - 04/21/2025)
• Class I cahnge. Added FLL connection from new SLO diagrams to "Need For Test Equipment"  (Nicholas Georgeson - 04/21/2025)</t>
  </si>
  <si>
    <t>6558BD45905D40119C6405611B9DD3D5</t>
  </si>
  <si>
    <t>BF0500E64DAC44B09C9FD4EEE3590D98</t>
  </si>
  <si>
    <t>1.11.2.7.17</t>
  </si>
  <si>
    <t>65C8A296A77E468B920AC3D256737123</t>
  </si>
  <si>
    <t>1.11.2.7.17 Draft Copy</t>
  </si>
  <si>
    <t>Develop Vehicle Configuration</t>
  </si>
  <si>
    <t>FS-Configuration</t>
  </si>
  <si>
    <t>Promotion Ready - 5/11/2025</t>
  </si>
  <si>
    <t>• Template "2a_(In-work) Unclaimed" Applied (scope: Current Diagram) (Chad Lauffer - 03/05/2025)
• Class I change. On box 3, entitled "Create OML Surface Loft", added a new flow line link to the existing output called "CAD Model (Geometry Definition)".  It's now connected with the "Manage Aerosciences Test Project" area. (Chad Lauffer - 03/05/2025)
• Template "1a_(Standard) Unclaimed" Applied (scope: Current Diagram) (Nicholas Georgeson - 05/01/2025)
• Template "2a_(In-work) Unclaimed" Applied (scope: Current Diagram) (Nicholas Georgeson - 05/01/2025)
• Class I change.  Connected to "CAD Model" output of AB3 "Create OML Surface Loft" to the same new PS diagrams. (Nicholas Georgeson - 05/01/2025)</t>
  </si>
  <si>
    <t>6BB57AE6AB2746B3856651758016FC3C</t>
  </si>
  <si>
    <t>BE1E8C13436241D7883F7E68A8012F61</t>
  </si>
  <si>
    <t>1.11.2.7.17.5</t>
  </si>
  <si>
    <t>1C0347B022A3477BAB806B2A26EF5F04</t>
  </si>
  <si>
    <t>1.11.2.7.17.5 Draft Copy</t>
  </si>
  <si>
    <t>Develop General Arrangement Drawing</t>
  </si>
  <si>
    <t>Promotion Ready - 5/13/2025</t>
  </si>
  <si>
    <t>10/21/2020</t>
  </si>
  <si>
    <t>• Template "2a_(In-work) Unclaimed" Applied (scope: Current Diagram) (Nicholas Georgeson - 05/01/2025)
• Class I change. Connected to "General Arrangement Drawing, CAD Model" from AB2 "Create General Arrangement Drawing / Model" to new PS Diagrams.  (Nicholas Georgeson - 05/01/2025)</t>
  </si>
  <si>
    <t>D299BC978D4541B59A39CE88BF2C8AFB</t>
  </si>
  <si>
    <t>F7CED52B22DC40D686D5D9CC24DC92DB</t>
  </si>
  <si>
    <t>1.11.7.7</t>
  </si>
  <si>
    <t>7BF2314B3AF642868B0913EC28D0F232</t>
  </si>
  <si>
    <t>1.11.7.7 Draft Copy</t>
  </si>
  <si>
    <t>Perform FRACAS &amp; Diagnostic Analysis</t>
  </si>
  <si>
    <t>6/13/2021</t>
  </si>
  <si>
    <t>672DB5DC5BAA455698BC4AA0408CF0F1</t>
  </si>
  <si>
    <t>899479284A7E4BF38F5A4AF4C383886E</t>
  </si>
  <si>
    <t>1.2.7.1.12</t>
  </si>
  <si>
    <t>Will be promoted 5/2</t>
  </si>
  <si>
    <t>B8649C81C9C44C7B8D282BC7D7EE2A37</t>
  </si>
  <si>
    <t>1.2.7.1.12 Draft Copy</t>
  </si>
  <si>
    <t xml:space="preserve">Develop Integrated Test Plan (ITP) </t>
  </si>
  <si>
    <t>T&amp;E-TP&amp;R</t>
  </si>
  <si>
    <t>Jil Barnum</t>
  </si>
  <si>
    <t>• Template "2c_(In-work) Engineering Approved" Applied (scope: Current Diagram) (Chad Lauffer - 03/05/2025)
• Class I change.  On box 5, entitled "Notify Document Stakeholders", added a new flow line link to the existing output called "ITP".  This is now connected with the "Manage Aerosciences Test Project" area. (Chad Lauffer - 03/05/2025)
• Class I change.  On box 1, entitled "Establish Overarching Test Objectives", added two new flow line link connections to the existing input called "Test Objectives".  This is now connected with the a few flight sciences areas that call for wind tunnel tests. (Chad Lauffer - 03/05/2025)
• Class I change. Connected to "Test Objectives" FLL From new PS Diagrams. (Nicholas Georgeson - 04/18/2025)</t>
  </si>
  <si>
    <t>DF726DC9EA3245AF881E40CEA748B243</t>
  </si>
  <si>
    <t>8D53A7B35006495EAA0F7F507F5F36BA</t>
  </si>
  <si>
    <t>1.2.7.1.13</t>
  </si>
  <si>
    <t>5E67F168EA49493CBADD377113869C48</t>
  </si>
  <si>
    <t>1.2.7.1.13 Draft Copy</t>
  </si>
  <si>
    <t>Establish Reliability, Availability, &amp; Maintainability (RAM) Plan</t>
  </si>
  <si>
    <t>Kenneth Crooks</t>
  </si>
  <si>
    <t>11/6/2019</t>
  </si>
  <si>
    <t>• Template "2c_(In-work) Engineering Approved" Applied (scope: Current Diagram) (Nicholas Georgeson - 04/21/2025)
• Class I change. Added new FLL connection from "RAM Plan" to new SLO diagrams. (Nicholas Georgeson - 04/21/2025)</t>
  </si>
  <si>
    <t>8A086295037E4AC093CA15D3B2BB8C61</t>
  </si>
  <si>
    <t>18A6EBFC22E448DEB308E759386DA5C2</t>
  </si>
  <si>
    <t>13</t>
  </si>
  <si>
    <t>Brian Hodgkinson</t>
  </si>
  <si>
    <t>• Template "2c_(In-work) Engineering Approved" Applied (scope: Current Diagram) (Nicholas Georgeson - 04/18/2025)
• Class I change. Add FLL to connection to "Facility / Support Requirements" from new PS diagrams.  (Nicholas Georgeson - 04/18/2025)</t>
  </si>
  <si>
    <t>1.3.4.4</t>
  </si>
  <si>
    <t>61CFC447118B4800965CB6FB90FF427B</t>
  </si>
  <si>
    <t>1.3.4.4 Draft Copy</t>
  </si>
  <si>
    <t>Develop Test Plans &amp; Procedures</t>
  </si>
  <si>
    <t xml:space="preserve">Establish Flying Test Bed Activity 44, Establish Flying Test Bed Activity 51, Establish Flying Test Bed Activity 56, Establish Flying Test Bed Activity 57, Establish Flying Test Bed Activity 63, Establish Flying Test Bed Activity 64, Establish Flying Test Bed Activity 65, Establish Flying Test Bed Activity 68, </t>
  </si>
  <si>
    <t>• Template "2c_(In-work) Engineering Approved" Applied (scope: Current Diagram) (Nicholas Georgeson - 04/24/2025)
• Class I change. Added multiple FLL connections from new SLO diagrams to "Assigned Princial Investigator" , "Test Point Recommendations", and "Instrumentation Recommendations". (Nicholas Georgeson - 04/24/2025)</t>
  </si>
  <si>
    <t>C351ED2531684E408726B0B7BB867F9F</t>
  </si>
  <si>
    <t>A8646CE46BA34C9C99ACDE51DA7724C2</t>
  </si>
  <si>
    <t>1.3.6.2</t>
  </si>
  <si>
    <t>D8B9F051DC2442C4BB1633033A4D144C</t>
  </si>
  <si>
    <t>1.3.6.2 Draft Copy</t>
  </si>
  <si>
    <t>Perform Pre-test Activities</t>
  </si>
  <si>
    <t>Steven Madison</t>
  </si>
  <si>
    <t>Kevin Quinn (Deleted)</t>
  </si>
  <si>
    <t xml:space="preserve">Establish Flying Test Bed Activity 102, Establish Flying Test Bed Activity 103, Establish Flying Test Bed Activity 104, Establish Flying Test Bed Activity 105, Establish Flying Test Bed Activity 107, Establish Flying Test Bed Activity 109, </t>
  </si>
  <si>
    <t>• Template "2c_(In-work) Engineering Approved" Applied (scope: Current Diagram) (Nicholas Georgeson - 04/29/2025)
• Class I change. Added FLL connection to "Assigned Data Monitor" from new SLO diagrams. (Nicholas Georgeson - 04/29/2025)</t>
  </si>
  <si>
    <t>7C3D49C6BE4B4EC5A071A0A9E43B2B3A</t>
  </si>
  <si>
    <t>910EC93CDFE3423F913D03FB7C603E99</t>
  </si>
  <si>
    <t>1.3.6.4</t>
  </si>
  <si>
    <t>3ABF6DA52DF74914A53E4F06D607817A</t>
  </si>
  <si>
    <t>1.3.6.4 Draft Copy</t>
  </si>
  <si>
    <t>Perform Ground &amp; Flight Post-test Activities</t>
  </si>
  <si>
    <t xml:space="preserve">Establish Flying Test Bed Activity 114, Establish Flying Test Bed Activity 115, Establish Flying Test Bed Activity 116, Establish Flying Test Bed Activity 117, Establish Flying Test Bed Activity 118, Establish Flying Test Bed Activity 119, </t>
  </si>
  <si>
    <t>• Template "2c_(In-work) Engineering Approved" Applied (scope: Current Diagram) (Nicholas Georgeson - 04/24/2025)
• Class I change. Add FLL connection from "Processed Ground / Flight Test Data" to new SLO diagram also added connection to "Inadequate Test Results". (Nicholas Georgeson - 04/24/2025)</t>
  </si>
  <si>
    <t>BE52EAD4F8594D6FB2FADB1581E1495B</t>
  </si>
  <si>
    <t>16742AE5E7A64F8FAE107434E8167015</t>
  </si>
  <si>
    <t>1.5.1</t>
  </si>
  <si>
    <t>Impacted Claimed Diagram (not for approval)</t>
  </si>
  <si>
    <t>BAD968A97EC24C2694BBA4F264410C62</t>
  </si>
  <si>
    <t>1.5.1 Draft Copy</t>
  </si>
  <si>
    <t>Design for Support</t>
  </si>
  <si>
    <t>Derrick Barganier</t>
  </si>
  <si>
    <t>Promotion Ready - 5/15/2025</t>
  </si>
  <si>
    <t>1/27/2020</t>
  </si>
  <si>
    <t>• Template "2b_(In-work) Claimed" Applied (scope: Current Diagram) (Nicholas Georgeson - 04/17/2025)</t>
  </si>
  <si>
    <t>AE1F6D36255F4B62A4CA8BB4E63A31C6</t>
  </si>
  <si>
    <t>626BECC6490347B7962E0BC287C478A4</t>
  </si>
  <si>
    <t>1.5.1.2</t>
  </si>
  <si>
    <t>801D6A556996474D81A6FBB4D20C3493</t>
  </si>
  <si>
    <t>1.5.1.2 Draft Copy</t>
  </si>
  <si>
    <t>Establish Supportability and R&amp;M Framework</t>
  </si>
  <si>
    <t>PS-LSA/MaPL</t>
  </si>
  <si>
    <t>Karen Hoffken</t>
  </si>
  <si>
    <t>12/22/2020</t>
  </si>
  <si>
    <t>A64455E8E2CE4B7FB059AF7C496E70A2</t>
  </si>
  <si>
    <t>2C905D8ADD514914BB5598B8299515F0</t>
  </si>
  <si>
    <t>1.5.1.4</t>
  </si>
  <si>
    <t>Re-Number</t>
  </si>
  <si>
    <t>C9E8848D426A4315B6D1E8B94E4BD529</t>
  </si>
  <si>
    <t>1.5.1.4 Draft Copy</t>
  </si>
  <si>
    <t>Perform FMECA &amp; Testability Analysis</t>
  </si>
  <si>
    <t>12/4/2020</t>
  </si>
  <si>
    <t>9BEC7A8C8F574272AF3DB600BBF56022</t>
  </si>
  <si>
    <t>DACDF0B13D2942AB88E2CDCD3C74720E</t>
  </si>
  <si>
    <t>1.5.1.4.2</t>
  </si>
  <si>
    <t>54318CBBC9734A49A01C17BB5E854004</t>
  </si>
  <si>
    <t>1.5.1.4.2 Draft Copy</t>
  </si>
  <si>
    <t>Perform FMECA</t>
  </si>
  <si>
    <t>12/21/2020</t>
  </si>
  <si>
    <t>BE27ECE8EA4C4FD0A87EF62A1D06AD8C</t>
  </si>
  <si>
    <t>25CA2BA4EA854065B76ACC6248167669</t>
  </si>
  <si>
    <t>1.5.1.4.2.3</t>
  </si>
  <si>
    <t>1C435BA4B6424CD4B9FED343BC4C2EBC</t>
  </si>
  <si>
    <t>1.5.1.4.2.3 Draft Copy</t>
  </si>
  <si>
    <t>Develop FMECA Report</t>
  </si>
  <si>
    <t>7/31/2020</t>
  </si>
  <si>
    <t>A464B5B6348F4B7693833F72436D0775</t>
  </si>
  <si>
    <t>E076BEE65AED41EE87AB71FA5ED1F9D7</t>
  </si>
  <si>
    <t>1.5.1.5</t>
  </si>
  <si>
    <t>1866CD6607F24321BAF086F92515975C</t>
  </si>
  <si>
    <t>1.5.1.5 Draft Copy</t>
  </si>
  <si>
    <t>Perform Supportable Low Observable (LO) Analysis</t>
  </si>
  <si>
    <t>PS-SLO</t>
  </si>
  <si>
    <t>Mark Nanney</t>
  </si>
  <si>
    <t>07181FC452D549CF80A181B712CF43D1</t>
  </si>
  <si>
    <t>1.5.1.5.1</t>
  </si>
  <si>
    <t>FDD14E30A1F042E8923578AC5AB74042</t>
  </si>
  <si>
    <t>1.5.1.5.1 Draft Copy</t>
  </si>
  <si>
    <t>Determine Low Observable (LO) Material Reliability</t>
  </si>
  <si>
    <t>8/8/2024</t>
  </si>
  <si>
    <t>AA90915CF80E460BA0802190F6CEBEAF</t>
  </si>
  <si>
    <t>1.5.1.5.2</t>
  </si>
  <si>
    <t>8CD3224B9A504EB3A3846548FC27F6FE</t>
  </si>
  <si>
    <t>1.5.1.5.2 Draft Copy</t>
  </si>
  <si>
    <t>Develop LO Repair</t>
  </si>
  <si>
    <t>12/12/2024</t>
  </si>
  <si>
    <t>7EA2B4D0E3C542E9BB5E96B74BFC97F2</t>
  </si>
  <si>
    <t>1.5.1.5.2.2</t>
  </si>
  <si>
    <t>E63B47522D1E4D4AA08651D72E547D50</t>
  </si>
  <si>
    <t>1.5.1.5.2.2 Draft Copy</t>
  </si>
  <si>
    <t>Develop Cure Matrix</t>
  </si>
  <si>
    <t>5/1/2025</t>
  </si>
  <si>
    <t>496C3EB1887D4EAA85DF55CC55DCC4B7</t>
  </si>
  <si>
    <t>1.5.1.5.2.1</t>
  </si>
  <si>
    <t>D2EE9D4884054A44A510DCCD40AB8180</t>
  </si>
  <si>
    <t>1.5.1.5.2.1 Draft Copy</t>
  </si>
  <si>
    <t>Develop Outer Mold Line (OML) Interface Impacts</t>
  </si>
  <si>
    <t>12/9/2024</t>
  </si>
  <si>
    <t>A0A309D0582146E6B00848ED0EB8D191</t>
  </si>
  <si>
    <t>1.5.1.5.2.3</t>
  </si>
  <si>
    <t>80A632B6151443AA80E6546C62D2F16A</t>
  </si>
  <si>
    <t>1.5.1.5.2.3 Draft Copy</t>
  </si>
  <si>
    <t>Prototype LO Material Repair</t>
  </si>
  <si>
    <t>983C3B87D59C4EE0B7D976AB551B74E0</t>
  </si>
  <si>
    <t>1.5.1.5.2.5</t>
  </si>
  <si>
    <t>E2873EB0943846379A07CF034F241B52</t>
  </si>
  <si>
    <t>1.5.1.5.2.5 Draft Copy</t>
  </si>
  <si>
    <t>Verify LO Repair</t>
  </si>
  <si>
    <t>C0B2D675D35B456788C60F59819EFEB7</t>
  </si>
  <si>
    <t>1.5.1.5.2.5.4</t>
  </si>
  <si>
    <t>36D9776D43EA4E5BB567D033330712CD</t>
  </si>
  <si>
    <t>1.5.1.5.2.5.4 Draft Copy</t>
  </si>
  <si>
    <t>Analyze LO Repair Results</t>
  </si>
  <si>
    <t>D37C9C983D9C40C4B03EE3DE45AF362C</t>
  </si>
  <si>
    <t>1.5.1.5.2.6</t>
  </si>
  <si>
    <t>C1B135AF495340F7AA173E806360979F</t>
  </si>
  <si>
    <t>1.5.1.5.2.6 Draft Copy</t>
  </si>
  <si>
    <t>Formalize LO Repair</t>
  </si>
  <si>
    <t>95E55A28942C4A4BB1A6ABD6FF199FD2</t>
  </si>
  <si>
    <t>1.5.1.4.3</t>
  </si>
  <si>
    <t>EEA1B45F549F45C3BFEA4DF289595BF3</t>
  </si>
  <si>
    <t>1.5.1.4.3 Draft Copy</t>
  </si>
  <si>
    <t>Analyze Testability</t>
  </si>
  <si>
    <t>52DC589BAA1240FF91A1F8EC1FADBEE3</t>
  </si>
  <si>
    <t>7D3502F847AD47B393EE750E3CF4D703</t>
  </si>
  <si>
    <t>1.5.1.6</t>
  </si>
  <si>
    <t>DC181B27E37943A2A76484173E862BDC</t>
  </si>
  <si>
    <t>1.5.1.6 Draft Copy</t>
  </si>
  <si>
    <t>Conduct M-Demo / BIT Testing</t>
  </si>
  <si>
    <t>0AAE9AA723EE42DF98D1EC6FB88841C4</t>
  </si>
  <si>
    <t>74381D69D5F346C88A9E2C84DED60BB6</t>
  </si>
  <si>
    <t>1.5.1.7</t>
  </si>
  <si>
    <t>A48B3F4CBF384EE78316065E172FC720</t>
  </si>
  <si>
    <t>1.5.1.7 Draft Copy</t>
  </si>
  <si>
    <t>Develop Prognostic Health Management (PHM) Requirements</t>
  </si>
  <si>
    <t>Joseph Barta</t>
  </si>
  <si>
    <t>6/4/2021</t>
  </si>
  <si>
    <t>2F1D4BD591304A9D9F89E93D90CE2E58</t>
  </si>
  <si>
    <t>85B4DBD55F6747CD8EE178D7BD412F5D</t>
  </si>
  <si>
    <t>1.5.1.7.3</t>
  </si>
  <si>
    <t>30C8634B58B6488790A1CAC1060B9311</t>
  </si>
  <si>
    <t>1.5.1.7.3 Draft Copy</t>
  </si>
  <si>
    <t>Develop Initial PHM Analytics</t>
  </si>
  <si>
    <t>7/25/2022</t>
  </si>
  <si>
    <t>8CFE9ED0F31B45B18D6E0C24F71A0189</t>
  </si>
  <si>
    <t>E629BA1F0CCC4D81A8B00E7E8CF97688</t>
  </si>
  <si>
    <t>1.5.1.8</t>
  </si>
  <si>
    <t>C873F2E972854B8FA95AED6267E32DB5</t>
  </si>
  <si>
    <t>1.5.1.8 Draft Copy</t>
  </si>
  <si>
    <t>Perform Initial Supportability Analysis</t>
  </si>
  <si>
    <t>5/19/2021</t>
  </si>
  <si>
    <t>U0-7103</t>
  </si>
  <si>
    <t>• Template "2c_(In-work) Engineering Approved" Applied (scope: Current Diagram) (Nicholas Georgeson - 04/24/2025)
• Class I change. Added Flow line and connection called "LO Material Repair Procedure" to the top of AB4 "Develop Task Inventory List" from new SLO diagrams.  (Nicholas Georgeson - 04/24/2025)</t>
  </si>
  <si>
    <t>F98454563770401781DBA2ECCC9F607E</t>
  </si>
  <si>
    <t>949A5F02AA65489AB4098171208BADC2</t>
  </si>
  <si>
    <t>1.5.1.8.3</t>
  </si>
  <si>
    <t>26FCB214D02A41F1952B24CE2935DCBE</t>
  </si>
  <si>
    <t>1.5.1.8.3 Draft Copy</t>
  </si>
  <si>
    <t>Conduct Level of Repair Analysis (LORA)</t>
  </si>
  <si>
    <t>5/20/2021</t>
  </si>
  <si>
    <t>47C8595258734268A03579D91A87574D</t>
  </si>
  <si>
    <t>7A7EEDC65B294E289791A941C848D6C4</t>
  </si>
  <si>
    <t>1.5.2</t>
  </si>
  <si>
    <t>BA6CEE74127847E59715A6FB081ABF7F</t>
  </si>
  <si>
    <t>1.5.2 Draft Copy</t>
  </si>
  <si>
    <t>Produce Product Support</t>
  </si>
  <si>
    <t>Wesley Horne</t>
  </si>
  <si>
    <t>458D6B53EEDF484BA9F69F165CE1D089</t>
  </si>
  <si>
    <t>51227A331C474714B0289A7FC259C279</t>
  </si>
  <si>
    <t>• Class I change. Added FLL connection from "Approved Change Request" to new SLO diagrams.  (Nicholas Georgeson - 05/11/2025)
• Template "2a_(In-work) Unclaimed" Applied (scope: Current Diagram) (Nicholas Georgeson - 05/11/2025)</t>
  </si>
  <si>
    <t>1.8.8</t>
  </si>
  <si>
    <t>5DD59D0FCF434B29A5C01963C84FC8BC</t>
  </si>
  <si>
    <t>1.8.8 Draft Copy</t>
  </si>
  <si>
    <t>Process Non-conformances (MRB)</t>
  </si>
  <si>
    <t>Khary Smith-Johnson</t>
  </si>
  <si>
    <t>Greg Gullikson</t>
  </si>
  <si>
    <t>• Template "2b_(In-work) Claimed" Applied (scope: Current Diagram) (Nicholas Georgeson - 04/22/2025)
• Class I change. Added FLL connection from "Validated Nonconformance Tag" to new PS LO diagrams (Nicholas Georgeson - 04/22/2025)</t>
  </si>
  <si>
    <t>A8B95158E4ED40C4B16FA94DD296D82D</t>
  </si>
  <si>
    <t>8F5CD481ACDB4742BF1201D557EB19A1</t>
  </si>
  <si>
    <t>1.8.8.7.2</t>
  </si>
  <si>
    <t>27DC846C236C4833B7F741F263CC9CF4</t>
  </si>
  <si>
    <t>1.8.8.7.2 Draft Copy</t>
  </si>
  <si>
    <t>Implement Rework / Repair</t>
  </si>
  <si>
    <t>• Template "2a_(In-work) Unclaimed" Applied (scope: Current Diagram) (Nicholas Georgeson - 04/22/2025)
• Class I change. Added FLL connection from "Standard Repair Manual" to new SLO diagram (Nicholas Georgeson - 04/22/2025)</t>
  </si>
  <si>
    <t>376EA8A3BF2E43C99BC0AA01EFC234F8</t>
  </si>
  <si>
    <t>9D9636EEA91E44C99D89FD2950A55321</t>
  </si>
  <si>
    <t>0.34.15</t>
  </si>
  <si>
    <t>• Template "2a_(In-work) Unclaimed" Applied (scope: Current Diagram) (Nicholas Georgeson - 05/11/2025)
• Class I change. Added new fll connection to "Draft Document" from new SLO diagrams.  (Nicholas Georgeson - 05/11/2025)</t>
  </si>
  <si>
    <t>1.5.1.8.3.3</t>
  </si>
  <si>
    <t>72D44497D7FE4C22B81570DF3DF28B0D</t>
  </si>
  <si>
    <t>1.5.1.8.3.3 Draft Copy</t>
  </si>
  <si>
    <t>Analyze Level of Repair</t>
  </si>
  <si>
    <t>PS-M&amp;S</t>
  </si>
  <si>
    <t>Gregory Gay</t>
  </si>
  <si>
    <t>Yasant Shammam (Deleted)</t>
  </si>
  <si>
    <t>11/7/2021</t>
  </si>
  <si>
    <t>BE6E6256913C47388A0155ACD4C15CAB</t>
  </si>
  <si>
    <t>BD6BB4371A94459F8C9497731B4BA13B</t>
  </si>
  <si>
    <t>1.5.2.3.4</t>
  </si>
  <si>
    <t>E3C65BE4CF674EDDBB516FF5C87DB93A</t>
  </si>
  <si>
    <t>1.5.2.3.4 Draft Copy</t>
  </si>
  <si>
    <t>Develop Sustainment Plans</t>
  </si>
  <si>
    <t>9/20/2019</t>
  </si>
  <si>
    <t>• Template "2c_(In-work) Engineering Approved" Applied (scope: Current Diagram) (Nicholas Georgeson - 05/01/2025)
• Class I change. Changed Input to AB3 "Develop Integrated Logistic Support Plan (ILSP)" called  "Supportability Guidance" to "Supportability Guidance Conference Minutes" to match change on source diagram. (Nicholas Georgeson - 05/01/2025)</t>
  </si>
  <si>
    <t>C0BC98CF61A34A0098E704D7C5D76739</t>
  </si>
  <si>
    <t>E4BBBD2BA9744B24812D6F1C7A1B0463</t>
  </si>
  <si>
    <t>1.5.2.3.4.3</t>
  </si>
  <si>
    <t>A600746C61CB4570BC30769C19A2B326</t>
  </si>
  <si>
    <t>1.5.2.3.4.3 Draft Copy</t>
  </si>
  <si>
    <t>Develop Integrated Logistic Support Plan (ILSP)</t>
  </si>
  <si>
    <t>9/9/2019</t>
  </si>
  <si>
    <t>• Template "2c_(In-work) Engineering Approved" Applied (scope: Current Diagram) (Nicholas Georgeson - 05/01/2025)
• Class I change. Changed "Supportability Guidance" to "Supportability Guidance Conference Minutes" to match level above. (Nicholas Georgeson - 05/01/2025)</t>
  </si>
  <si>
    <t>27C52D839B044CDEAEB6A85ED1B54FA2</t>
  </si>
  <si>
    <t>23A1081E08E5400987DCE70446213ADF</t>
  </si>
  <si>
    <t>1.2.7.1</t>
  </si>
  <si>
    <t>RAM Title Change</t>
  </si>
  <si>
    <t>6B8F4FF7061740CE93CD5AC68A86E1F5</t>
  </si>
  <si>
    <t>1.2.7.1 Draft Copy</t>
  </si>
  <si>
    <t>Develop Discipline-specific Defining Documents</t>
  </si>
  <si>
    <t xml:space="preserve">D0-5600 Manage Change Activity 5, D0-5700 Manage Performance Activity 6, nan Activity 7, D0-5400  Manage Risk &amp; Opportunity Activity 7, </t>
  </si>
  <si>
    <t>• Template "2a_(In-work) Unclaimed" Applied (scope: Current Diagram) (Nicholas Georgeson - 04/23/2025)
• Class III change. Updated title of AB13 "Establish Rilaibility &amp; Maintainability (RAM) Plan" to "Establish Reliability, Availability, &amp; Maintainability (RAM) Plan" (Nicholas Georgeson - 04/23/2025)</t>
  </si>
  <si>
    <t>AA7BC8F6697D45D288F8D726600E986A</t>
  </si>
  <si>
    <t>0C04A94D24224F4B98B155D8ACA8DBA0</t>
  </si>
  <si>
    <t>1.2.2.3</t>
  </si>
  <si>
    <t>Improperly Assigned Resources on Drill-downs</t>
  </si>
  <si>
    <t>872DE37844B5409E8A9EEAED41A4C997</t>
  </si>
  <si>
    <t>1.2.2.3 Draft Copy</t>
  </si>
  <si>
    <t>Establish Program Personnel</t>
  </si>
  <si>
    <t>813C9DEE19C84F49AD5C9C623C397FCB</t>
  </si>
  <si>
    <t>48CDCD7101E74074A9FC1FBE6B79B843</t>
  </si>
  <si>
    <t>1.2.2.3.5.3.5.3</t>
  </si>
  <si>
    <t>4E9BBDB8694A4B6C8DFF35CFA773C81C</t>
  </si>
  <si>
    <t>1.2.2.3.5.3.5.3 Draft Copy</t>
  </si>
  <si>
    <t>Provide Tier 5 Training</t>
  </si>
  <si>
    <t>T&amp;E-Skills&amp;Training</t>
  </si>
  <si>
    <t>6_ADMIN. No change but promo required.  Removed errant hidden resources.</t>
  </si>
  <si>
    <t>Troy Johnson</t>
  </si>
  <si>
    <t>1/16/2024</t>
  </si>
  <si>
    <t>• Template "6_ADMIN. No change but promo required.  Removed errant hidden resources." Applied (scope: Current Diagram) (Chad Lauffer - 05/07/2025)</t>
  </si>
  <si>
    <t>B0EEA09ECB3B4AC4BBCE0E67AD60ECE1</t>
  </si>
  <si>
    <t>E702C6DC7E984C81970E06CAE75726D8</t>
  </si>
  <si>
    <t>1.3.4.7.6.3.3</t>
  </si>
  <si>
    <t>954545ADECEC41D984C9484AC29A857B</t>
  </si>
  <si>
    <t>1.3.4.7.6.3.3 Draft Copy</t>
  </si>
  <si>
    <t>Create / Update Mission Plan</t>
  </si>
  <si>
    <t>Lance Boyd</t>
  </si>
  <si>
    <t>4/10/2024</t>
  </si>
  <si>
    <t>8D69417554EE485281F697D6C2F679DE</t>
  </si>
  <si>
    <t>4A691E1BA0E54ECC9A1BDF5F3BD1A7B6</t>
  </si>
  <si>
    <t>Promotion Ready - 5/12/2025</t>
  </si>
  <si>
    <t>• Template "2a_(In-work) Unclaimed" Applied (scope: Current Diagram) (Cathryn Curry - 05/05/2025)
• Class III change. Updated role on box 4.  (Cathryn Curry - 05/05/2025)</t>
  </si>
  <si>
    <t>• Template "2a_(In-work) Unclaimed" Applied (scope: Current Diagram) (Cathryn Curry - 05/05/2025)
• Class III change. Removed extra role from drill down on 2.  (Cathryn Curry - 05/05/2025)</t>
  </si>
  <si>
    <t xml:space="preserve">nan Activity 9, nan Activity 9, nan Activity 9, D0-5200 Manage Requirements Activity 9, nan Activity 9, nan Activity 9, nan Activity 9, nan Activity 10, D0-5700 Manage Performance Activity 11, D0-5400  Manage Risk &amp; Opportunity Activity 13, D0-5700 Manage Performance Activity 17, </t>
  </si>
  <si>
    <t>• Template "2a_(In-work) Unclaimed" Applied (scope: Current Diagram) (Cathryn Curry - 05/05/2025)
• Class III change. Removed extra role from drill down on box 3.  (Cathryn Curry - 05/05/2025)</t>
  </si>
  <si>
    <t>1.9.1.6.4</t>
  </si>
  <si>
    <t>0FDB4EAA1C6E49C7BBFEF4A1C26FFB9D</t>
  </si>
  <si>
    <t>1.9.1.6.4 Draft Copy</t>
  </si>
  <si>
    <t>Manage SDRLs</t>
  </si>
  <si>
    <t>D6A731DC61F04ACD8985218C27696AD6</t>
  </si>
  <si>
    <t>03F0CA720398409F8A6E4F07D8B0081C</t>
  </si>
  <si>
    <t>1.11.2.4.2.1</t>
  </si>
  <si>
    <t>3E2F5754D62F435BAB06507E6DF8EF96</t>
  </si>
  <si>
    <t>1.11.2.4.2.1 Draft Copy</t>
  </si>
  <si>
    <t>Conduct Software Peer Review</t>
  </si>
  <si>
    <t>3/28/2022</t>
  </si>
  <si>
    <t xml:space="preserve">Conduct Software Peer Review Activity 3, Conduct Software Peer Review Activity 7, Conduct Software Peer Review Activity 8, Conduct Software Peer Review Activity 46, Conduct Software Peer Review Activity 47, Conduct Software Peer Review Activity 55, Conduct Software Peer Review Activity 56, Conduct Software Peer Review Activity 57, Conduct Software Peer Review Activity 61, </t>
  </si>
  <si>
    <t>• Template "1c_(Standard) Engineering Approved" Applied (scope: Diagram Scope List File) (David Magee - 02/23/2024)
• Template "6_ADMIN. No change but promo required.  Removed errant hidden resources." Applied (scope: Current Diagram) (Chad Lauffer - 05/07/2025)</t>
  </si>
  <si>
    <t>4CC2521F3CD84AF4A8E641025024ED0F</t>
  </si>
  <si>
    <t>007E344722914A4DA5D160D2D4E9E826</t>
  </si>
  <si>
    <t>1.11.2.5.1.14.2.2.2.4.1.1</t>
  </si>
  <si>
    <t>B1DCF31FEFD74DA0B2AC331A50A5D951</t>
  </si>
  <si>
    <t>1.11.2.5.1.14.2.2.2.4.1.1 Draft Copy</t>
  </si>
  <si>
    <t>Plan for Weapons Release Flight Tests</t>
  </si>
  <si>
    <t>SE-Nuclear Surety</t>
  </si>
  <si>
    <t>Kenneth Schwartz</t>
  </si>
  <si>
    <t>6/17/2022</t>
  </si>
  <si>
    <t>C4EB51F023BE45EF8C6B0F2AF56BC540</t>
  </si>
  <si>
    <t>2F0BCF79A9E04A479C90C9A4683CD436</t>
  </si>
  <si>
    <t>1.11.2.5.1.14.3.1.2</t>
  </si>
  <si>
    <t>A6E9E8E331B14116A9B45BC45749D27C</t>
  </si>
  <si>
    <t>1.11.2.5.1.14.3.1.2 Draft Copy</t>
  </si>
  <si>
    <t>Conduct Preliminary Safety Study</t>
  </si>
  <si>
    <t>6/1/2022</t>
  </si>
  <si>
    <t>92B3528127A144FCA52FB5E00DBB29D6</t>
  </si>
  <si>
    <t>E6557F8BE37E4B60B054B89488E83EBA</t>
  </si>
  <si>
    <t>1.11.2.6.12.1.1</t>
  </si>
  <si>
    <t>04C209109D5A44D4A5A257A3811EF7CA</t>
  </si>
  <si>
    <t>1.11.2.6.12.1.1 Draft Copy</t>
  </si>
  <si>
    <t>Develop Lab Requirements</t>
  </si>
  <si>
    <t>34988C338D7D4D8888DC3125303F8797</t>
  </si>
  <si>
    <t>2A124C1245F84E8DB26078C2D6B5B96F</t>
  </si>
  <si>
    <t>1.11.2.7.1</t>
  </si>
  <si>
    <t>9CF14ACD095C43C8A1FEF66C37637E93</t>
  </si>
  <si>
    <t>1.11.2.7.1 Draft Copy</t>
  </si>
  <si>
    <t>Develop Analysis Data Package (ADP)</t>
  </si>
  <si>
    <t>Gary Smith</t>
  </si>
  <si>
    <t>12/17/2019</t>
  </si>
  <si>
    <t>46FB47289D074C0BA43CD26AA0111262</t>
  </si>
  <si>
    <t>EA592712744B4390A0075884164F4521</t>
  </si>
  <si>
    <t>1.11.3.2.4.5.4</t>
  </si>
  <si>
    <t>EE9762B19F7C46D69952CAEBBE1CEB93</t>
  </si>
  <si>
    <t>1.11.3.2.4.5.4 Draft Copy</t>
  </si>
  <si>
    <t>Determine Jurisdiction &amp; Classification</t>
  </si>
  <si>
    <t>3/29/2019</t>
  </si>
  <si>
    <t>• Template "2a_(In-work) Unclaimed" Applied (scope: Current Diagram) (Cathryn Curry - 05/05/2025)
• Class III change. Removed tools listed on drill downs.  (Cathryn Curry - 05/05/2025)
• Class III change.  On box 2, entitled "Conduct JC Peer Review", moved the flow line text box to the proper location. (Chad Lauffer - 05/08/2025)</t>
  </si>
  <si>
    <t>6EB06A57686A49DA92352B7EFFBA3604</t>
  </si>
  <si>
    <t>B275DE23B6C74BA3A598DC12A2A27F52</t>
  </si>
  <si>
    <t>1.11.3.2.8.3.1</t>
  </si>
  <si>
    <t>2DC8F666E0644D68B3D633E8BBB3D305</t>
  </si>
  <si>
    <t>1.11.3.2.8.3.1 Draft Copy</t>
  </si>
  <si>
    <t>Develop Labor Estimates &amp; BOEs/TAs</t>
  </si>
  <si>
    <t>40C30A20EF0641E5AF21A24F05001C6A</t>
  </si>
  <si>
    <t>051AA94A693F4DC894DA825696D1EB4B</t>
  </si>
  <si>
    <t>1.11.7.3.3.3</t>
  </si>
  <si>
    <t>558A44C858594DB8BC393B94FED545F1</t>
  </si>
  <si>
    <t>1.11.7.3.3.3 Draft Copy</t>
  </si>
  <si>
    <t>Manage DMSMS Cases</t>
  </si>
  <si>
    <t>PS-OBS Mgmt</t>
  </si>
  <si>
    <t>John Loam</t>
  </si>
  <si>
    <t>2/20/2020</t>
  </si>
  <si>
    <t>30356B4FF6B6433EBE5A699572528233</t>
  </si>
  <si>
    <t>10845133A24741F4969066F951CE643C</t>
  </si>
  <si>
    <t>1.10.6</t>
  </si>
  <si>
    <t>Facilities Maintenance</t>
  </si>
  <si>
    <t>64289F8A0A17490FBB0BB83D26BD2468</t>
  </si>
  <si>
    <t>1.10.6 Draft Copy</t>
  </si>
  <si>
    <t>Manage Product</t>
  </si>
  <si>
    <t>David Magee</t>
  </si>
  <si>
    <t>• Template "2a_(In-work) Unclaimed" Applied (scope: Current Diagram) (Chad Lauffer - 03/06/2025)
• Class I change.  On box 1, entitled "Receive Product", added a flow line link to the existing output called "Part/Kit/Tool Ready for use".  It's now connected with the "Manage Aerosciences Test" process. (Chad Lauffer - 03/06/2025)
• Class I change.  On box 3, entitled "Deliver Product", added a flow line link to the existing line called "Product to be Shipped".  It's now connected with the "Manage Aerosciences Test" process. (Chad Lauffer - 03/06/2025)
• Class I change.  On box 1, entitled "Receive Product", added a flow line link to the existing output called "Part/Kit/Tool Ready for use".  It's now connected with the "Maintain Facilities" process. (Chad Lauffer - 05/09/2025)</t>
  </si>
  <si>
    <t>3A633758CCD44D1F85BF3C7E50B3A032</t>
  </si>
  <si>
    <t>8A2495C882944E409C53D00B32DEC75D</t>
  </si>
  <si>
    <t>1.12.14.10</t>
  </si>
  <si>
    <t>A25FA49C22394BD7B74C96BB9F698BC9</t>
  </si>
  <si>
    <t>1.12.14.10 Draft Copy</t>
  </si>
  <si>
    <t>Maintain Facilities</t>
  </si>
  <si>
    <t>Facilities-Maintenance</t>
  </si>
  <si>
    <t>4/16/2025</t>
  </si>
  <si>
    <t>2AFB2086C23B421195E14B8847B047F5</t>
  </si>
  <si>
    <t>1.12.14.10.2</t>
  </si>
  <si>
    <t>3658A0D791E34F159927809A2F4B3634</t>
  </si>
  <si>
    <t>1.12.14.10.2 Draft Copy</t>
  </si>
  <si>
    <t>Initiate Facility Maintenance Management</t>
  </si>
  <si>
    <t>Promotion Ready - 5/14/2025</t>
  </si>
  <si>
    <t>4/25/2025</t>
  </si>
  <si>
    <t>40F23FC324FA4A9E967A66EB7C0BD5BD</t>
  </si>
  <si>
    <t>1.12.14.10.3</t>
  </si>
  <si>
    <t>9874747671DF4B5480F66ECEE58F7813</t>
  </si>
  <si>
    <t>1.12.14.10.3 Draft Copy</t>
  </si>
  <si>
    <t>Maintain Facility</t>
  </si>
  <si>
    <t>E3BF837CB30B440FB93D3581F3B8C38E</t>
  </si>
  <si>
    <t>1.12.14.10.3.2</t>
  </si>
  <si>
    <t>39D166A510B24FBEA66574D85B567D84</t>
  </si>
  <si>
    <t>1.12.14.10.3.2 Draft Copy</t>
  </si>
  <si>
    <t>Plan &amp; Authorize Facility Maintenance</t>
  </si>
  <si>
    <t>827ACD89528B451CADAE5A5DC17B2A7B</t>
  </si>
  <si>
    <t>1.12.14.10.3.4</t>
  </si>
  <si>
    <t>9AB873E0B260443C896EC4EB783824BA</t>
  </si>
  <si>
    <t>1.12.14.10.3.4 Draft Copy</t>
  </si>
  <si>
    <t>Execute Maintenance</t>
  </si>
  <si>
    <t>7EEB4366EB46402FAAA41AA955447B40</t>
  </si>
  <si>
    <t>1.12.14.10.4</t>
  </si>
  <si>
    <t>E06BE86C4FC344DABB3897C874CBAE32</t>
  </si>
  <si>
    <t>1.12.14.10.4 Draft Copy</t>
  </si>
  <si>
    <t>Improve Facility Maintenance</t>
  </si>
  <si>
    <t>2CDAEED063BA4FBBA6EC10FCAB8454BE</t>
  </si>
  <si>
    <t>1.12.14.11</t>
  </si>
  <si>
    <t>653E87B9A4104895AF37C0AF50F61C3D</t>
  </si>
  <si>
    <t>1.12.14.11 Draft Copy</t>
  </si>
  <si>
    <t>Close Facilities Project</t>
  </si>
  <si>
    <t>9A97CEE611304967A3CDB946D3C24B6B</t>
  </si>
  <si>
    <t>1.12.14.12</t>
  </si>
  <si>
    <t>9F257148C5D3427B8A6101C0C2BF32FE</t>
  </si>
  <si>
    <t>1.12.14.12 Draft Copy</t>
  </si>
  <si>
    <t>Manage Facilities Assets</t>
  </si>
  <si>
    <t>5/9/2025</t>
  </si>
  <si>
    <t>3AFE67371C2B42B0BC896F7C80EE8DDF</t>
  </si>
  <si>
    <t xml:space="preserve">Risk &amp; Opp PM Updates </t>
  </si>
  <si>
    <t xml:space="preserve">nan Activity 10, nan Activity 10, nan Activity 10, D0-5200 Manage Requirements Activity 10, nan Activity 10, nan Activity 10, nan Activity 10, nan Activity 11, nan Activity 11, nan Activity 11, D0-5200 Manage Requirements Activity 11, nan Activity 11, nan Activity 11, nan Activity 11, nan Activity 12, nan Activity 12, nan Activity 12, nan Activity 12, nan Activity 12, nan Activity 12, </t>
  </si>
  <si>
    <t>• Template "2b_(In-work) Claimed" Applied (scope: Current Diagram) (Cathryn Curry - 05/05/2025)
• Class III change. Moved trace steps from box 3 to box 2 and updated box 2 commentary.  (Cathryn Curry - 05/05/2025)</t>
  </si>
  <si>
    <t>1.2.2.6.1.7</t>
  </si>
  <si>
    <t>9D54214F32954F45928A46700F144BDF</t>
  </si>
  <si>
    <t>1.2.2.6.1.7 Draft Copy</t>
  </si>
  <si>
    <t>Manage Risk, Issue, &amp; Opportunity (RIO) Board Roster</t>
  </si>
  <si>
    <t>• Template "2a_(In-work) Unclaimed" Applied (scope: Current Diagram) (Cathryn Curry - 05/08/2025)
• Class II change. Updated link on the other side of RIO board roster.  (Cathryn Curry - 05/08/2025)</t>
  </si>
  <si>
    <t>AC6D2409FE504570B5D9AA0F80155FE2</t>
  </si>
  <si>
    <t>F96C58D9A29641A6A389F8AE03E1CB64</t>
  </si>
  <si>
    <t>1.2.2.3.5.3.1</t>
  </si>
  <si>
    <t>99D3C8A409AD4CC6889BB973B26AF696</t>
  </si>
  <si>
    <t>1.2.2.3.5.3.1 Draft Copy</t>
  </si>
  <si>
    <t>Provide Risk &amp; Opportunity Training</t>
  </si>
  <si>
    <t>5/5/2020</t>
  </si>
  <si>
    <t>• Template "2a_(In-work) Unclaimed" Applied (scope: Current Diagram) (Cathryn Curry - 05/08/2025)
• Class II change. Updated link on the other side of ROMB.  (Cathryn Curry - 05/08/2025)</t>
  </si>
  <si>
    <t>98FC600BA17D487FB3F47E9845AF4429</t>
  </si>
  <si>
    <t>B51D0A93C9CB48179C06F8BE6EE981FE</t>
  </si>
  <si>
    <t>1.7.1</t>
  </si>
  <si>
    <t>BFAF5847C88B4C93BA9E867C35BB68CA</t>
  </si>
  <si>
    <t>1.7.1 Draft Copy</t>
  </si>
  <si>
    <t>Manage Program Risk &amp; Opportunity (R&amp;O)</t>
  </si>
  <si>
    <t xml:space="preserve">nan Activity 11, nan Activity 13, D0-5400  Manage Risk &amp; Opportunity Activity 14, D0-5400  Manage Risk &amp; Opportunity Activity 19, D0-5400  Manage Risk &amp; Opportunity Activity 24, D0-5400  Manage Risk &amp; Opportunity Activity 28, </t>
  </si>
  <si>
    <t>• Template "2b_(In-work) Claimed" Applied (scope: Current Diagram) (Cathryn Curry - 05/08/2025)
• Class III change. Updated output of box 1, and removed OBE reference of watch items.  (Cathryn Curry - 05/08/2025)</t>
  </si>
  <si>
    <t>3FFB209FB8264E86A44C67D95CAAFCEA</t>
  </si>
  <si>
    <t>4F8E55FCEFE64F1397611ECA671F209F</t>
  </si>
  <si>
    <t xml:space="preserve">D0-5400  Manage Risk &amp; Opportunity Activity 15, D0-5400  Manage Risk &amp; Opportunity Activity 16, D0-5400  Manage Risk &amp; Opportunity Activity 17, D0-5400  Manage Risk &amp; Opportunity Activity 18, </t>
  </si>
  <si>
    <t>• Template "2b_(In-work) Claimed" Applied (scope: Current Diagram) (Cathryn Curry - 05/08/2025)
• Class I change. Redesigned flow, new box 3, added tool to all applicable boxes and moved step 4 earlier in process. Updated FLL connections from later steps.  (Cathryn Curry - 05/08/2025)</t>
  </si>
  <si>
    <t>1.7.1.2</t>
  </si>
  <si>
    <t>ED40D71EBBF94A22B8623A0F3524EADF</t>
  </si>
  <si>
    <t>1.7.1.2 Draft Copy</t>
  </si>
  <si>
    <t>Analyze R&amp;Os</t>
  </si>
  <si>
    <t xml:space="preserve">D0-5400  Manage Risk &amp; Opportunity Activity 20, D0-5400  Manage Risk &amp; Opportunity Activity 21, D0-5400  Manage Risk &amp; Opportunity Activity 22, D0-5400  Manage Risk &amp; Opportunity Activity 23, </t>
  </si>
  <si>
    <t>• Template "1b_(Standard) Claimed" Applied (scope: Current Diagram) (Nicholas Georgeson - 04/11/2024)
• Template "2b_(In-work) Claimed" Applied (scope: Current Diagram) (Cathryn Curry - 05/08/2025)</t>
  </si>
  <si>
    <t>C0CABAFAA5D344E9A158358D4B245BF6</t>
  </si>
  <si>
    <t>2695A2646130450DAB88210560DFB933</t>
  </si>
  <si>
    <t xml:space="preserve">nan Activity 12, D0-5400  Manage Risk &amp; Opportunity Activity 25, D0-5400  Manage Risk &amp; Opportunity Activity 26, </t>
  </si>
  <si>
    <t>• Template "2b_(In-work) Claimed" Applied (scope: Current Diagram) (Cathryn Curry - 05/08/2025)
• Class III change. Renamed box 1 and removed trace step and commentary.  (Cathryn Curry - 05/08/2025)</t>
  </si>
  <si>
    <t>1.7.1.3.9</t>
  </si>
  <si>
    <t>E9C1AEDA3D164C5780D050D83AE243AF</t>
  </si>
  <si>
    <t>1.7.1.3.9 Draft Copy</t>
  </si>
  <si>
    <t xml:space="preserve">Implement Approved Approach </t>
  </si>
  <si>
    <t xml:space="preserve">D0-5400  Manage Risk &amp; Opportunity Activity 27, </t>
  </si>
  <si>
    <t>• Template "2b_(In-work) Claimed" Applied (scope: Current Diagram) (Cathryn Curry - 05/08/2025)
• Class I change. Updated passback between 1 and 2 to Change Process.  (Cathryn Curry - 05/08/2025)</t>
  </si>
  <si>
    <t>449208296CCE4B0DA8A95E69F24BB8CD</t>
  </si>
  <si>
    <t>D51D12E66A6041FC9DEFE64940789975</t>
  </si>
  <si>
    <t xml:space="preserve">nan Activity 14, D0-5400  Manage Risk &amp; Opportunity Activity 29, D0-5400  Manage Risk &amp; Opportunity Activity 30, </t>
  </si>
  <si>
    <t>• Template "2b_(In-work) Claimed" Applied (scope: Current Diagram) (Cathryn Curry - 05/08/2025)
• Class III change. Removed reference to OBE watchlist term.  (Cathryn Curry - 05/08/2025)</t>
  </si>
  <si>
    <t xml:space="preserve">D0-5700 Manage Performance Activity 12, D0-5700 Manage Performance Activity 16, </t>
  </si>
  <si>
    <t>• Template "2a_(In-work) Unclaimed" Applied (scope: Current Diagram) (Cathryn Curry - 05/08/2025)
• Class II change. Updated FLL on othe other side of doc ready for informal version control.  (Cathryn Curry - 05/08/2025)</t>
  </si>
  <si>
    <t>1.7.3.1.2.4</t>
  </si>
  <si>
    <t>DF57165044E04F3FA7A6E4DFE381413E</t>
  </si>
  <si>
    <t>1.7.3.1.2.4 Draft Copy</t>
  </si>
  <si>
    <t>1.7.3.2.2.4 Draft Copy</t>
  </si>
  <si>
    <t>1.7.3.2.2.4</t>
  </si>
  <si>
    <t>F8E09736885C4A42BA791D0DCDB575E1</t>
  </si>
  <si>
    <t>1.11.1.8</t>
  </si>
  <si>
    <t>CCI Update</t>
  </si>
  <si>
    <t>544900C51ABF40BA9AF629C70EC80922</t>
  </si>
  <si>
    <t>1.11.1.8 Draft Copy</t>
  </si>
  <si>
    <t>PM / BM</t>
  </si>
  <si>
    <t>4b_Images (Navigation, Level &amp; Title Only)</t>
  </si>
  <si>
    <t>• Class III change. Updated PM PrOP graphic.  (Cathryn Curry - 05/12/2025)</t>
  </si>
  <si>
    <t>152C7E31F92B48B39DBBA5DC9CDB367A</t>
  </si>
  <si>
    <t>0C7DB782635E4A8EAD6099D53DFEAAF9</t>
  </si>
  <si>
    <t>1.11.1.8.14</t>
  </si>
  <si>
    <t>85B6F80C28F5421D94F26F077AFB0B71</t>
  </si>
  <si>
    <t>1.11.1.8.14 Draft Copy</t>
  </si>
  <si>
    <t>D0-5000 Manage Program</t>
  </si>
  <si>
    <t>10/30/2021</t>
  </si>
  <si>
    <t>D0-5000</t>
  </si>
  <si>
    <t>• Class I change. Swapped graphic and added link to Manage Program.  (Cathryn Curry - 05/12/2025)</t>
  </si>
  <si>
    <t>90688DE45CFF42E8B3CAFD0D4BAB2343</t>
  </si>
  <si>
    <t>5EEA754AE41B479C95903DBE20573FF6</t>
  </si>
  <si>
    <t>1.11.1.8.14.5</t>
  </si>
  <si>
    <t>7AB8ECBE8A3048ADAA24F9E35B19DC48</t>
  </si>
  <si>
    <t>1.11.1.8.14.5 Draft Copy</t>
  </si>
  <si>
    <t>1.11.1.8.14.4 Draft Copy</t>
  </si>
  <si>
    <t>1.11.1.8.14.4</t>
  </si>
  <si>
    <t>D0-5400 Manage Risk &amp; Opportunity</t>
  </si>
  <si>
    <t>10/23/2024</t>
  </si>
  <si>
    <t>D0-5400</t>
  </si>
  <si>
    <t>• Class I change. Implementing redesign of CCIs from PM homeroom.  (Cathryn Curry - 03/20/2025)</t>
  </si>
  <si>
    <t>3115C83C050640D9B022E7106829033B</t>
  </si>
  <si>
    <t>PM Update - Redesign to fix floating box</t>
  </si>
  <si>
    <t>Promotion Ready - 5/28/2025</t>
  </si>
  <si>
    <t>1/1/1</t>
  </si>
  <si>
    <t>• Template "2a_(In-work) Unclaimed" Applied (scope: Current Diagram) (Cathryn Curry - 05/20/2025)
• Class I change. Diagram redesign. Added connection to new PDD area to approved change request package. Removed box 4 "Manage program-level processes," and relocated to Process Modeling Infrastructure Processes area.  (Cathryn Curry - 05/27/2025)</t>
  </si>
  <si>
    <t>Promotion Ready - 5/29/2025</t>
  </si>
  <si>
    <t>Trae Rogers</t>
  </si>
  <si>
    <t>• Template "2b_(In-work) Claimed" Applied (scope: Current Diagram) (Cathryn Curry - 05/20/2025)
• Class III change. Updated input stack to slashes instead of commas.  (Cathryn Curry - 05/20/2025)</t>
  </si>
  <si>
    <t>1D6EA5B59ADB472387C7DD9463173CF4</t>
  </si>
  <si>
    <t>• Template "1b_(Standard) Claimed" Applied (scope: Current Diagram) (Nicholas Georgeson - 05/28/2025)</t>
  </si>
  <si>
    <t>1EB28F72C81E47A39CC4F3528A9F9BD0</t>
  </si>
  <si>
    <t>• Template "1b_(Standard) Claimed" Applied (scope: Current Diagram) (Nicholas Georgeson - 05/28/2025)
• Class III change. Renumbering update above.  (Cathryn Curry - 05/29/2025)</t>
  </si>
  <si>
    <t>C64C8EA5C7B04D0AB3DCF8A207CFC822</t>
  </si>
  <si>
    <t>PM Update - Clean up / Minor fix</t>
  </si>
  <si>
    <t>18</t>
  </si>
  <si>
    <t xml:space="preserve">D0-5700 Manage Performance Activity 18, D0-5700 Manage Performance Activity 19, </t>
  </si>
  <si>
    <t>• Template "2b_(In-work) Claimed" Applied (scope: Current Diagram) (Cathryn Curry - 05/21/2025)
• Class III change. Fixed crooked center line.  (Cathryn Curry - 05/21/2025)</t>
  </si>
  <si>
    <t>• Template "2b_(In-work) Claimed" Applied (scope: Current Diagram) (Cathryn Curry - 05/21/2025)
• Class III change. Revised FLL wording on box 2 to "Rejected Risk &amp; Opportunity Package." (Cathryn Curry - 05/21/2025)</t>
  </si>
  <si>
    <t>• Template "2b_(In-work) Claimed" Applied (scope: Current Diagram) (Cathryn Curry - 05/21/2025)
• Class II change. Updated overview / introduction to remove reference to document and potential inputs. Removed PMP and ROMP FLL from 1.2.7 area. Removed OBE FLL from iterate box that now reside in 1.2.7 area.  Updated output to Preliminary PDD.  (Cathryn Curry - 05/21/2025)</t>
  </si>
  <si>
    <t>• Template "6_ADMIN. No change but promo required. Numbering update. " Applied (scope: Diagram Scope List File) (Cathryn Curry - 05/21/2025)
• Template "1b_(Standard) Claimed" Applied (scope: Diagram Scope List File) (Cathryn Curry - 05/21/2025)
• Template "2b_(In-work) Claimed" Applied (scope: Current Diagram) (Cathryn Curry - 05/28/2025)
• Class III change. Renumbering update.  (Cathryn Curry - 05/28/2025)</t>
  </si>
  <si>
    <t>24231BAFE506498682710FD514AB8629</t>
  </si>
  <si>
    <t>F86EE0966FC3479FB7895BD1F57D6176</t>
  </si>
  <si>
    <t>B3C54EF7F6AE47AC8E5C014BBD72AE24</t>
  </si>
  <si>
    <t>CE6B815230E14970A4D9E8FA5A04E54D</t>
  </si>
  <si>
    <t>C2E7C39B4DF341F89E4C62E51EF648BB</t>
  </si>
  <si>
    <t>FFE7DFCCA50445509E57E828253ED41F</t>
  </si>
  <si>
    <t>68E9C6D66D454AC3A38DC18BB20D6B96</t>
  </si>
  <si>
    <t>8C48F0AE286E4FAF98F6849EDF1D0D2C</t>
  </si>
  <si>
    <t>Submit Request for Deviation</t>
  </si>
  <si>
    <t>Authorization Pending - 5/29/2025</t>
  </si>
  <si>
    <t>2/1/2</t>
  </si>
  <si>
    <t>• Template "6_ADMIN. No change but promo required. Numbering update. " Applied (scope: Diagram Scope List File) (Cathryn Curry - 05/21/2025)
• Template "1c_(Standard) Engineering Approved" Applied (scope: Current Diagram) (Cathryn Curry - 05/21/2025)
• Template "2c_(In-work) Engineering Approved" Applied (scope: Current Diagram) (Cathryn Curry - 05/28/2025)
• Class III change. Renumbering update.  (Cathryn Curry - 05/28/2025)</t>
  </si>
  <si>
    <t>45F6AF524FB54FCD84732CD011B1964F</t>
  </si>
  <si>
    <t>PM - Program Defining Document Update</t>
  </si>
  <si>
    <t xml:space="preserve">D0-5600 Manage Change Activity 5, </t>
  </si>
  <si>
    <t>• Template "2a_(In-work) Unclaimed" Applied (scope: Current Diagram) (Cathryn Curry - 05/27/2025)
• Class I change. Sent PMP and ROMP into new PM document drill down. Added IMP drill down for BM.  (Cathryn Curry - 05/27/2025)</t>
  </si>
  <si>
    <t>1.2.7.1.1</t>
  </si>
  <si>
    <t>E73F482D6D234688A9BCA4F1B84C2F6E</t>
  </si>
  <si>
    <t>1.2.7.1.1 Draft Copy</t>
  </si>
  <si>
    <t>5/27/2025</t>
  </si>
  <si>
    <t xml:space="preserve">D0-5700 Manage Performance Activity 7, nan Activity 8, D0-5400  Manage Risk &amp; Opportunity Activity 8, nan Activity 9, D0-5400  Manage Risk &amp; Opportunity Activity 9, </t>
  </si>
  <si>
    <t>• Template "2b_(In-work) Claimed" Applied (scope: Current Diagram) (Cathryn Curry - 05/27/2025)
• Class I change. Diagram moved into child and FLL moved up a level.  (Cathryn Curry - 05/27/2025)</t>
  </si>
  <si>
    <t>1.2.7.1.1.2</t>
  </si>
  <si>
    <t>E9098EA44A0C442F9D1FEE7609C7D649</t>
  </si>
  <si>
    <t>1.2.7.1.1.2 Draft Copy</t>
  </si>
  <si>
    <t>Revise Program Definition Document (PDD)</t>
  </si>
  <si>
    <t>4/23/2025</t>
  </si>
  <si>
    <t>1.2.7.1.1.3</t>
  </si>
  <si>
    <t>F5669D1AC6574A4FBECF34ABE4DE581B</t>
  </si>
  <si>
    <t>1.2.7.1.1.3 Draft Copy</t>
  </si>
  <si>
    <t>Develop Program Management Plan (PMP)</t>
  </si>
  <si>
    <t>D0-5162</t>
  </si>
  <si>
    <t>• Template "2b_(In-work) Claimed" Applied (scope: Current Diagram) (Cathryn Curry - 05/27/2025)
• Class I change. Moved FLL off the seam to upper level. Removed proposal PDD FLL, added PDD to input stack from redesign above.  (Cathryn Curry - 05/27/2025)</t>
  </si>
  <si>
    <t>62DD5BE65EA449FABCFB41084CBAEE53</t>
  </si>
  <si>
    <t>6320013C18E54B99A20D5C12CEFE6534</t>
  </si>
  <si>
    <t>Develop Integrated Management Plan (IMP)</t>
  </si>
  <si>
    <t>• Template "2a_(In-work) Unclaimed" Applied (scope: Current Diagram) (Cathryn Curry - 05/27/2025)
• Class II change. Removed PDD connection to PMP area in 1.2.7.1 due to redesign.  (Cathryn Curry - 05/27/2025)</t>
  </si>
  <si>
    <t>1.1.7.2.5</t>
  </si>
  <si>
    <t>11A89BE65D6A492E8506031090574EB2</t>
  </si>
  <si>
    <t>1.1.7.2.5 Draft Copy</t>
  </si>
  <si>
    <t>Plan the Offer</t>
  </si>
  <si>
    <t>7/20/2023</t>
  </si>
  <si>
    <t xml:space="preserve">nan Activity 4, nan Activity 4, nan Activity 4, D0-5200 Manage Requirements Activity 4, nan Activity 4, nan Activity 4, nan Activity 4, D0-5100 Define Program Activity 7, D0-5100 Define Program Activity 9, </t>
  </si>
  <si>
    <t>• Template "2a_(In-work) Unclaimed" Applied (scope: Current Diagram) (Cathryn Curry - 03/10/2025)
• Class III change. Added commentary and trace steps to RAA box from updated PM PrOP.  Added FLL connection from Prelim RAM to 1.2.  (Cathryn Curry - 03/10/2025)
• Class I change. Updated IMP FLL stack to only connect to proposal areas, with connection to program IMP drilldown in 1.2.7.1 area. (Cathryn Curry - 05/27/2025)</t>
  </si>
  <si>
    <t>41ABDAE635D94FA786099CB0DD19A586</t>
  </si>
  <si>
    <t xml:space="preserve">nan Activity 2, nan Activity 2, nan Activity 2, D0-5200 Manage Requirements Activity 2, nan Activity 2, nan Activity 2, nan Activity 2, nan Activity 3, nan Activity 3, nan Activity 3, D0-5200 Manage Requirements Activity 3, nan Activity 3, nan Activity 3, nan Activity 3, </t>
  </si>
  <si>
    <t>• Template "2b_(In-work) Claimed" Applied (scope: Current Diagram) (Cathryn Curry - 05/27/2025)
• Class III change. Updated IMP to Proposal IMP.  (Cathryn Curry - 05/27/2025)</t>
  </si>
  <si>
    <t>1.1.7.2.5.3.2</t>
  </si>
  <si>
    <t>D204609788504089B4CBEFBE4BBEB48E</t>
  </si>
  <si>
    <t>1.1.7.2.5.3.2 Draft Copy</t>
  </si>
  <si>
    <t>Develop Integrated Master Plan (IMP)</t>
  </si>
  <si>
    <t>• Template "2b_(In-work) Claimed" Applied (scope: Current Diagram) (Cathryn Curry - 05/27/2025)
• Class III change. Updated IMP to Proposal IMP. (Cathryn Curry - 05/27/2025)</t>
  </si>
  <si>
    <t>A2D1D9D77C5C4C14A04DDDE1562E8C63</t>
  </si>
  <si>
    <t>1.1.7.2.5.3.3</t>
  </si>
  <si>
    <t>50A22030F37C463EA858D8629E3D67D3</t>
  </si>
  <si>
    <t>1.1.7.2.5.3.3 Draft Copy</t>
  </si>
  <si>
    <t xml:space="preserve">Develop Proposed Execution IMS </t>
  </si>
  <si>
    <t>D0-5520</t>
  </si>
  <si>
    <t>• Template "1b_(Standard) Claimed" Applied (scope: Diagram Scope List File) (Nicholas Georgeson - 01/16/2024)
• Template "2b_(In-work) Claimed" Applied (scope: Current Diagram) (Cathryn Curry - 05/27/2025)
• Class III change. Updated IMP to Proposal IMP. (Cathryn Curry - 05/27/2025)</t>
  </si>
  <si>
    <t>38A0030024674AE4A4F8212095D5C987</t>
  </si>
  <si>
    <t>1.1.7.2.5.3.3.3</t>
  </si>
  <si>
    <t>29E127C94000456F8BD47CCE6422055D</t>
  </si>
  <si>
    <t>1.1.7.2.5.3.3.3 Draft Copy</t>
  </si>
  <si>
    <t>Populate IMS</t>
  </si>
  <si>
    <t>F43516AB28214030860F6985A4243D1B</t>
  </si>
  <si>
    <t>1.1.7.2.5.5</t>
  </si>
  <si>
    <t>95D086F973A04AB0ADA93E584CD1CCF7</t>
  </si>
  <si>
    <t>1.1.7.2.5.5 Draft Copy</t>
  </si>
  <si>
    <t>Develop Program Statement of Work (PSOW)</t>
  </si>
  <si>
    <t>6/30/2021</t>
  </si>
  <si>
    <t>• Template "2b_(In-work) Claimed" Applied (scope: Current Diagram) (Cathryn Curry - 05/27/2025)
• Class III change. Updated IMP to Proposal IMP. Updated PDD FLLs to Preliminary PDD. (Cathryn Curry - 05/27/2025)</t>
  </si>
  <si>
    <t>6BBFFEB610974C0682480F04C7E63514</t>
  </si>
  <si>
    <t>1.1.7.8.1.3.5</t>
  </si>
  <si>
    <t>BAF6DA23A21843F79E8EA35AEBA5EC1E</t>
  </si>
  <si>
    <t>1.1.7.8.1.3.5 Draft Copy</t>
  </si>
  <si>
    <t>Conduct NAR / ICE Review</t>
  </si>
  <si>
    <t>• Template "2b_(In-work) Claimed" Applied (scope: Current Diagram) (Cathryn Curry - 05/27/2025)
• Class III change. Updated IMP FLL to Proposal IMP. (Cathryn Curry - 05/27/2025)</t>
  </si>
  <si>
    <t>C5FF1907A54946148ED69E4D42019269</t>
  </si>
  <si>
    <t>1.1.7.2.5.3.1</t>
  </si>
  <si>
    <t>04EB91B3CC2C416490CD2E36FFCD3D82</t>
  </si>
  <si>
    <t>1.1.7.2.5.3.1 Draft Copy</t>
  </si>
  <si>
    <t>Develop Contract Statement of Work (CSOW)</t>
  </si>
  <si>
    <t>8/2/2021</t>
  </si>
  <si>
    <t>C3B6D64EB5D8419BA500FE33EB0241A9</t>
  </si>
  <si>
    <t>1.2.2.2</t>
  </si>
  <si>
    <t>5BB8337D0E7B46D6B3BAE22138CAC839</t>
  </si>
  <si>
    <t>1.2.2.2 Draft Copy</t>
  </si>
  <si>
    <t>Define Program Processes &amp; Systems</t>
  </si>
  <si>
    <t>• Template "2a_(In-work) Unclaimed" Applied (scope: Current Diagram) (Cathryn Curry - 05/27/2025)
• Class I change. Updated location for IMP FLL. (Cathryn Curry - 05/27/2025)</t>
  </si>
  <si>
    <t>F26EFBBC89C2465DA065C29C1A697F19</t>
  </si>
  <si>
    <t>• Template "2a_(In-work) Unclaimed" Applied (scope: Current Diagram) (Cathryn Curry - 05/27/2025)
• Class I change. Updated location for IMP FLL.
 (Cathryn Curry - 05/27/2025)</t>
  </si>
  <si>
    <t>1.2.9.4.5</t>
  </si>
  <si>
    <t>E753A293F7A648D2891DDC5D62EDD4C6</t>
  </si>
  <si>
    <t>1.2.9.4.5 Draft Copy</t>
  </si>
  <si>
    <t>Reconcile Baseline Planning</t>
  </si>
  <si>
    <t>6/13/2022</t>
  </si>
  <si>
    <t>A55AD059487C40478D2471C178369634</t>
  </si>
  <si>
    <t>1.11.2.5.1.7.1.1</t>
  </si>
  <si>
    <t>06787F10E04247F098BD0A34F85115EA</t>
  </si>
  <si>
    <t>1.11.2.5.1.7.1.1 Draft Copy</t>
  </si>
  <si>
    <t>Manage System Security Program Integration</t>
  </si>
  <si>
    <t>• Template "2c_(In-work) Engineering Approved" Applied (scope: Current Diagram) (Cathryn Curry - 05/27/2025)
• Class I change. Updated location for IMP FLL. (Cathryn Curry - 05/27/2025)</t>
  </si>
  <si>
    <t>0424326FF2A34088A00F038838773413</t>
  </si>
  <si>
    <t>• Template "2a_(In-work) Unclaimed" Applied (scope: Current Diagram) (Cathryn Curry - 05/27/2025)
• Class I change. Added FLL connection from PMP.  (Cathryn Curry - 05/27/2025)</t>
  </si>
  <si>
    <t xml:space="preserve">D0-5300 Manage Supplier Activity 3, D0-5300 Manage Supplier Activity 4, D0-5700 Manage Performance Activity 4, nan Activity 5, nan Activity 5, nan Activity 5, D0-5200 Manage Requirements Activity 5, nan Activity 5, nan Activity 5, nan Activity 5, D0-5300 Manage Supplier Activity 6, D0-5600 Manage Change Activity 7, nan Activity 8, nan Activity 8, nan Activity 8, D0-5200 Manage Requirements Activity 8, nan Activity 8, D0-5700 Manage Performance Activity 8, nan Activity 8, nan Activity 8, D0-5400  Manage Risk &amp; Opportunity Activity 10, D0-5100 Define Program Activity 15, D0-5100 Define Program Activity 21, </t>
  </si>
  <si>
    <t>• Template "2a_(In-work) Unclaimed" Applied (scope: Current Diagram) (Cathryn Curry - 05/27/2025)
• Class I change. Added CPLC and SOW FLL connection to new PDD area.  (Cathryn Curry - 05/27/2025)</t>
  </si>
  <si>
    <t>• Template "2a_(In-work) Unclaimed" Applied (scope: Current Diagram) (Cathryn Curry - 05/20/2025)
• Class I change. Updated location of ROMP and PDD FLLs.  (Cathryn Curry - 05/20/2025)</t>
  </si>
  <si>
    <t>1.11.3.1.1.3</t>
  </si>
  <si>
    <t>8A46B489C19C4A8ABA541A6893375B36</t>
  </si>
  <si>
    <t>1.11.3.1.1.3 Draft Copy</t>
  </si>
  <si>
    <t>Prepare for IBR</t>
  </si>
  <si>
    <t>• Template "2a_(In-work) Unclaimed" Applied (scope: Current Diagram) (Cathryn Curry - 05/28/2025)
• Class I change. Updated location for ROMP FLL.  (Cathryn Curry - 05/28/2025)</t>
  </si>
  <si>
    <t>294C8CB6554244F0A3CDC81C42E8CFCB</t>
  </si>
  <si>
    <t>1.1.7.2.5.5.3</t>
  </si>
  <si>
    <t>015B1C50473D4C95B5E1479DF5985F7D</t>
  </si>
  <si>
    <t>1.1.7.2.5.5.3 Draft Copy</t>
  </si>
  <si>
    <t>Develop PSOW</t>
  </si>
  <si>
    <t>4/27/2021</t>
  </si>
  <si>
    <t>• Template "2b_(In-work) Claimed" Applied (scope: Current Diagram) (Cathryn Curry - 05/27/2025)
• Class III change. Updated PDD input to Preliminary PDD.  (Cathryn Curry - 05/27/2025)</t>
  </si>
  <si>
    <t>3CF14B04DC9B4CB2A6E3784780C00700</t>
  </si>
  <si>
    <t>1.1.7.2.5.5.3.3</t>
  </si>
  <si>
    <t>8E84D9B08B7C4B989D8FF3DCB86BEA5C</t>
  </si>
  <si>
    <t>1.1.7.2.5.5.3.3 Draft Copy</t>
  </si>
  <si>
    <t>Develop Task Descriptions</t>
  </si>
  <si>
    <t>4/21/2021</t>
  </si>
  <si>
    <t>39DF57AC24BC46D095D56A22828769C3</t>
  </si>
  <si>
    <t>0.34.16</t>
  </si>
  <si>
    <t>• Template "2a_(In-work) Unclaimed" Applied (scope: Current Diagram) (Cathryn Curry - 05/27/2025)
• Class I change. Added passback connection for release of the IMP and PDD. (Cathryn Curry - 05/27/2025)</t>
  </si>
  <si>
    <t>1.11.3.1.6</t>
  </si>
  <si>
    <t>0BA8A93533254125A28CC22921FC934E</t>
  </si>
  <si>
    <t>1.11.3.1.6 Draft Copy</t>
  </si>
  <si>
    <t xml:space="preserve">Manage Program Affordability </t>
  </si>
  <si>
    <t>• Template "2a_(In-work) Unclaimed" Applied (scope: Current Diagram) (Cathryn Curry - 05/27/2025)
• Class I change. Location of PDD FLL changed on other side.  (Cathryn Curry - 05/27/2025)</t>
  </si>
  <si>
    <t>4D98BCD56CDF42ECB1ECED6F6117B5E8</t>
  </si>
  <si>
    <t>1.11.3.1.1.3.2</t>
  </si>
  <si>
    <t>95761F4B9AF147679FD47263E052877B</t>
  </si>
  <si>
    <t>1.11.3.1.1.3.2 Draft Copy</t>
  </si>
  <si>
    <t>Prepare Source Materials &amp; Personnel</t>
  </si>
  <si>
    <t>735DE5460BF04B9685F11EB218F99A25</t>
  </si>
  <si>
    <t>1.2.2.6.1.14</t>
  </si>
  <si>
    <t>F49C28B905EA46FFAAF569349E88C275</t>
  </si>
  <si>
    <t>1.2.2.6.1.14 Draft Copy</t>
  </si>
  <si>
    <t>Manage Resource Board Roster</t>
  </si>
  <si>
    <t>9314780EBD8648B690A0DD29F5BB5AA8</t>
  </si>
  <si>
    <t>1.2.2.6.1.16</t>
  </si>
  <si>
    <t>D01A7A7CCD5340F7A722A92C0A4D13F5</t>
  </si>
  <si>
    <t>1.2.2.6.1.16 Draft Copy</t>
  </si>
  <si>
    <t>Manage Architecture Review Board (ARB) Roster</t>
  </si>
  <si>
    <t>3/18/2021</t>
  </si>
  <si>
    <t>• Template "2c_(In-work) Engineering Approved" Applied (scope: Current Diagram) (Cathryn Curry - 05/27/2025)
• Class I change. Location of PDD FLL changed on other side.  (Cathryn Curry - 05/27/2025)</t>
  </si>
  <si>
    <t>D11ECB500FCC4EE0983C06702BE03820</t>
  </si>
  <si>
    <t>1.7.5.1.1</t>
  </si>
  <si>
    <t>0E154B643FE14BD197BFA50B72B1A99E</t>
  </si>
  <si>
    <t>1.7.5.1.1 Draft Copy</t>
  </si>
  <si>
    <t>Plan &amp; Prepare for Review</t>
  </si>
  <si>
    <t>• Template "2b_(In-work) Claimed" Applied (scope: Current Diagram) (Cathryn Curry - 05/27/2025)
• Class I change. Location of PDD FLL changed on other side.  (Cathryn Curry - 05/27/2025)</t>
  </si>
  <si>
    <t>4261E4BACFE44D2F974B5D2A13AA1923</t>
  </si>
  <si>
    <t>1.7.5.2.1</t>
  </si>
  <si>
    <t>F7FB1E5148924095BC0BB44BB358CCFB</t>
  </si>
  <si>
    <t>1.7.5.2.1 Draft Copy</t>
  </si>
  <si>
    <t>4B61E3065D824FBAB363230D3680BEEF</t>
  </si>
  <si>
    <t>1.11.4.4</t>
  </si>
  <si>
    <t>979F23FFA5F04641A89A58B7D00ABB11</t>
  </si>
  <si>
    <t>1.11.4.4 Draft Copy</t>
  </si>
  <si>
    <t>Analyze Design Producibility</t>
  </si>
  <si>
    <t>A40242DCF7FB43AEBA9214949872D87F</t>
  </si>
  <si>
    <t>1.2.7.1.3</t>
  </si>
  <si>
    <t>7D4D19C4CE7F45A3B4F14DDFE1F1F269</t>
  </si>
  <si>
    <t>1.2.7.1.3 Draft Copy</t>
  </si>
  <si>
    <t>Develop Configuration &amp; Data Management Plans (CDMP)</t>
  </si>
  <si>
    <t>D0-7215</t>
  </si>
  <si>
    <t xml:space="preserve">D0-5600 Manage Change Activity 4, </t>
  </si>
  <si>
    <t>4A180827D6D84CEBA09B7CE93325BBFE</t>
  </si>
  <si>
    <t>1.2.7.1.3.5.3</t>
  </si>
  <si>
    <t>D99231B3D8F14C7389A835081C6DA387</t>
  </si>
  <si>
    <t>1.2.7.1.3.5.3 Draft Copy</t>
  </si>
  <si>
    <t>Create CDRL Infrastructure</t>
  </si>
  <si>
    <t>• Template "2c_(In-work) Engineering Approved" Applied (scope: Current Diagram) (Cathryn Curry - 05/27/2025)
• Class I change. Location of PDD FLL changed on other side. 
 (Cathryn Curry - 05/27/2025)</t>
  </si>
  <si>
    <t>182F192A444B4790A713FEAC1424277A</t>
  </si>
  <si>
    <t>1.11.2.5.1.17</t>
  </si>
  <si>
    <t>EB4E129B3EB04A52B06842EF4417FFE9</t>
  </si>
  <si>
    <t>1.11.2.5.1.17 Draft Copy</t>
  </si>
  <si>
    <t>Analyze Cost Effectiveness</t>
  </si>
  <si>
    <t>SE-Cost Eng (LCC)</t>
  </si>
  <si>
    <t>9/20/2023</t>
  </si>
  <si>
    <t>F9B0F081D26D49F0ACB01BE9A08BF484</t>
  </si>
  <si>
    <t>1.12.1</t>
  </si>
  <si>
    <t>B9020A843BA2452F91F14D5547ABFC29</t>
  </si>
  <si>
    <t>1.12.1 Draft Copy</t>
  </si>
  <si>
    <t>Process Modeling Infrastructure Processes</t>
  </si>
  <si>
    <t>140148FB09EC4F7295C630F6D397F6B1</t>
  </si>
  <si>
    <t>1.12.1.10</t>
  </si>
  <si>
    <t>F180B3DA77A54DECADC0751FBD92EEB2</t>
  </si>
  <si>
    <t>1.12.1.10 Draft Copy</t>
  </si>
  <si>
    <t>Manage Program-level Processes</t>
  </si>
  <si>
    <t>1.12.1.10.5</t>
  </si>
  <si>
    <t>E2A3DA539A34432BB08DA561E7847D7C</t>
  </si>
  <si>
    <t>1.12.1.10.5 Draft Copy</t>
  </si>
  <si>
    <t>Manage Program-level Process Changes</t>
  </si>
  <si>
    <t>1.12.1.10.1</t>
  </si>
  <si>
    <t>8FBD49AB54C14473A9D572955D735259</t>
  </si>
  <si>
    <t>1.12.1.10.1 Draft Copy</t>
  </si>
  <si>
    <t>Deploy Process Model</t>
  </si>
  <si>
    <t>1.12.1.10.2</t>
  </si>
  <si>
    <t>339E304F071647B79BC3A974B4B5E119</t>
  </si>
  <si>
    <t>1.12.1.10.2 Draft Copy</t>
  </si>
  <si>
    <t>Operationalize Porcess Model Data</t>
  </si>
  <si>
    <t>2/12/2024</t>
  </si>
  <si>
    <t>1.12.1.10.2.1</t>
  </si>
  <si>
    <t>465C1DD47C594C7A8B94C7F30DBC3B5F</t>
  </si>
  <si>
    <t>1.12.1.10.2.1 Draft Copy</t>
  </si>
  <si>
    <t>Export Process Model Data to a Task Tracker</t>
  </si>
  <si>
    <t>1.12.1.10.5.2</t>
  </si>
  <si>
    <t>D20BDAA76192458C864A5BFB05875759</t>
  </si>
  <si>
    <t>1.12.1.10.5.2 Draft Copy</t>
  </si>
  <si>
    <t xml:space="preserve">Apply Change to Program-level Process </t>
  </si>
  <si>
    <t>1.12.1.10.5.1</t>
  </si>
  <si>
    <t>1A033CC920B249A3BDFD6832AD0F69EF</t>
  </si>
  <si>
    <t>1.12.1.10.5.1 Draft Copy</t>
  </si>
  <si>
    <t>Establish Change Authority</t>
  </si>
  <si>
    <t>1.12.1.10.4</t>
  </si>
  <si>
    <t>8CE349FC1F614913A3985A9442E653EF</t>
  </si>
  <si>
    <t>1.12.1.10.4 Draft Copy</t>
  </si>
  <si>
    <t>Evaluate Program-level Improvement Opportunities</t>
  </si>
  <si>
    <t>Relocated Drilldown - Jamie Confirmed promo only 5/28</t>
  </si>
  <si>
    <t>• Template "2a_(In-work) Unclaimed" Applied (scope: Current Diagram) (Cathryn Curry - 05/28/2025)
• Class I change. Updated connection on the other side of Capital requirements FLL.  (Cathryn Curry - 05/28/2025)</t>
  </si>
  <si>
    <t xml:space="preserve">D0-5700 Manage Performance Activity 5, D0-5600 Manage Change Activity 6, </t>
  </si>
  <si>
    <t>• Template "2a_(In-work) Unclaimed" Applied (scope: Current Diagram) (Cathryn Curry - 05/28/2025)
• Class III change. Added PDD and IMP to output stack.  (Cathryn Curry - 05/28/2025)</t>
  </si>
  <si>
    <t>0.34.12</t>
  </si>
  <si>
    <t>• Template "2a_(In-work) Unclaimed" Applied (scope: Current Diagram) (David Magee - 06/04/2025)
• Class I change. Moved connection on other side of change request for the VSOL process. (David Magee - 06/04/2025)</t>
  </si>
  <si>
    <t xml:space="preserve">D0-5700 Manage Performance Activity 19, D0-5700 Manage Performance Activity 20, </t>
  </si>
  <si>
    <t xml:space="preserve">D0-5400  Manage Risk &amp; Opportunity Activity 18, D0-5400  Manage Risk &amp; Opportunity Activity 19, D0-5400  Manage Risk &amp; Opportunity Activity 20, D0-5400  Manage Risk &amp; Opportunity Activity 21, </t>
  </si>
  <si>
    <t xml:space="preserve">D0-5400  Manage Risk &amp; Opportunity Activity 23, D0-5400  Manage Risk &amp; Opportunity Activity 24, D0-5400  Manage Risk &amp; Opportunity Activity 25, D0-5400  Manage Risk &amp; Opportunity Activity 26, </t>
  </si>
  <si>
    <t>1.11.2.5.10</t>
  </si>
  <si>
    <t>Reset changes no change need promo only to reconnect FLL - Jamie Confirmed promo only 5/28</t>
  </si>
  <si>
    <t>2ED762927DDF4034AF459E0178E1F0F8</t>
  </si>
  <si>
    <t>1.11.2.5.10 Draft Copy</t>
  </si>
  <si>
    <t>Collect, Monitor, &amp; Report TPMs</t>
  </si>
  <si>
    <t>390F95203F484D6AA157710F203EC842</t>
  </si>
  <si>
    <t>1.11.2.5.9.1B.5</t>
  </si>
  <si>
    <t>73276C6F605049BFB2C83677FC882270</t>
  </si>
  <si>
    <t>1.11.2.5.9.1B.5 Draft Copy</t>
  </si>
  <si>
    <t>Address HW/SW Discrepancy</t>
  </si>
  <si>
    <t>45BF6AC337C1453C92DDB47CC2B69D95</t>
  </si>
  <si>
    <t>1.8.8.7</t>
  </si>
  <si>
    <t>B45E96F30CC6412E9F75ECFB96A4CFAA</t>
  </si>
  <si>
    <t>1.8.8.7 Draft Copy</t>
  </si>
  <si>
    <t>Execute Disposition</t>
  </si>
  <si>
    <t>6C8A6168E7EC456A8E2F565A8AA494EE</t>
  </si>
  <si>
    <t>1.11.2.3.3</t>
  </si>
  <si>
    <t>3AF1814707B943ABAF5434CD5247B11B</t>
  </si>
  <si>
    <t>1.11.2.3.3 Draft Copy</t>
  </si>
  <si>
    <t>Manage Temporary Part / Material Substitutions</t>
  </si>
  <si>
    <t>Daniel Platz</t>
  </si>
  <si>
    <t>4/24/2023</t>
  </si>
  <si>
    <t>E368DB15888D4EB0AB40BF0E43C7AF3C</t>
  </si>
  <si>
    <t>1.8.8.6</t>
  </si>
  <si>
    <t>CC5DFD2C247047358767746C8CA215D1</t>
  </si>
  <si>
    <t>1.8.8.6 Draft Copy</t>
  </si>
  <si>
    <t>Disposition Tag</t>
  </si>
  <si>
    <t>139EBFF48A9C4FA2A0F0533E76CE46BC</t>
  </si>
  <si>
    <t xml:space="preserve">D0-5600 Manage Change Activity 5, D0-5500 Manage Cost and Schedule Activity 5, D0-5700 Manage Performance Activity 6, D0-5400  Manage Risk &amp; Opportunity Activity 9, </t>
  </si>
  <si>
    <t>• Template "2a_(In-work) Unclaimed" Applied (scope: Current Diagram) (Cathryn Curry - 06/05/2025)
• Class III change. Cleaned up uneven lines.  (Cathryn Curry - 06/10/2025)</t>
  </si>
  <si>
    <t>Develop Program Management Documents</t>
  </si>
  <si>
    <t xml:space="preserve">D0-5700 Manage Performance Activity 7, D0-5400  Manage Risk &amp; Opportunity Activity 10, </t>
  </si>
  <si>
    <t>• Template "2a_(In-work) Unclaimed" Applied (scope: Current Diagram) (Cathryn Curry - 06/10/2025)
• Class II Change. Added connection from PDD to new IMP diagram. (Cathryn Curry - 06/10/2025)</t>
  </si>
  <si>
    <t xml:space="preserve">D0-5700 Manage Performance Activity 8, D0-5400  Manage Risk &amp; Opportunity Activity 11, D0-5400  Manage Risk &amp; Opportunity Activity 12, </t>
  </si>
  <si>
    <t>E771FEB1DE0D4FF490CA10D709292C1F</t>
  </si>
  <si>
    <t>B1681A1B81184508B8CC0E3AD720506D</t>
  </si>
  <si>
    <t xml:space="preserve">D0-5500 Manage Cost and Schedule Activity 6, </t>
  </si>
  <si>
    <t>• Template "2a_(In-work) Unclaimed" Applied (scope: Current Diagram) (Cathryn Curry - 06/05/2025)
• Class I change. Added additional detail to iteration process and inputs.  (Cathryn Curry - 06/10/2025)</t>
  </si>
  <si>
    <t xml:space="preserve">D0-5400  Manage Risk &amp; Opportunity Activity 2, D0-5100 Define Program Activity 3, D0-5400  Manage Risk &amp; Opportunity Activity 6, D0-5100 Define Program Activity 6, D0-5100 Define Program Activity 10, </t>
  </si>
  <si>
    <t xml:space="preserve">D0-5200 Manage Requirements Activity 4, D0-5100 Define Program Activity 7, D0-5100 Define Program Activity 9, </t>
  </si>
  <si>
    <t xml:space="preserve">D0-5200 Manage Requirements Activity 2, D0-5200 Manage Requirements Activity 3, D0-5500 Manage Cost and Schedule Activity 4, </t>
  </si>
  <si>
    <t xml:space="preserve">D0-5500 Manage Cost and Schedule Activity 2, D0-5500 Manage Cost and Schedule Activity 3, </t>
  </si>
  <si>
    <t xml:space="preserve">D0-5500 Manage Cost and Schedule Activity 10, </t>
  </si>
  <si>
    <t xml:space="preserve">D0-5300 Manage Supplier Activity 3, D0-5300 Manage Supplier Activity 4, D0-5700 Manage Performance Activity 4, D0-5200 Manage Requirements Activity 5, D0-5300 Manage Supplier Activity 6, D0-5300 Manage Supplier Activity 7, D0-5600 Manage Change Activity 7, D0-5400  Manage Risk &amp; Opportunity Activity 7, D0-5500 Manage Cost and Schedule Activity 7, D0-5200 Manage Requirements Activity 8, D0-5700 Manage Performance Activity 9, D0-5400  Manage Risk &amp; Opportunity Activity 13, D0-5500 Manage Cost and Schedule Activity 13, D0-5100 Define Program Activity 15, D0-5100 Define Program Activity 21, </t>
  </si>
  <si>
    <t>• Template "2a_(In-work) Unclaimed" Applied (scope: Current Diagram) (Cathryn Curry - 06/10/2025)
• Class II Change. Added connection from PMB to new IMP diagram. (Cathryn Curry - 06/10/2025)</t>
  </si>
  <si>
    <t xml:space="preserve">D0-5200 Manage Requirements Activity 9, D0-5700 Manage Performance Activity 12, D0-5500 Manage Cost and Schedule Activity 12, D0-5400  Manage Risk &amp; Opportunity Activity 16, D0-5700 Manage Performance Activity 18, </t>
  </si>
  <si>
    <t>• Template "2a_(In-work) Unclaimed" Applied (scope: Current Diagram) (Cathryn Curry - 06/05/2025)
• Class I change. Corrected FLL connection to PDD into box 2.  (Cathryn Curry - 06/10/2025)</t>
  </si>
  <si>
    <t>0.34.17</t>
  </si>
  <si>
    <t>• Template "2b_(In-work) Claimed" Applied (scope: Current Diagram) (David Magee - 06/04/2025)
• Class I change. Connected to FLL link for Draft doc and released doc for the FCA/PCA process. (David Magee - 06/04/2025)</t>
  </si>
  <si>
    <t>• Template "2c_(In-work) Engineering Approved" Applied (scope: Current Diagram) (David Magee - 06/09/2025)
• Class I change. Connected to the CM Plan FLL for the FCA/PCA process. (David Magee - 06/09/2025)</t>
  </si>
  <si>
    <t>• Deleted data table attachment "Needs Attachment" from Activity: Develop CDRL Infrastructure (David Magee - 06/11/2025)</t>
  </si>
  <si>
    <t>1.12.2.10.3</t>
  </si>
  <si>
    <t>89DF7E2D07CA4817B424EF3EC4C5F27F</t>
  </si>
  <si>
    <t>1.12.2.10.3 Draft Copy</t>
  </si>
  <si>
    <t>Execute Process Audit</t>
  </si>
  <si>
    <t>Kent Nelson</t>
  </si>
  <si>
    <t>Randolph Myrick</t>
  </si>
  <si>
    <t>9/8/2021</t>
  </si>
  <si>
    <t>A2AE93EA3BA8408CA9418A4D21E4D88B</t>
  </si>
  <si>
    <t>1.8.5.10</t>
  </si>
  <si>
    <t>ABB6D5EFDAC041E1AEEC6469162A8721</t>
  </si>
  <si>
    <t>1.8.5.10 Draft Copy</t>
  </si>
  <si>
    <t>Execute Program-internal Process Audit</t>
  </si>
  <si>
    <t>E888C67F7B8E413BAD413C57CB03FF63</t>
  </si>
  <si>
    <t>1.8.5.11</t>
  </si>
  <si>
    <t>8F0B0A36B039484A9E8C9C4EC74C4A6C</t>
  </si>
  <si>
    <t>1.8.5.11 Draft Copy</t>
  </si>
  <si>
    <t>Execute QMS Audit</t>
  </si>
  <si>
    <t>2DF6F93EB4B34E869135318643FBCEBC</t>
  </si>
  <si>
    <t>1.8.5.8</t>
  </si>
  <si>
    <t>9E3F473B2A984CE496A0145C6DB64001</t>
  </si>
  <si>
    <t>1.8.5.8 Draft Copy</t>
  </si>
  <si>
    <t xml:space="preserve">Execute Software Process Audit </t>
  </si>
  <si>
    <t>09682EAB1B864B46850AA339CE83DB80</t>
  </si>
  <si>
    <t>1.11.2.5.18</t>
  </si>
  <si>
    <t>A91736B667994389808FEEDB8F4175E1</t>
  </si>
  <si>
    <t>1.11.2.5.18 Draft Copy</t>
  </si>
  <si>
    <t>Support Company SE Procedure Audit</t>
  </si>
  <si>
    <t>10/7/2024</t>
  </si>
  <si>
    <t>1.12.1.8</t>
  </si>
  <si>
    <t>3E1EF34E8EA84A169C16A5F190A779BC</t>
  </si>
  <si>
    <t>1.12.1.8 Draft Copy</t>
  </si>
  <si>
    <t>Manage Process Model Accounts</t>
  </si>
  <si>
    <t>792CC072EAEB4C1DAFFFDBE41C64DF29</t>
  </si>
  <si>
    <t>1.12.1.1.4.5</t>
  </si>
  <si>
    <t>717221A48EF84A72A39FA6538468EC36</t>
  </si>
  <si>
    <t>1.12.1.1.4.5 Draft Copy</t>
  </si>
  <si>
    <t>Manage Standard Process Change</t>
  </si>
  <si>
    <t>93F7A528C4124A97A82F6A2ADF5D2C28</t>
  </si>
  <si>
    <t>1.2.2.6</t>
  </si>
  <si>
    <t>1C350443634A44E4825CB0690AFB4268</t>
  </si>
  <si>
    <t>1.2.2.6 Draft Copy</t>
  </si>
  <si>
    <t>Establish Program Review Boards</t>
  </si>
  <si>
    <t>A97566A04D694C788EE41C6ADA554AEB</t>
  </si>
  <si>
    <t>1.12.1.1.4.3</t>
  </si>
  <si>
    <t>EE71CDCFC1D54CC8BDDDA72393347B8E</t>
  </si>
  <si>
    <t>1.12.1.1.4.3 Draft Copy</t>
  </si>
  <si>
    <t>Develop Process Change Mgmt Plan</t>
  </si>
  <si>
    <t>B0B66F83D57E4A3A83B24A5235D30533</t>
  </si>
  <si>
    <t>1.2.2.2.4.1</t>
  </si>
  <si>
    <t>36DE30C37AF545ED960CFE2F59274045</t>
  </si>
  <si>
    <t>1.2.2.2.4.1 Draft Copy</t>
  </si>
  <si>
    <t>Initiate Program-specific Process Model</t>
  </si>
  <si>
    <t>66D215DFC0EB4DE5A8C547493DAF867F</t>
  </si>
  <si>
    <t>1.2.2.2.4.3</t>
  </si>
  <si>
    <t>0D2BBBDA95284FE6A4E83EB83F4730A0</t>
  </si>
  <si>
    <t>1.2.2.2.4.3 Draft Copy</t>
  </si>
  <si>
    <t>Create &amp; Tailor Process Assets</t>
  </si>
  <si>
    <t>7/26/2023</t>
  </si>
  <si>
    <t>BE00D8A5B5AE4BCCBDFA1634EFD253BE</t>
  </si>
  <si>
    <t>1.12.1.2</t>
  </si>
  <si>
    <t>E6C4756864354241ABAC5D7E3DC76EC9</t>
  </si>
  <si>
    <t>1.12.1.2 Draft Copy</t>
  </si>
  <si>
    <t>Promote Process Model Content</t>
  </si>
  <si>
    <t>C8FF005863D346FB8EF07431DB2DF0A9</t>
  </si>
  <si>
    <t>1.11.2.1.1</t>
  </si>
  <si>
    <t>B508C1E00E3C42C1A47F39BC59EE453F</t>
  </si>
  <si>
    <t>1.11.2.1.1 Draft Copy</t>
  </si>
  <si>
    <t xml:space="preserve">Plan AW Approach </t>
  </si>
  <si>
    <t>9/23/2021</t>
  </si>
  <si>
    <t>FE7A766E62F74A209DB55512336149F4</t>
  </si>
  <si>
    <t>1.11.3.1.6.5.5</t>
  </si>
  <si>
    <t>88074C9821F64409B68126D23C8C7042</t>
  </si>
  <si>
    <t>1.11.3.1.6.5.5 Draft Copy</t>
  </si>
  <si>
    <t>Implement AIs</t>
  </si>
  <si>
    <t>B17F2C6AFE024A66AA6CAD704706027A</t>
  </si>
  <si>
    <t>1.12.1.1.3.4.5.1.5</t>
  </si>
  <si>
    <t>E17E137B8947406CABAE9A02C308E548</t>
  </si>
  <si>
    <t>1.12.1.1.3.4.5.1.5 Draft Copy</t>
  </si>
  <si>
    <t>Incorporate New Resource</t>
  </si>
  <si>
    <t>3/15/2020</t>
  </si>
  <si>
    <t>1.12.1.1.4.5.2</t>
  </si>
  <si>
    <t>54377CBD8A3B42F2A28203DC0DF719DA</t>
  </si>
  <si>
    <t>1.12.1.1.4.5.2 Draft Copy</t>
  </si>
  <si>
    <t>Apply Change to Standard Process</t>
  </si>
  <si>
    <t>FDD80345BCF0412BB7285C40492A9273</t>
  </si>
  <si>
    <t>1.12.1.1.3</t>
  </si>
  <si>
    <t>1BFC53FA0D7149429A99C69AFFAA61D4</t>
  </si>
  <si>
    <t>1.12.1.1.3 Draft Copy</t>
  </si>
  <si>
    <t>Establish Organizational Process Assets</t>
  </si>
  <si>
    <t>728F7972624B432DA1760AC895E46035</t>
  </si>
  <si>
    <t>1.12.1.1.4</t>
  </si>
  <si>
    <t>4584D5D07CDE434BBDEFDBCC254F6491</t>
  </si>
  <si>
    <t>1.12.1.1.4 Draft Copy</t>
  </si>
  <si>
    <t>Manage Organizational Standard Processes</t>
  </si>
  <si>
    <t>6193212965C84F6DB63862B908630DB1</t>
  </si>
  <si>
    <t xml:space="preserve">D0-5700 Manage Performance Activity 13, D0-5700 Manage Performance Activity 17, </t>
  </si>
  <si>
    <t>• Template "2a_(In-work) Unclaimed" Applied (scope: Current Diagram) (David Magee - 06/04/2025)
• Class I change. Moved connection on other side of metrics for the VSOL process. (David Magee - 06/04/2025)</t>
  </si>
  <si>
    <t>1.6.4.2.1.7</t>
  </si>
  <si>
    <t>F65F4373D26D413EA87DE387E57059D8</t>
  </si>
  <si>
    <t>1.6.4.2.1.7 Draft Copy</t>
  </si>
  <si>
    <t>Develop Proposed Execution IMS for ECP</t>
  </si>
  <si>
    <t>5207CB8806CD49A9873F61C566722DFC</t>
  </si>
  <si>
    <t>1.12.1.3</t>
  </si>
  <si>
    <t>EC2C4CECBEB943C98A9482473047D97C</t>
  </si>
  <si>
    <t>1.12.1.3 Draft Copy</t>
  </si>
  <si>
    <t>Export Process Model Content</t>
  </si>
  <si>
    <t>CD76A6354A494BCCA410654E6F572226</t>
  </si>
  <si>
    <t xml:space="preserve">Manage Program Resource Rqmts (WAD Walk through) Activity 2, D0-5500 Manage Cost and Schedule Activity 8, D0-5500 Manage Cost and Schedule Activity 9, D0-5100 Define Program Activity 16, </t>
  </si>
  <si>
    <t>• Template "2a_(In-work) Unclaimed" Applied (scope: Current Diagram) (Cathryn Curry - 06/05/2025)
• Class I change. Added FLL connection from Program Resource Requirements to manage program requirements process.  (Cathryn Curry - 06/10/2025)</t>
  </si>
  <si>
    <t xml:space="preserve">D0-5700 Manage Performance Activity 5, D0-5600 Manage Change Activity 6, D0-5400  Manage Risk &amp; Opportunity Activity 8, </t>
  </si>
  <si>
    <t>PM Updates / CCI Revision</t>
  </si>
  <si>
    <t>Promotion Ready - 6/18/2025</t>
  </si>
  <si>
    <t>• Class III change. Update to PM PrOP graphic.  (Cathryn Curry - 06/18/2025)</t>
  </si>
  <si>
    <t>• Class III change. Graphic redesign.  (Cathryn Curry - 06/18/2025)</t>
  </si>
  <si>
    <t>1.11.1.8.14.1</t>
  </si>
  <si>
    <t>08F9E3FAA157427AA1D6FE0950048898</t>
  </si>
  <si>
    <t>1.11.1.8.14.1 Draft Copy</t>
  </si>
  <si>
    <t>D0-5100 Program Planning</t>
  </si>
  <si>
    <t>Promotion Ready - 6/19/2025</t>
  </si>
  <si>
    <t>10/14/2024</t>
  </si>
  <si>
    <t>D0-5100</t>
  </si>
  <si>
    <t>050959C2A0424869A576A1A1181DD91A</t>
  </si>
  <si>
    <t>1.11.1.8.14.2</t>
  </si>
  <si>
    <t>70807A5E904041BD86EDA16CDAF9998C</t>
  </si>
  <si>
    <t>1.11.1.8.14.2 Draft Copy</t>
  </si>
  <si>
    <t>D0-5200 Manage Requirements</t>
  </si>
  <si>
    <t>5/30/2024</t>
  </si>
  <si>
    <t>D0-5200</t>
  </si>
  <si>
    <t>• Template "2a_(In-work) Unclaimed" Applied (scope: Current Diagram) (Cathryn Curry - 06/13/2025)
• Template "4a_Images (Navigation &amp; Title Only)" Applied (scope: Current Diagram) (Cathryn Curry - 06/13/2025)
• Class III change. Graphic redesign.  (Cathryn Curry - 06/18/2025)</t>
  </si>
  <si>
    <t>7FFCCF646BBE410AB05DEAC524CFC023</t>
  </si>
  <si>
    <t>1.11.1.8.14.3</t>
  </si>
  <si>
    <t>261C58F010A94B3EAB2A26D74DAE8835</t>
  </si>
  <si>
    <t>1.11.1.8.14.3 Draft Copy</t>
  </si>
  <si>
    <t>D0-5300 Manage Suppliers</t>
  </si>
  <si>
    <t>D0-5300</t>
  </si>
  <si>
    <t>5C38DA4D0E1042FEA01D58C548121492</t>
  </si>
  <si>
    <t>8276FF62B5C442F280613B08A2EA2717</t>
  </si>
  <si>
    <t>D0-5700 Manage Performance</t>
  </si>
  <si>
    <t>EF24907D839444C6BA6F4B256B15F786</t>
  </si>
  <si>
    <t>CE56F545DE844D21B5D9A94FB3D01F44</t>
  </si>
  <si>
    <t>1.11.1.8.14.6</t>
  </si>
  <si>
    <t>EF8D05829B76447F8DA7F9319ED2A4CA</t>
  </si>
  <si>
    <t>1.11.1.8.14.6 Draft Copy</t>
  </si>
  <si>
    <t>D0-5500 Manage Program Cost &amp; Schedule</t>
  </si>
  <si>
    <t>D0-5500</t>
  </si>
  <si>
    <t>9C5CE9F6E63A491CB1A8A23C396D4CAB</t>
  </si>
  <si>
    <t>1.11.1.8.14.7</t>
  </si>
  <si>
    <t>290A4BFAEBB448DC8EFB00CC1B9232CB</t>
  </si>
  <si>
    <t>1.11.1.8.14.7 Draft Copy</t>
  </si>
  <si>
    <t>D0-5600 Manage Change</t>
  </si>
  <si>
    <t>D0-5600</t>
  </si>
  <si>
    <t>31AA4EAD5DB54D34878AFD811490B40E</t>
  </si>
  <si>
    <t>1.11.1.8.14.9</t>
  </si>
  <si>
    <t>85D6359A1FD74F9C8CA205C4F074C6EB</t>
  </si>
  <si>
    <t>1.11.1.8.14.9 Draft Copy</t>
  </si>
  <si>
    <t>D0-5800 Program Closeout</t>
  </si>
  <si>
    <t>6/13/2025</t>
  </si>
  <si>
    <t>Static Analysis Updates</t>
  </si>
  <si>
    <t>SE / WSC: SA Updates</t>
  </si>
  <si>
    <t xml:space="preserve">Report is wrong: Authorizers are Jonathan W and Jamie in the model </t>
  </si>
  <si>
    <t>Perform SSE Analysis of SW Code Vulnerabilities (SW Factory)</t>
  </si>
  <si>
    <t>• Template "2c_(In-work) Engineering Approved" Applied (scope: Current Diagram) (David Dickinson - 05/09/2025)
• Class II change. Added new activity #1 "Calculate Vulnerability Risks" with Drill Down and added output "Risk Calculation Results" that are a new input to the activity #2 (Was previously #1) "Create Static Analysis Summary Report". Also changed "Feedback" from box #3 (old 2) to box #2 (old 1) to "Feedback Comments Notification". Finally, changed name of box #3 (old box #2) from "Review &amp; Approve Static Analysis Summary Report" to "Review Static Analysis Summary Report". (David Dickinson - 05/09/2025)
• Template "1c_(Standard) Engineering Approved" Applied (scope: Diagram Scope List File) (Nicholas Georgeson - 06/27/2025)</t>
  </si>
  <si>
    <t>1.11.2.5.1.7.1.3.4.2.3.2A.1</t>
  </si>
  <si>
    <t>B7BBABD9F5194B328400B5F0B48301C5</t>
  </si>
  <si>
    <t>1.11.2.5.1.7.1.3.4.2.3.2A.1 Draft Copy</t>
  </si>
  <si>
    <t>Calculate Vulnerability Risks</t>
  </si>
  <si>
    <t>4/6/2025</t>
  </si>
  <si>
    <t>1.11.2.5.1.7.1.3.4.2.3.2A.1.1</t>
  </si>
  <si>
    <t>60B1A64AEA2244ACAF25A080E3A499C4</t>
  </si>
  <si>
    <t>1.11.2.5.1.7.1.3.4.2.3.2A.1.1 Draft Copy</t>
  </si>
  <si>
    <t>Analyze Vulnerabilities Impacts</t>
  </si>
  <si>
    <t>1.11.2.5.1.7.1.3.4.2.3.2A.1.2</t>
  </si>
  <si>
    <t>66979C909A5046CBAD1A5F02FD04AEE8</t>
  </si>
  <si>
    <t>1.11.2.5.1.7.1.3.4.2.3.2A.1.2 Draft Copy</t>
  </si>
  <si>
    <t xml:space="preserve">Analyze Vulnerability Exposure </t>
  </si>
  <si>
    <t>1.11.2.5.1.7.1.3.4.2.3.2B.3</t>
  </si>
  <si>
    <t>F040694E5D154B958BB2DC09D1CF2E58</t>
  </si>
  <si>
    <t>1.11.2.5.1.7.1.3.4.2.3.2B.3 Draft Copy</t>
  </si>
  <si>
    <t>Execute SSE Static Code Analysis</t>
  </si>
  <si>
    <t>• Template "2c_(In-work) Engineering Approved" Applied (scope: Current Diagram) (David Dickinson - 05/09/2025)
• Class II change. Renamed activity box# 4 name from "Generate Analysis Metrics" to "Calculate Vulnerability Risks" and add new drill-down in this activity. Changed the name of the output from this activity from "Static Analysis Metrics" to "Risk Calculation Results". Also added three new flow line links "Subsystem ICD", "Software Design Document (SDD)", &amp; "Logical Model" as inputs to box #4. (David Dickinson - 05/09/2025)
• Template "1c_(Standard) Engineering Approved" Applied (scope: Diagram Scope List File) (Nicholas Georgeson - 06/27/2025)</t>
  </si>
  <si>
    <t>B0A0E3FBCAEB4A2ABB55D8DFE3743254</t>
  </si>
  <si>
    <t>1.11.2.5.1.7.1.3.4.2.3.2B.3.4</t>
  </si>
  <si>
    <t>565DB88CDAF8420FB43DD3E0AD3135DB</t>
  </si>
  <si>
    <t>1.11.2.5.1.7.1.3.4.2.3.2B.3.4 Draft Copy</t>
  </si>
  <si>
    <t>1.11.2.5.1.7.1.3.4.2.3.2B.3.4.1</t>
  </si>
  <si>
    <t>590E0C81E8604FE6A35BC17811AB1689</t>
  </si>
  <si>
    <t>1.11.2.5.1.7.1.3.4.2.3.2B.3.4.1 Draft Copy</t>
  </si>
  <si>
    <t>1.11.2.5.1.7.1.3.4.2.3.2B.3.4.2</t>
  </si>
  <si>
    <t>137BFEE73A174ECBA4F75BEF562612DB</t>
  </si>
  <si>
    <t>1.11.2.5.1.7.1.3.4.2.3.2B.3.4.2 Draft Copy</t>
  </si>
  <si>
    <t>1.11.2.5.1.7.1.3.4.2.3.2B.3.6</t>
  </si>
  <si>
    <t>721D0C2C45B247F4A7E99929998F35DF</t>
  </si>
  <si>
    <t>1.11.2.5.1.7.1.3.4.2.3.2B.3.6 Draft Copy</t>
  </si>
  <si>
    <t>Develop Static Analysis Summary Report</t>
  </si>
  <si>
    <t>5/11/2023</t>
  </si>
  <si>
    <t>• Template "2c_(In-work) Engineering Approved" Applied (scope: Current Diagram) (David Dickinson - 05/09/2025)
• Class II change. Changed input "Static Analysis Metrics" to "Risk Calculation Results" that is an input to box #1 "Create Static Analysis Summary Report".
Also changed "Feedback" from box #@ to box #1 to "Comment Notification".
Finally, changed name of box #2 from "Review &amp; Approve Static Analysis Summary Reort" to "Review Static Analysis Summary Reort". (David Dickinson - 05/09/2025)
• Template "1c_(Standard) Engineering Approved" Applied (scope: Diagram Scope List File) (Nicholas Georgeson - 06/27/2025)</t>
  </si>
  <si>
    <t>263B189645EE420B93E7DD1E46863477</t>
  </si>
  <si>
    <t>• Template "2c_(In-work) Engineering Approved" Applied (scope: Current Diagram) (David Dickinson - 05/13/2025)
• Class II change. Added new flow line link input "SSE Static Analysis Summary Report" to activity box #1 "Identify System Vulnerability Risk Levels". Also added note in commentary that "Platform SAR" is an optional input after moving it to the top of the activity box #1. Finally, added a note that "TPPV POA&amp;M Items"  flow line link input into the top of activity box #5 "Identify Corrective Action &amp; Perform Remediation" is an optional input. (David Dickinson - 05/13/2025)
• Template "1c_(Standard) Engineering Approved" Applied (scope: Diagram Scope List File) (Nicholas Georgeson - 06/27/2025)</t>
  </si>
  <si>
    <t>• Template "2c_(In-work) Engineering Approved" Applied (scope: Current Diagram) (David Dickinson - 05/13/2025)
• Class II change. Added new flow line link connection from "System Security Engineering (SSE) Static Analysis Summary Report" coming out of box #2 "Perform SSE Analysis of SW Code Vulnerabilities" to POA&amp;M diagram. Also change role on box #2 from "Cybersecurity SWa Engr" to "Cybersecurity System Engr". Also added commentary text on box #2 "Perform SSE Analysis of SW Code Vulnerabilities" to delineate the two variant drill-downs. (David Dickinson - 05/13/2025)
• Template "1c_(Standard) Engineering Approved" Applied (scope: Diagram Scope List File) (Nicholas Georgeson - 06/27/2025)</t>
  </si>
  <si>
    <t>Perform SSE Analysis of SW Code Vulnerabilities (Manual)</t>
  </si>
  <si>
    <t>• Template "2c_(In-work) Engineering Approved" Applied (scope: Current Diagram) (David Dickinson - 06/09/2025)
• Class II change. Udated title of diagram from "Perform SSE Analysis of SW Code Vulnerabilities (Build Automationl)" to "Perform SSE Analysis of SW Code Vulnerabilities (Manual)" since "Build Automation" was being confused as "SW Factory'. (David Dickinson - 06/09/2025)
• Template "1c_(Standard) Engineering Approved" Applied (scope: Diagram Scope List File) (Nicholas Georgeson - 06/27/2025)</t>
  </si>
  <si>
    <t>1.3.2B</t>
  </si>
  <si>
    <t>D5041FC499C741D584D166186C471D98</t>
  </si>
  <si>
    <t>1.3.2B Draft Copy</t>
  </si>
  <si>
    <t>Develop System Design (Descriptive Model-based / MBSE)</t>
  </si>
  <si>
    <t>• Class I change. Added new flow line link connections newly updated Cyber Static Analysis diagrams. (David Dickinson - 05/09/2025)
• Template "2c_(In-work) Engineering Approved" Applied (scope: Current Diagram) (David Dickinson - 05/09/2025)
• Template "1c_(Standard) Engineering Approved" Applied (scope: Diagram Scope List File) (Nicholas Georgeson - 06/27/2025)</t>
  </si>
  <si>
    <t>8CE34E92D12846A98C9F0FA8D59885CA</t>
  </si>
  <si>
    <t>1.11.2.5.4</t>
  </si>
  <si>
    <t>14A4495B62D4412C8D7DD5CE54AFE6A5</t>
  </si>
  <si>
    <t>1.11.2.5.4 Draft Copy</t>
  </si>
  <si>
    <t>Define Subsystem &amp; Payload Interfaces</t>
  </si>
  <si>
    <t>E0-7300</t>
  </si>
  <si>
    <t>• Template "2c_(In-work) Engineering Approved" Applied (scope: Current Diagram) (David Dickinson - 05/09/2025)
• Class I change. Added new flow line link connections newly updated Cyber Static Analysis diagrams. (David Dickinson - 05/09/2025)
• Template "1c_(Standard) Engineering Approved" Applied (scope: Diagram Scope List File) (Nicholas Georgeson - 06/27/2025)</t>
  </si>
  <si>
    <t>2D795355198D4E81AAE3511E362FBCAD</t>
  </si>
  <si>
    <t>1.3.3.3.1.1.4.2.2.2</t>
  </si>
  <si>
    <t>061628E174584B5BB7EE77A2E40844BA</t>
  </si>
  <si>
    <t>1.3.3.3.1.1.4.2.2.2 Draft Copy</t>
  </si>
  <si>
    <t>Execute Tasks</t>
  </si>
  <si>
    <t>Steven Sassman</t>
  </si>
  <si>
    <t>• Class I change. Added new flow line link connections newly updated Cyber Static Analysis diagrams. (David Dickinson - 05/09/2025)
• Template "1c_(Standard) Engineering Approved" Applied (scope: Current Diagram) (David Dickinson - 05/09/2025)
• Template "2c_(In-work) Engineering Approved" Applied (scope: Current Diagram) (David Dickinson - 05/09/2025)
• Template "2b_(In-work) Claimed" Applied (scope: Current Diagram) (David Dickinson - 05/15/2025)
• Template "1b_(Standard) Claimed" Applied (scope: Diagram Scope List File) (Nicholas Georgeson - 06/27/2025)</t>
  </si>
  <si>
    <t>E2BFA30DEC1B402B845F6BB6788571DF</t>
  </si>
  <si>
    <t>1.10</t>
  </si>
  <si>
    <t>SE - CDM - FCA/PCA Nimbus Process Update</t>
  </si>
  <si>
    <t>SE / CDM - FCA/PCA</t>
  </si>
  <si>
    <t>David</t>
  </si>
  <si>
    <t>14F2D1689DFA41A5910E2794C7CDCC7F</t>
  </si>
  <si>
    <t>1.10 Draft Copy</t>
  </si>
  <si>
    <t>Manage Supply Chain</t>
  </si>
  <si>
    <t xml:space="preserve">D0-5300 Manage Supplier Activity 11, D0-5300 Manage Supplier Activity 13, D0-5300 Manage Supplier Activity 15, </t>
  </si>
  <si>
    <t>• Template "2a_(In-work) Unclaimed" Applied (scope: Current Diagram) (Chad Lauffer - 03/06/2025)
• Class II change. Updated FLL connections to the revised change management process.  (Cathryn Curry - 04/15/2025)
• Class I change. Connected to the Issued Subcontract FLL for the FCA/PCA process. (David Magee - 06/04/2025)
• Template "1a_(Standard) Unclaimed" Applied (scope: Diagram Scope List File) (Nicholas Georgeson - 06/27/2025)</t>
  </si>
  <si>
    <t>E5F220277B9846EF924A52A23F885A12</t>
  </si>
  <si>
    <t>Kevin Clarke</t>
  </si>
  <si>
    <t xml:space="preserve">D0-5300 Manage Supplier Activity 12, </t>
  </si>
  <si>
    <t>• Template "2b_(In-work) Claimed" Applied (scope: Current Diagram) (David Magee - 06/09/2025)
• Class I change. Connected to the Program M/B Plan FLL for the FCA/PCA process. (David Magee - 06/09/2025)
• Template "1b_(Standard) Claimed" Applied (scope: Diagram Scope List File) (Nicholas Georgeson - 06/27/2025)</t>
  </si>
  <si>
    <t xml:space="preserve">D0-5300 Manage Supplier Activity 14, </t>
  </si>
  <si>
    <t>• Template "2b_(In-work) Claimed" Applied (scope: Current Diagram) (David Magee - 06/09/2025)
• Class I change. Connected to the TPP FLL for the FCA/PCA process. (David Magee - 06/09/2025)
• Class II change. Added TPP FLL to IMP process.  (Cathryn Curry - 06/10/2025)
• Template "1b_(Standard) Claimed" Applied (scope: Diagram Scope List File) (Nicholas Georgeson - 06/27/2025)
• Template "1b_(Standard) Claimed" Applied (scope: Diagram Scope List File) (Nicholas Georgeson - 06/27/2025)</t>
  </si>
  <si>
    <t>• Template "2c_(In-work) Engineering Approved" Applied (scope: Current Diagram) (David Magee - 06/09/2025)
• Class I change. Moved the connection down a level on the other side of the Test Report FLL for the FCA/PCA process. (David Magee - 06/09/2025)
• Template "1c_(Standard) Engineering Approved" Applied (scope: Diagram Scope List File) (Nicholas Georgeson - 06/27/2025)</t>
  </si>
  <si>
    <t>1.11.2.5.9.1B</t>
  </si>
  <si>
    <t>09A3F6F1282C409FBCEF9B2EC34546F8</t>
  </si>
  <si>
    <t>1.11.2.5.9.1B Draft Copy</t>
  </si>
  <si>
    <t>Disposition System Discrepancy (Formal - SDR)</t>
  </si>
  <si>
    <t>• Template "2c_(In-work) Engineering Approved" Applied (scope: Current Diagram) (David Magee - 06/04/2025)
• Class I change. Moved connection on other side of system discrepancy for the VSOL process. (David Magee - 06/04/2025)
• Template "1c_(Standard) Engineering Approved" Applied (scope: Diagram Scope List File) (Nicholas Georgeson - 06/27/2025)</t>
  </si>
  <si>
    <t>50653E9542A14EB7972A19C325AD019F</t>
  </si>
  <si>
    <t>1.11.2.6.25</t>
  </si>
  <si>
    <t>FBDA5084BC5A4B518661D1BA1F8E6FFB</t>
  </si>
  <si>
    <t>1.11.2.6.25 Draft Copy</t>
  </si>
  <si>
    <t>Test Aircraft Structure</t>
  </si>
  <si>
    <t>T&amp;E-Specialty Test (ST)</t>
  </si>
  <si>
    <t>Imesh Gamalath</t>
  </si>
  <si>
    <t>Promotion Ready - 6/27/2025</t>
  </si>
  <si>
    <t>Trever Nielsen</t>
  </si>
  <si>
    <t>5/10/2023</t>
  </si>
  <si>
    <t>• Template "1c_(Standard) Engineering Approved" Applied (scope: Diagram Scope List File) (Cathryn Curry - 11/19/2023)
• Template "2c_(In-work) Engineering Approved" Applied (scope: Current Diagram) (Chad Lauffer - 04/03/2025)
• Class III change.  Changed the diagram inputs from "Technical Requirements" and "Programmatic Requirements" to ""Technical Requirements Baseline" and "Assigned Programmatic Requirements" to match FLL title on other side.  (Nicholas Georgeson - 04/03/2025)
• Class I change. Moved the connection down a level on the other side of the Test Report FLL for the FCA/PCA process. (David Magee - 06/09/2025)
• Template "1c_(Standard) Engineering Approved" Applied (scope: Diagram Scope List File) (Nicholas Georgeson - 06/27/2025)</t>
  </si>
  <si>
    <t>71BF48C8DCD64B9EBD93B5CB9D2D62B8</t>
  </si>
  <si>
    <t>1.11.2.7.10</t>
  </si>
  <si>
    <t>0CEC072F85DA4033BBD9F282F4493449</t>
  </si>
  <si>
    <t>1.11.2.7.10 Draft Copy</t>
  </si>
  <si>
    <t>Implement Air Data System (ADS)</t>
  </si>
  <si>
    <t>VE-Controls</t>
  </si>
  <si>
    <t>Maksym Pozdin</t>
  </si>
  <si>
    <t>Luck Pho</t>
  </si>
  <si>
    <t>12/1/2022</t>
  </si>
  <si>
    <t>• Template "1c_(Standard) Engineering Approved" Applied (scope: Diagram Scope List File) (Cathryn Curry - 11/19/2023)
• Template "2c_(In-work) Engineering Approved" Applied (scope: Current Diagram) (David Magee - 06/09/2025)
• Class I change. Moved the connection down a level on the other side of the Test Report FLL for the FCA/PCA process. (David Magee - 06/09/2025)
• Template "1c_(Standard) Engineering Approved" Applied (scope: Diagram Scope List File) (Nicholas Georgeson - 06/27/2025)</t>
  </si>
  <si>
    <t>0218F71FF07F4389B3F8B1A7B93800B2</t>
  </si>
  <si>
    <t>• Template "2a_(In-work) Unclaimed" Applied (scope: Current Diagram) (David Magee - 06/09/2025)
• Class I change. Connected to the CAD Model (w geometry) FLL for the FCA/PCA process. (David Magee - 06/09/2025)
• Template "1a_(Standard) Unclaimed" Applied (scope: Diagram Scope List File) (Nicholas Georgeson - 06/27/2025)</t>
  </si>
  <si>
    <t>1.11.2.7.22</t>
  </si>
  <si>
    <t>ABD1215AF8DD45FE99AFB30727E4B6EB</t>
  </si>
  <si>
    <t>1.11.2.7.22 Draft Copy</t>
  </si>
  <si>
    <t>Test Propulsion System</t>
  </si>
  <si>
    <t>FS-Propulsion</t>
  </si>
  <si>
    <t>11/30/2021</t>
  </si>
  <si>
    <t>ESM8405</t>
  </si>
  <si>
    <t>DE3FFBBBF3D443C89623AF2F043676BD</t>
  </si>
  <si>
    <t>1.11.2.7.28.4</t>
  </si>
  <si>
    <t>F7977F7F3B114F638162FDEE6FC174BE</t>
  </si>
  <si>
    <t>1.11.2.7.28.4 Draft Copy</t>
  </si>
  <si>
    <t>Characterize Static Rigid Aerodynamics</t>
  </si>
  <si>
    <t>FS-Aerodynamics</t>
  </si>
  <si>
    <t>Nicholas Bonafede</t>
  </si>
  <si>
    <t>4C5B6437D0A9490C8F33A260AA431F87</t>
  </si>
  <si>
    <t>1.11.6.22</t>
  </si>
  <si>
    <t>AEAEAB0EB3204CC698EE8EE900C9437D</t>
  </si>
  <si>
    <t>1.11.6.22 Draft Copy</t>
  </si>
  <si>
    <t>Manage Program Supplier List</t>
  </si>
  <si>
    <t>1/25/2024</t>
  </si>
  <si>
    <t>• Template "1a_(Standard) Unclaimed" Applied (scope: Diagram Scope List File) (Nicholas Georgeson - 01/27/2024)
• Template "2a_(In-work) Unclaimed" Applied (scope: Current Diagram) (David Magee - 06/09/2025)
• Class I change. Connected to the Program Supplier List FLL for the FCA/PCA process. (David Magee - 06/09/2025)
• Template "1a_(Standard) Unclaimed" Applied (scope: Diagram Scope List File) (Nicholas Georgeson - 06/27/2025)</t>
  </si>
  <si>
    <t>E980BD63DDAE416ABE2D65F4045CC919</t>
  </si>
  <si>
    <t>• Template "2c_(In-work) Engineering Approved" Applied (scope: Current Diagram) (David Magee - 06/09/2025)
• Class I change. Connected to the CM Plan FLL for the FCA/PCA process. (David Magee - 06/09/2025)
• Template "1c_(Standard) Engineering Approved" Applied (scope: Diagram Scope List File) (Nicholas Georgeson - 06/27/2025)</t>
  </si>
  <si>
    <t>• Template "2a_(In-work) Unclaimed" Applied (scope: Current Diagram) (David Magee - 06/09/2025)
• Class I change. Created new FLL of FCA &amp; PCA Status Report and connected to the FCA/PCA process.  (David Magee - 06/09/2025)
• Template "1a_(Standard) Unclaimed" Applied (scope: Diagram Scope List File) (Nicholas Georgeson - 06/27/2025)</t>
  </si>
  <si>
    <t>• Template "2c_(In-work) Engineering Approved" Applied (scope: Current Diagram) (David Magee - 06/04/2025)
• Class I change. Connected to the VCRM FLL for the FCA/PCA process. (David Magee - 06/04/2025)
• Template "1c_(Standard) Engineering Approved" Applied (scope: Diagram Scope List File) (Nicholas Georgeson - 06/27/2025)</t>
  </si>
  <si>
    <t>1.3.2A.1.4.4</t>
  </si>
  <si>
    <t>45C1F3DE27954255BE3462AFD29E1895</t>
  </si>
  <si>
    <t>1.3.2A.1.4.4 Draft Copy</t>
  </si>
  <si>
    <t xml:space="preserve">Allocate Requirements </t>
  </si>
  <si>
    <t>• Template "2c_(In-work) Engineering Approved" Applied (scope: Current Diagram) (David Magee - 06/09/2025)
• Class I change. Connected to the spec tree FLL for the FCA/PCA process. (David Magee - 06/09/2025)
• Template "1c_(Standard) Engineering Approved" Applied (scope: Diagram Scope List File) (Nicholas Georgeson - 06/27/2025)</t>
  </si>
  <si>
    <t>2ED63168173748D3888487121B439224</t>
  </si>
  <si>
    <t>1.3.2A.4.1.3.1.3C</t>
  </si>
  <si>
    <t>50E9CB63216B4D909ECBBC2F5292914E</t>
  </si>
  <si>
    <t>1.3.2A.4.1.3.1.3C Draft Copy</t>
  </si>
  <si>
    <t>Conduct Data Throughput Analysis Event (comms)</t>
  </si>
  <si>
    <t>Bryan Green</t>
  </si>
  <si>
    <t>10/31/2024</t>
  </si>
  <si>
    <t>• Template "2c_(In-work) Engineering Approved" Applied (scope: Current Diagram) (David Magee - 06/09/2025)
• Class I change. Moved the connection down a level on the other side of the Analysis Report FLL for the FCA/PCA process. (David Magee - 06/09/2025)
• Template "1c_(Standard) Engineering Approved" Applied (scope: Diagram Scope List File) (Nicholas Georgeson - 06/27/2025)</t>
  </si>
  <si>
    <t>89538F8E0B6943F2987DFD9FC1EA6C4A</t>
  </si>
  <si>
    <t>1.3.3.3.1.1.4.2.2.2.5.3</t>
  </si>
  <si>
    <t>AC8ADBF25F7041A78F64521985CDD67A</t>
  </si>
  <si>
    <t>1.3.3.3.1.1.4.2.2.2.5.3 Draft Copy</t>
  </si>
  <si>
    <t>Execute Software Integration</t>
  </si>
  <si>
    <t>• Template "2b_(In-work) Claimed" Applied (scope: Current Diagram) (David Magee - 06/09/2025)
• Class I change. Moved the connection down a level on the other side of the Verification Report FLL for the FCA/PCA process. (David Magee - 06/09/2025)
• Template "1b_(Standard) Claimed" Applied (scope: Diagram Scope List File) (Nicholas Georgeson - 06/27/2025)</t>
  </si>
  <si>
    <t>583810BA154D40DAB713C17660DA6B83</t>
  </si>
  <si>
    <t>1.3.3.3.1.6</t>
  </si>
  <si>
    <t>88BBFA60381E492693FEA2A0DBEAE00F</t>
  </si>
  <si>
    <t>1.3.3.3.1.6 Draft Copy</t>
  </si>
  <si>
    <t xml:space="preserve">Integrate Functional Capability </t>
  </si>
  <si>
    <t>SE-IFC</t>
  </si>
  <si>
    <t xml:space="preserve">Establish Flying Test Bed Activity 40, </t>
  </si>
  <si>
    <t>• Template "2c_(In-work) Engineering Approved" Applied (scope: Current Diagram) (David Magee - 06/09/2025)
• Class I change. Moved the connection down a level on the other side of the Verification Report FLL for the FCA/PCA process. (David Magee - 06/09/2025)
• Template "1c_(Standard) Engineering Approved" Applied (scope: Diagram Scope List File) (Nicholas Georgeson - 06/27/2025)</t>
  </si>
  <si>
    <t>843E1942BF744D03A79F0EEA0996B573</t>
  </si>
  <si>
    <t>1.3.3.3.3.1.1.3</t>
  </si>
  <si>
    <t>D96B14EF95CB4EA8BA2AE1CD66CDA3B7</t>
  </si>
  <si>
    <t>1.3.3.3.3.1.1.3 Draft Copy</t>
  </si>
  <si>
    <t>Test Software</t>
  </si>
  <si>
    <t>8/31/2021</t>
  </si>
  <si>
    <t>• Template "2b_(In-work) Claimed" Applied (scope: Current Diagram) (David Magee - 06/09/2025)
• Class I change. Moved the connection down a level on the other side of the Test Report FLL for the FCA/PCA process. (David Magee - 06/09/2025)
• Template "1b_(Standard) Claimed" Applied (scope: Diagram Scope List File) (Nicholas Georgeson - 06/27/2025)</t>
  </si>
  <si>
    <t>C85758E7412C4315BB31345BF4EFB184</t>
  </si>
  <si>
    <t>1.3.3.3.3.1.2.4</t>
  </si>
  <si>
    <t>FDBD713C242C42F0854BC82289FEA885</t>
  </si>
  <si>
    <t>1.3.3.3.3.1.2.4 Draft Copy</t>
  </si>
  <si>
    <t>Conduct Formal Tests (SYS III)</t>
  </si>
  <si>
    <t>T&amp;E-System Test Eng</t>
  </si>
  <si>
    <t>E0-7425, ESM7413</t>
  </si>
  <si>
    <t>FF9DA5D68B2F44DAAF3FD781177230EC</t>
  </si>
  <si>
    <t>1.3.3.3.3.2</t>
  </si>
  <si>
    <t>13BC1C25791748459520CE9089D8FFD1</t>
  </si>
  <si>
    <t>1.3.3.3.3.2 Draft Copy</t>
  </si>
  <si>
    <t>Verify IFC by Analysis</t>
  </si>
  <si>
    <t>D907CA800BF2498C973ACAC24E61E060</t>
  </si>
  <si>
    <t>1.3.3.3.3.3</t>
  </si>
  <si>
    <t>011DBD6BC30E4F2FA470D17CFFCF6765</t>
  </si>
  <si>
    <t>1.3.3.3.3.3 Draft Copy</t>
  </si>
  <si>
    <t>Verify IFC by Inspection</t>
  </si>
  <si>
    <t>D6BB4A029F5541E69A0524505B4023B0</t>
  </si>
  <si>
    <t>1.3.3.3.3.4</t>
  </si>
  <si>
    <t>55129148532D4F27AAF348BB029432C3</t>
  </si>
  <si>
    <t>1.3.3.3.3.4 Draft Copy</t>
  </si>
  <si>
    <t>Verify IFC by Modeling &amp; Simulation</t>
  </si>
  <si>
    <t>SE-Mission Eng/M&amp;S</t>
  </si>
  <si>
    <t>1B3BC4279B1D4268B393ACEFA1B711E4</t>
  </si>
  <si>
    <t>1.3.5</t>
  </si>
  <si>
    <t>1C4D3200316E4735A7142A1E4F6A4117</t>
  </si>
  <si>
    <t>1.3.5 Draft Copy</t>
  </si>
  <si>
    <t>Design &amp; Develop Hardware</t>
  </si>
  <si>
    <t>VE-Mechanical</t>
  </si>
  <si>
    <t>• Template "2a_(In-work) Unclaimed" Applied (scope: Current Diagram) (David Magee - 06/09/2025)
• Class I change. Connected to the Released PDP FLL for the FCA/PCA process. (David Magee - 06/09/2025)
• Template "1a_(Standard) Unclaimed" Applied (scope: Diagram Scope List File) (Nicholas Georgeson - 06/27/2025)</t>
  </si>
  <si>
    <t>7A459B5155D743AFB92B9ED5D4E03E97</t>
  </si>
  <si>
    <t>1.3.5.1.4</t>
  </si>
  <si>
    <t>907AD6EEF6B443A183C35F5FBABF7F6E</t>
  </si>
  <si>
    <t>1.3.5.1.4 Draft Copy</t>
  </si>
  <si>
    <t>Plan PDP Design &amp; Development</t>
  </si>
  <si>
    <t>Nathan Walters</t>
  </si>
  <si>
    <t>• Template "2c_(In-work) Engineering Approved" Applied (scope: Current Diagram) (David Magee - 06/09/2025)
• Class I change. Connected to the Indentured PDP List FLL for the FCA/PCA process. (David Magee - 06/09/2025)
• Template "1c_(Standard) Engineering Approved" Applied (scope: Diagram Scope List File) (Nicholas Georgeson - 06/27/2025)</t>
  </si>
  <si>
    <t>7CBD89EFF1D946B2B3D72D89B049A4C0</t>
  </si>
  <si>
    <t>1.3.5.5.3</t>
  </si>
  <si>
    <t>F78521BD5506456FB50EF895675CEB97</t>
  </si>
  <si>
    <t>1.3.5.5.3 Draft Copy</t>
  </si>
  <si>
    <t>Develop Remaining Qualification Data</t>
  </si>
  <si>
    <t>7/30/2020</t>
  </si>
  <si>
    <t>C7E1B5BD10274D85AF00A80EA554611E</t>
  </si>
  <si>
    <t>1.3.7</t>
  </si>
  <si>
    <t>FFB8CD6327D848B3803025F421D4514B</t>
  </si>
  <si>
    <t>1.3.7 Draft Copy</t>
  </si>
  <si>
    <t>Review System Verification</t>
  </si>
  <si>
    <t>D0-7207, E0-7110</t>
  </si>
  <si>
    <t>• Template "2a_(In-work) Unclaimed" Applied (scope: Current Diagram) (David Magee - 06/02/2025)
• Template "1a_(Standard) Unclaimed" Applied (scope: Diagram Scope List File) (Nicholas Georgeson - 06/27/2025)</t>
  </si>
  <si>
    <t>5CBBA855993047C7A27EED2A6B0CF35A</t>
  </si>
  <si>
    <t>1.3.7.1</t>
  </si>
  <si>
    <t>4497E16753F3463E821CBAD99110130D</t>
  </si>
  <si>
    <t>1.3.7.1 Draft Copy</t>
  </si>
  <si>
    <t>Develop FCA &amp;PCA Audit Plan</t>
  </si>
  <si>
    <t>4/29/2025</t>
  </si>
  <si>
    <t>1.3.7.2</t>
  </si>
  <si>
    <t>1296DE8D563B42D9B5671532CA63E5B2</t>
  </si>
  <si>
    <t>1.3.7.2 Draft Copy</t>
  </si>
  <si>
    <t>Conduct FCA &amp; PCA Audits</t>
  </si>
  <si>
    <t>1.3.7.2.1</t>
  </si>
  <si>
    <t>D4CDCA3B18E74AC7A52A34EBC44A512C</t>
  </si>
  <si>
    <t>1.3.7.2.1 Draft Copy</t>
  </si>
  <si>
    <t xml:space="preserve">Conduct Hardware CI (HWCI) &amp; Computer Software CI (CSCI) FCAs </t>
  </si>
  <si>
    <t>1.3.7.2.1.2</t>
  </si>
  <si>
    <t>3E8A8BD769AD42BAAEE5589718CFF2BB</t>
  </si>
  <si>
    <t>1.3.7.2.1.2 Draft Copy</t>
  </si>
  <si>
    <t xml:space="preserve">Conduct NGC-provided Product Audit </t>
  </si>
  <si>
    <t>4/30/2025</t>
  </si>
  <si>
    <t>1.3.7.2.1.2.1</t>
  </si>
  <si>
    <t>82365FD5DD2F4E058E375D71113794A5</t>
  </si>
  <si>
    <t>1.3.7.2.1.2.1 Draft Copy</t>
  </si>
  <si>
    <t>Coordinate Functional Configuration Audit</t>
  </si>
  <si>
    <t>2/5/2025</t>
  </si>
  <si>
    <t>1.3.7.2.1.2.3</t>
  </si>
  <si>
    <t>1CC37AB3AB1F468E976001B340B0FEDE</t>
  </si>
  <si>
    <t>1.3.7.2.1.2.3 Draft Copy</t>
  </si>
  <si>
    <t>Close Functional Configuration Audit</t>
  </si>
  <si>
    <t>1.3.7.2.1.3</t>
  </si>
  <si>
    <t>758AFAE5A1D541849DB1607E1DD9B8E1</t>
  </si>
  <si>
    <t>1.3.7.2.1.3 Draft Copy</t>
  </si>
  <si>
    <t>Conduct Supplier-provided Product Audit</t>
  </si>
  <si>
    <t>1.3.7.2.1.3.1</t>
  </si>
  <si>
    <t>41EE128EAD4848D38894E1402456899C</t>
  </si>
  <si>
    <t>1.3.7.2.1.3.1 Draft Copy</t>
  </si>
  <si>
    <t>1.3.7.2.1.3.3</t>
  </si>
  <si>
    <t>F128E773FD6E40B2874AD7C13E22BB91</t>
  </si>
  <si>
    <t>1.3.7.2.1.3.3 Draft Copy</t>
  </si>
  <si>
    <t>1.3.7.2.2</t>
  </si>
  <si>
    <t>41C2C66C7ED04674880564678977AAF6</t>
  </si>
  <si>
    <t>1.3.7.2.2 Draft Copy</t>
  </si>
  <si>
    <t xml:space="preserve">Conduct HWCI &amp; CSCI PCAs </t>
  </si>
  <si>
    <t>1.3.7.2.2.2</t>
  </si>
  <si>
    <t>3DE25C9A371847D893393E30E46E26DB</t>
  </si>
  <si>
    <t>1.3.7.2.2.2 Draft Copy</t>
  </si>
  <si>
    <t>1.3.7.2.2.2.1</t>
  </si>
  <si>
    <t>088AEAF581584B05A25AA921AB0A7A7C</t>
  </si>
  <si>
    <t>1.3.7.2.2.2.1 Draft Copy</t>
  </si>
  <si>
    <t>Coordinate Physical Configuration Audit</t>
  </si>
  <si>
    <t>1.3.7.2.2.2.3</t>
  </si>
  <si>
    <t>1CB5DC74F8FA42CCA189964EE3DDB1F1</t>
  </si>
  <si>
    <t>1.3.7.2.2.2.3 Draft Copy</t>
  </si>
  <si>
    <t>Close Physical Configuration Audit</t>
  </si>
  <si>
    <t>1.3.7.2.2.3</t>
  </si>
  <si>
    <t>9C386B880FFA4FBD8CD4F78500CC2BDA</t>
  </si>
  <si>
    <t>1.3.7.2.2.3 Draft Copy</t>
  </si>
  <si>
    <t>1.3.7.2.2.3.1</t>
  </si>
  <si>
    <t>B913EAD9CD5A49F68E33ACDA17793077</t>
  </si>
  <si>
    <t>1.3.7.2.2.3.1 Draft Copy</t>
  </si>
  <si>
    <t>1.3.7.2.2.3.3</t>
  </si>
  <si>
    <t>75048FD308864873AA33BFE4BF20283F</t>
  </si>
  <si>
    <t>1.3.7.2.2.3.3 Draft Copy</t>
  </si>
  <si>
    <t>1.3.7.3</t>
  </si>
  <si>
    <t>64B576825F02417DB712405B3659E05F</t>
  </si>
  <si>
    <t>1.3.7.3 Draft Copy</t>
  </si>
  <si>
    <t>Develop  Verification Sign Off Ledger (VSOL)</t>
  </si>
  <si>
    <t>1.3.8</t>
  </si>
  <si>
    <t>CE6EAF4D1F7D4F25AD31E203145CAB6D</t>
  </si>
  <si>
    <t>1.3.8 Draft Copy</t>
  </si>
  <si>
    <t>Perform Product Delivery</t>
  </si>
  <si>
    <t>• Template "2a_(In-work) Unclaimed" Applied (scope: Current Diagram) (David Magee - 06/09/2025)
• Class I change. Updated input line to add "VSOL" from the FCA/PCA process. (David Magee - 06/09/2025)
• Template "1a_(Standard) Unclaimed" Applied (scope: Diagram Scope List File) (Nicholas Georgeson - 06/27/2025)</t>
  </si>
  <si>
    <t>7B27741E58664EF8BDB55DEAFA4BDAB0</t>
  </si>
  <si>
    <t>1.3.8.1</t>
  </si>
  <si>
    <t>6AECE7C8E4D841A28B52928437AE1239</t>
  </si>
  <si>
    <t>1.3.8.1 Draft Copy</t>
  </si>
  <si>
    <t>Develop Installation Kit</t>
  </si>
  <si>
    <t>• Template "1a_(Standard) Unclaimed" Applied (scope: Diagram Scope List File) (Cathryn Curry - 11/19/2023)
• Template "1a_(Standard) Unclaimed" Applied (scope: Diagram Scope List File) (Cathryn Curry - 11/20/2023)
• Template "1c_(Standard) Engineering Approved" Applied (scope: Diagram Scope List File) (David Magee - 02/23/2024)
• Template "1a_(Standard) Unclaimed" Applied (scope: Diagram Scope List File) (David Magee - 02/23/2024)
• Template "2a_(In-work) Unclaimed" Applied (scope: Current Diagram) (David Magee - 06/09/2025)
• Class I change. Updated input line to add "VSOL" from the FCA/PCA process. (David Magee - 06/09/2025)
• Template "1a_(Standard) Unclaimed" Applied (scope: Diagram Scope List File) (Nicholas Georgeson - 06/27/2025)</t>
  </si>
  <si>
    <t>29732FBB324D473B832E1BFB20CBA4CF</t>
  </si>
  <si>
    <t>1.4A</t>
  </si>
  <si>
    <t>8A9D1E3EC0A641EF914442481D5EF166</t>
  </si>
  <si>
    <t>1.4A Draft Copy</t>
  </si>
  <si>
    <t>Build Product</t>
  </si>
  <si>
    <t>• Template "2a_(In-work) Unclaimed" Applied (scope: Current Diagram) (David Magee - 06/09/2025)
• Class I change. Connected to the Manufacturing Plan, Validated Master Production Schedule (MPS) FLL for the FCA/PCA process.   (David Magee - 06/09/2025)
• Template "1a_(Standard) Unclaimed" Applied (scope: Diagram Scope List File) (Nicholas Georgeson - 06/27/2025)</t>
  </si>
  <si>
    <t>D2F1B9A3A83549229EDA169D551C8898</t>
  </si>
  <si>
    <t>1.4B</t>
  </si>
  <si>
    <t>074C1E61683246828B315685922FD1DE</t>
  </si>
  <si>
    <t>1.4B Draft Copy</t>
  </si>
  <si>
    <t>Build Control Station</t>
  </si>
  <si>
    <t>100DF64DE3C7425186A2D757B0384358</t>
  </si>
  <si>
    <t>• Template "2a_(In-work) Unclaimed" Applied (scope: Current Diagram) (David Magee - 06/04/2025)
• Class I change. Moved connection on other side of change request for the VSOL process. (David Magee - 06/04/2025)
• Template "1a_(Standard) Unclaimed" Applied (scope: Diagram Scope List File) (Nicholas Georgeson - 06/27/2025)</t>
  </si>
  <si>
    <t>• Template "2a_(In-work) Unclaimed" Applied (scope: Current Diagram) (David Magee - 06/04/2025)
• Class I change. Moved connection on other side of metrics for the VSOL process. (David Magee - 06/04/2025)
• Template "1a_(Standard) Unclaimed" Applied (scope: Diagram Scope List File) (Nicholas Georgeson - 06/27/2025)</t>
  </si>
  <si>
    <t>1.7.5.3</t>
  </si>
  <si>
    <t>4268AEAE9FF040FC867CA003A6C953B1</t>
  </si>
  <si>
    <t>1.7.5.3 Draft Copy</t>
  </si>
  <si>
    <t>Conduct Milestone Reviews</t>
  </si>
  <si>
    <t>E0-7139</t>
  </si>
  <si>
    <t>• Template "2c_(In-work) Engineering Approved" Applied (scope: Current Diagram) (David Magee - 06/04/2025)
• Class I change. Connected to the allocated baseline FLL for the FCA/PCA process. (David Magee - 06/04/2025)
• Template "1c_(Standard) Engineering Approved" Applied (scope: Diagram Scope List File) (Nicholas Georgeson - 06/27/2025)</t>
  </si>
  <si>
    <t>CC8194C8F65647E0BF4458BCD2BD0367</t>
  </si>
  <si>
    <t>1.9</t>
  </si>
  <si>
    <t>0C284BC48D994B76B06C3C4422DCBA3C</t>
  </si>
  <si>
    <t>1.9 Draft Copy</t>
  </si>
  <si>
    <t>Manage Configuration &amp; Data</t>
  </si>
  <si>
    <t>D0-7200</t>
  </si>
  <si>
    <t>• Template "2c_(In-work) Engineering Approved" Applied (scope: Current Diagram) (David Magee - 06/04/2025)
• Class I change. Connected to the CI List FLL for the FCA/PCA process. Added CDM Checklist to diagram paperclip. (David Magee - 06/04/2025)
• Template "1c_(Standard) Engineering Approved" Applied (scope: Diagram Scope List File) (Nicholas Georgeson - 06/27/2025)</t>
  </si>
  <si>
    <t>AD63F2CBEEAD450CA934DB7F151800DF</t>
  </si>
  <si>
    <t>• Template "2b_(In-work) Claimed" Applied (scope: Current Diagram) (David Magee - 06/04/2025)
• Class I change. Connected to FLL link for Draft doc and released doc for the FCA/PCA process. (David Magee - 06/04/2025)
• Class II change. Added new flow line link connection to new cyber diagram. (David Dickinson - 06/13/2025)
• Template "1d_(Standard) Not to be claimed" Applied (scope: Diagram Scope List File) (Nicholas Georgeson - 06/27/2025)</t>
  </si>
  <si>
    <t>1.9.1.6</t>
  </si>
  <si>
    <t>CE6B08576C014B3F9DC9B5AE7EE3330F</t>
  </si>
  <si>
    <t>1.9.1.6 Draft Copy</t>
  </si>
  <si>
    <t>Distribute Data Products</t>
  </si>
  <si>
    <t>• Template "2c_(In-work) Engineering Approved" Applied (scope: Current Diagram) (David Magee - 06/04/2025)
• Class I change. Connected to the SDRL FLL for the FCA/PCA process. (David Magee - 06/04/2025)
• Template "1c_(Standard) Engineering Approved" Applied (scope: Diagram Scope List File) (Nicholas Georgeson - 06/27/2025)</t>
  </si>
  <si>
    <t>3CC62D0215ED4558B30385E63332E91A</t>
  </si>
  <si>
    <t>1.3.5.1.5.5.1</t>
  </si>
  <si>
    <t xml:space="preserve">Needs Attachment Data Table removal </t>
  </si>
  <si>
    <t>81B4CD91408040389EA8455B5BE4078B</t>
  </si>
  <si>
    <t>1.3.5.1.5.5.1 Draft Copy</t>
  </si>
  <si>
    <t xml:space="preserve">Develop Program-tailored Requirements Documents </t>
  </si>
  <si>
    <t>VE-Struct Design</t>
  </si>
  <si>
    <t>8/10/2023</t>
  </si>
  <si>
    <t>• Template "1c_(Standard) Engineering Approved" Applied (scope: Diagram Scope List File) (David Magee - 02/23/2024)
• Deleted data table attachment "Needs Attachment" from Activity: Create / Update SDC Document (David Magee - 06/25/2025)
• Template "2c_(In-work) Engineering Approved" Applied (scope: Current Diagram) (David Magee - 06/25/2025)
• Class III change. Removed the "needs attachment" data table from box 1. (David Magee - 06/25/2025)
• Template "1c_(Standard) Engineering Approved" Applied (scope: Diagram Scope List File) (Nicholas Georgeson - 06/27/2025)</t>
  </si>
  <si>
    <t>E3E35875D6D34B139A97688293698A53</t>
  </si>
  <si>
    <t>1.11.2.7.19.4.3.1</t>
  </si>
  <si>
    <t>Replaced tool</t>
  </si>
  <si>
    <t>Related to Tools TRB Package SI&amp;O - ESP / GF Tools 2025 Funding for Apex Baseline Tools (87)</t>
  </si>
  <si>
    <t>F8D56790BD334A25BE6747A24E46963E</t>
  </si>
  <si>
    <t>1.11.2.7.19.4.3.1 Draft Copy</t>
  </si>
  <si>
    <t>"Run" Detailed Performance Model</t>
  </si>
  <si>
    <t>FS-Vehicle Perf</t>
  </si>
  <si>
    <t>ESM9003</t>
  </si>
  <si>
    <t>• Template "2c_(In-work) Engineering Approved" Applied (scope: Current Diagram) (David Magee - 06/05/2025)
• Class II change. Update tools MISAN to MVP and FLOPS to TOMAT / LADMAT on boxes 3,4, and 5. (David Magee - 06/05/2025)
• Template "1c_(Standard) Engineering Approved" Applied (scope: Diagram Scope List File) (Nicholas Georgeson - 06/27/2025)</t>
  </si>
  <si>
    <t>787F5E8987074C5B8978687C932B9401</t>
  </si>
  <si>
    <t>1.9.3</t>
  </si>
  <si>
    <t>B5C07C56A082489DA1F1B9ACBA641914</t>
  </si>
  <si>
    <t>1.9.3 Draft Copy</t>
  </si>
  <si>
    <t>Control Changes to Configuration Items (CIs)</t>
  </si>
  <si>
    <t>D0-7219</t>
  </si>
  <si>
    <t>• Template "1c_(Standard) Engineering Approved" Applied (scope: Diagram Scope List File) (David Magee - 02/23/2024)
• Template "2c_(In-work) Engineering Approved" Applied (scope: Current Diagram) (David Magee - 06/17/2025)
• Class II change. Added new box for tech package and updated output of box 1.  (David Magee - 06/17/2025)
• Template "1c_(Standard) Engineering Approved" Applied (scope: Diagram Scope List File) (Nicholas Georgeson - 06/27/2025)</t>
  </si>
  <si>
    <t>59472B4100AB4B7F9520132346F3FF07</t>
  </si>
  <si>
    <t>1.9.3.1</t>
  </si>
  <si>
    <t>77BDAB03E59840DAA13A2A15796353A5</t>
  </si>
  <si>
    <t>1.9.3.1 Draft Copy</t>
  </si>
  <si>
    <t>Capture Baselines</t>
  </si>
  <si>
    <t>• Deleted data table attachment "Scope" from Image (David Magee - 06/17/2025)
• Deleted data table attachment "Purpose" from Image (David Magee - 06/17/2025)
• Deleted data table attachment "Overview / Introduction" from Image (David Magee - 06/17/2025)
• Template "2c_(In-work) Engineering Approved" Applied (scope: Current Diagram) (David Magee - 06/17/2025)
• Class II change. Updated diagram to address SME feedback on baselines. (David Magee - 06/17/2025)
• Template "1c_(Standard) Engineering Approved" Applied (scope: Diagram Scope List File) (Nicholas Georgeson - 06/27/2025)</t>
  </si>
  <si>
    <t>DCC5F5945CC54661A2FABFC2180FE1DE</t>
  </si>
  <si>
    <t>1.9.3.4</t>
  </si>
  <si>
    <t>BA3C5F2E4C394349BE8821D669216EE3</t>
  </si>
  <si>
    <t>1.9.3.4 Draft Copy</t>
  </si>
  <si>
    <t>Manage Configuration Items</t>
  </si>
  <si>
    <t>D0-7217</t>
  </si>
  <si>
    <t>• Template "2c_(In-work) Engineering Approved" Applied (scope: Current Diagram) (David Magee - 06/09/2025)
• Class I change. Connected to the CI List FLL for the FCA/PCA process. (David Magee - 06/09/2025)
• Template "1c_(Standard) Engineering Approved" Applied (scope: Diagram Scope List File) (Nicholas Georgeson - 06/27/2025)</t>
  </si>
  <si>
    <t>58C1C349DDA843BCA1C8BA992B4CEFD4</t>
  </si>
  <si>
    <t>1.11.3.2.5</t>
  </si>
  <si>
    <t>050AFBB35B5F4B0B95ECEBB5F13E4AC7</t>
  </si>
  <si>
    <t>1.11.3.2.5 Draft Copy</t>
  </si>
  <si>
    <t>Obtain Intercompany Work Order (IWO)</t>
  </si>
  <si>
    <t>• Template "1a_(Standard) Unclaimed" Applied (scope: Current Diagram) (Cathryn Curry - 10/09/2023)
• Template "2a_(In-work) Unclaimed" Applied (scope: Current Diagram) (Cathryn Curry - 06/10/2025)
• Class II Change. Added connection from Issued IWO to new IMP diagram. (Cathryn Curry - 06/10/2025)
• Template "1a_(Standard) Unclaimed" Applied (scope: Diagram Scope List File) (Nicholas Georgeson - 06/27/2025)</t>
  </si>
  <si>
    <t>638AFB3F44734CD7B39FCD9DEA155777</t>
  </si>
  <si>
    <t>• Template "2a_(In-work) Unclaimed" Applied (scope: Current Diagram) (Cathryn Curry - 06/10/2025)
• Class II Change. Added connection from PDD to new IMP diagram. (Cathryn Curry - 06/10/2025)
• Template "1a_(Standard) Unclaimed" Applied (scope: Diagram Scope List File) (Nicholas Georgeson - 06/27/2025)</t>
  </si>
  <si>
    <t>• Template "2a_(In-work) Unclaimed" Applied (scope: Current Diagram) (Cathryn Curry - 06/10/2025)
• Class II Change. Added connection from PMB to new IMP diagram. (Cathryn Curry - 06/10/2025)
• Class II change. Added flow line connection from SOW to updated cyber diagram.
 (David Dickinson - 06/13/2025)
• Template "1a_(Standard) Unclaimed" Applied (scope: Diagram Scope List File) (Nicholas Georgeson - 06/27/2025)</t>
  </si>
  <si>
    <t>• Template "2a_(In-work) Unclaimed" Applied (scope: Current Diagram) (Cathryn Curry - 06/05/2025)
• Class I change. Added additional detail to iteration process and inputs.  (Cathryn Curry - 06/10/2025)
• Template "1a_(Standard) Unclaimed" Applied (scope: Diagram Scope List File) (Nicholas Georgeson - 06/27/2025)</t>
  </si>
  <si>
    <t>1.2.7.1.5</t>
  </si>
  <si>
    <t>540190CFF18D4AC5B5380BB279917348</t>
  </si>
  <si>
    <t>1.2.7.1.5 Draft Copy</t>
  </si>
  <si>
    <t>Develop Systems Engineering Plans</t>
  </si>
  <si>
    <t>E0-7140</t>
  </si>
  <si>
    <t>• Template "2c_(In-work) Engineering Approved" Applied (scope: Current Diagram) (Cathryn Curry - 06/10/2025)
• Class I change. Added SEMP FLL connection to new IMP process.  (Cathryn Curry - 06/10/2025)
• Template "1c_(Standard) Engineering Approved" Applied (scope: Diagram Scope List File) (Nicholas Georgeson - 06/27/2025)</t>
  </si>
  <si>
    <t>1C760B40CA1044A29A06C118206356C6</t>
  </si>
  <si>
    <t>• Template "2a_(In-work) Unclaimed" Applied (scope: Current Diagram) (Cathryn Curry - 06/05/2025)
• Class III change. Cleaned up uneven lines.  (Cathryn Curry - 06/10/2025)
• Template "1a_(Standard) Unclaimed" Applied (scope: Diagram Scope List File) (Nicholas Georgeson - 06/27/2025)</t>
  </si>
  <si>
    <t>• Template "2a_(In-work) Unclaimed" Applied (scope: Current Diagram) (Cathryn Curry - 06/05/2025)
• Class I change. Corrected FLL connection to PDD into box 2.  (Cathryn Curry - 06/10/2025)
• Template "1a_(Standard) Unclaimed" Applied (scope: Diagram Scope List File) (Nicholas Georgeson - 06/27/2025)</t>
  </si>
  <si>
    <t>• Template "2a_(In-work) Unclaimed" Applied (scope: Current Diagram) (Cathryn Curry - 06/05/2025)
• Class I change. Added FLL connection from Program Resource Requirements to manage program requirements process.  (Cathryn Curry - 06/10/2025)
• Template "1a_(Standard) Unclaimed" Applied (scope: Diagram Scope List File) (Nicholas Georgeson - 06/27/2025)</t>
  </si>
  <si>
    <t xml:space="preserve">D0-5200 Manage Requirements Activity 10, D0-5200 Manage Requirements Activity 11, </t>
  </si>
  <si>
    <t>• Template "2b_(In-work) Claimed" Applied (scope: Current Diagram) (Cathryn Curry - 06/05/2025)
• Class I change. Added FLL connection from Program Resource Requirements to box 2.  (Cathryn Curry - 06/10/2025)
• Template "1b_(Standard) Claimed" Applied (scope: Diagram Scope List File) (Nicholas Georgeson - 06/27/2025)</t>
  </si>
  <si>
    <t>1.1.6.3</t>
  </si>
  <si>
    <t>670AE441CB4143E09BE21C004E38C9B0</t>
  </si>
  <si>
    <t>1.1.6.3 Draft Copy</t>
  </si>
  <si>
    <t>Determine Proposal Team Composition</t>
  </si>
  <si>
    <t>6/16/2020</t>
  </si>
  <si>
    <t>• Template "2a_(In-work) Unclaimed" Applied (scope: Current Diagram) (Cathryn Curry - 06/05/2025)
• Class III change. Straightened out the pass back lines.  (Cathryn Curry - 06/05/2025)
• Template "1a_(Standard) Unclaimed" Applied (scope: Diagram Scope List File) (Nicholas Georgeson - 06/27/2025)</t>
  </si>
  <si>
    <t>4274CFB6B7784C7DA3EC011C1D108412</t>
  </si>
  <si>
    <t xml:space="preserve">D0-5600 Manage Change Activity 9, D0-5600 Manage Change Activity 11, D0-5600 Manage Change Activity 12, </t>
  </si>
  <si>
    <t>• Template "2b_(In-work) Claimed" Applied (scope: Current Diagram) (Cathryn Curry - 06/16/2025)
• Class III change. Renamed box 2 to match box 3 pattern.  (Cathryn Curry - 06/16/2025)
• Template "1b_(Standard) Claimed" Applied (scope: Diagram Scope List File) (Nicholas Georgeson - 06/27/2025)</t>
  </si>
  <si>
    <t>Conduct Technical Review Board (TRB) Review</t>
  </si>
  <si>
    <t>• Template "2b_(In-work) Claimed" Applied (scope: Current Diagram) (Cathryn Curry - 06/16/2025)
• Class III change. Updated diagram title above, and renamed box 3 to align with CCB pattern.  (Cathryn Curry - 06/16/2025)
• Template "1b_(Standard) Claimed" Applied (scope: Diagram Scope List File) (Nicholas Georgeson - 06/27/2025)</t>
  </si>
  <si>
    <t>• Template "2a_(In-work) Unclaimed" Applied (scope: Current Diagram) (Cathryn Curry - 06/12/2025)
• Class III change. Renamed IMF to "NGAS Program Framework (PMF) Level" (Cathryn Curry - 06/12/2025)
• Template "1a_(Standard) Unclaimed" Applied (scope: Diagram Scope List File) (Nicholas Georgeson - 06/27/2025)</t>
  </si>
  <si>
    <t>1.1.6</t>
  </si>
  <si>
    <t>989B7220EABE43FABA92524CA4B2A17A</t>
  </si>
  <si>
    <t>1.1.6 Draft Copy</t>
  </si>
  <si>
    <t>Conduct Pre-proposal Preparation (BAP 3)</t>
  </si>
  <si>
    <t>755053EDC22843D6B3DC7F64B0AD2DA7</t>
  </si>
  <si>
    <t>1.2.2.2.4</t>
  </si>
  <si>
    <t>F2724A364AE84AB485D2A0599A5424E8</t>
  </si>
  <si>
    <t>1.2.2.2.4 Draft Copy</t>
  </si>
  <si>
    <t>Define Program Process Assets</t>
  </si>
  <si>
    <t>• Template "2a_(In-work) Unclaimed" Applied (scope: Current Diagram) (Cathryn Curry - 06/12/2025)
• Class III change. Renamed IMF to "NGAS Program Framework (PMF) Level"
 (Cathryn Curry - 06/12/2025)
• Template "1a_(Standard) Unclaimed" Applied (scope: Diagram Scope List File) (Nicholas Georgeson - 06/27/2025)</t>
  </si>
  <si>
    <t>E5123AD09B414B70838384CD83443A3D</t>
  </si>
  <si>
    <t>1.2.2.2.4.3.1</t>
  </si>
  <si>
    <t>C29AA551A0F04390A8ADB6ADC52600C2</t>
  </si>
  <si>
    <t>1.2.2.2.4.3.1 Draft Copy</t>
  </si>
  <si>
    <t>Tailor Process Model</t>
  </si>
  <si>
    <t>128DCD88E95C41968D7C4F31F10EBAB2</t>
  </si>
  <si>
    <t>• Class III change. Switched storyboard link from showing the link to auto redirect.  (Cathryn Curry - 06/24/2025)</t>
  </si>
  <si>
    <t>1.11.1.8.14.8</t>
  </si>
  <si>
    <t>1.11.1.8.14.8 Draft Copy</t>
  </si>
  <si>
    <t>D0-5800</t>
  </si>
  <si>
    <t>• Class III change. Update to graphic from PrOP updates. (Cathryn Curry - 06/25/2025)</t>
  </si>
  <si>
    <t>Cybersecurity Testing Management (CTM)</t>
  </si>
  <si>
    <t>AW&amp;WSC / WSC: CTM</t>
  </si>
  <si>
    <t>1.3.5.3.3.3</t>
  </si>
  <si>
    <t>Attaching missing PAL docs</t>
  </si>
  <si>
    <t>93F1B5DBA94A49A4B757EDF230CFB0C1</t>
  </si>
  <si>
    <t>1.3.5.3.3.3 Draft Copy</t>
  </si>
  <si>
    <t>Review PDP Design (DR1)</t>
  </si>
  <si>
    <t>Brian Philpot</t>
  </si>
  <si>
    <t>Authorization Pending - 7/10/2025</t>
  </si>
  <si>
    <t xml:space="preserve">Develop Analysis Data Package (ADP) Activity 19, Develop Analysis Data Package (ADP) Activity 20, </t>
  </si>
  <si>
    <t>• Template "2c_(In-work) Engineering Approved" Applied (scope: Current Diagram) (David Magee - 01/30/2025)
• Class III change. Added ETP8104-1 and ETP8104-2 to diagram paperclip and box 1.
 (David Magee - 01/30/2025)</t>
  </si>
  <si>
    <t>BB9AA4CB4C7E4F30B1DA07A2A0B82E14</t>
  </si>
  <si>
    <t>1.3.5.3.4.4.2</t>
  </si>
  <si>
    <t>A499AE9336CF4B9B92996A29011983D0</t>
  </si>
  <si>
    <t>1.3.5.3.4.4.2 Draft Copy</t>
  </si>
  <si>
    <t>Prepare for DR2 Meeting</t>
  </si>
  <si>
    <t>6/24/2022</t>
  </si>
  <si>
    <t>• Deleted data table attachment "Purpose" from Image (David Magee - 01/30/2025)
• Deleted data table attachment "Overview / Introduction" from Image (David Magee - 01/30/2025)
• Template "2c_(In-work) Engineering Approved" Applied (scope: Current Diagram) (David Magee - 01/30/2025)
• Class III change. Added ETP8104-1 and ETP8104-2 to diagram paperclip and box 1. (David Magee - 01/30/2025)</t>
  </si>
  <si>
    <t>36610585987C47C1A4D378256A3550B1</t>
  </si>
  <si>
    <t>1.11.2.7.19</t>
  </si>
  <si>
    <t>136566F0526C4C5BA4BABB91771FE4E6</t>
  </si>
  <si>
    <t>1.11.2.7.19 Draft Copy</t>
  </si>
  <si>
    <t>Establish Vehicle Sizing &amp; Analyze Performance</t>
  </si>
  <si>
    <t>ESM9002, ESM9003, ESM9004-1, ESM9004-2</t>
  </si>
  <si>
    <t>• Template "2c_(In-work) Engineering Approved" Applied (scope: Current Diagram) (Chad Lauffer - 12/20/2024)
• Class I change.  On box 6, entitled "Develop Vehicle Performance Status Products", added a new flow line link to the existing output called "Training &amp; Operational Mission Profile Performance Characteristics".  It's now connected to the IAT process. (Chad Lauffer - 12/20/2024)
• Class III change. Added Vehicle Performance and Sizing Vehicle Performance Model (VPM) Manual (ESM9001) and the Vehicle Performance and Sizing Conceptual Aircraft Sizing Manual (ESM9002) to diagram paperclip. (David Magee - 02/05/2025)</t>
  </si>
  <si>
    <t>86C453D786D54CB888DEB7D6C5C330F8</t>
  </si>
  <si>
    <t>1.11.2.7.28.4.2.2.7</t>
  </si>
  <si>
    <t>77A419DBCC914E6EB5D23CAA421B7609</t>
  </si>
  <si>
    <t>1.11.2.7.28.4.2.2.7 Draft Copy</t>
  </si>
  <si>
    <t>Gather Flight Test Data</t>
  </si>
  <si>
    <t>3/3/2021</t>
  </si>
  <si>
    <t>• Template "2c_(In-work) Engineering Approved" Applied (scope: Current Diagram) (David Magee - 06/19/2025)
• Class II change. Added a diagram paperclip and attached ESM8302 to it. (David Magee - 06/19/2025)</t>
  </si>
  <si>
    <t>8E3546B85F9A43B3BE7D0289D2DE7B13</t>
  </si>
  <si>
    <t>1.11.2.7.21.2.3</t>
  </si>
  <si>
    <t>4E91604212FC43C3814B704EDA0DC2D4</t>
  </si>
  <si>
    <t>1.11.2.7.21.2.3 Draft Copy</t>
  </si>
  <si>
    <t>Develop Inlet Design</t>
  </si>
  <si>
    <t>11/29/2018</t>
  </si>
  <si>
    <t>ESM8401</t>
  </si>
  <si>
    <t>• Template "2c_(In-work) Engineering Approved" Applied (scope: Current Diagram) (David Magee - 02/06/2025)
• Class III change. Added Inlet Design_Analysis Process Manual (ESM8401) to diagram paperclip. (David Magee - 02/06/2025)</t>
  </si>
  <si>
    <t>56CD6D4DED98450B86C50255A815E497</t>
  </si>
  <si>
    <t>1.11.2.7.21.4.3</t>
  </si>
  <si>
    <t>E6EFE201EFE241F28E1251C99784D8FD</t>
  </si>
  <si>
    <t>1.11.2.7.21.4.3 Draft Copy</t>
  </si>
  <si>
    <t>Define Engine-Airframe Integration</t>
  </si>
  <si>
    <t>11/15/2021</t>
  </si>
  <si>
    <t>• Template "2c_(In-work) Engineering Approved" Applied (scope: Current Diagram) (David Magee - 02/06/2025)
• Class III change. Added Engine Physical Integration Manual (ESM8402) to diagram paperclip. (David Magee - 02/06/2025)</t>
  </si>
  <si>
    <t>19DEECBD28FC4DDBA39EF6D055CCD000</t>
  </si>
  <si>
    <t>1.11.2.7.21.2.2</t>
  </si>
  <si>
    <t>F1F8C856D8A5465F89475481A9164DBD</t>
  </si>
  <si>
    <t>1.11.2.7.21.2.2 Draft Copy</t>
  </si>
  <si>
    <t>Develop Exhaust Design</t>
  </si>
  <si>
    <t>• Template "1c_(Standard) Engineering Approved" Applied (scope: Diagram Scope List File) (Cathryn Curry - 11/19/2023)
• Template "2c_(In-work) Engineering Approved" Applied (scope: Current Diagram) (David Magee - 02/06/2025)
• Class III change. Added Air-breathing Exhaust Design and Analysis Process Manual (ESM8403) to diagram paperclip. (David Magee - 02/06/2025)</t>
  </si>
  <si>
    <t>D4E55842441C417F87F41F89D871B0A5</t>
  </si>
  <si>
    <t>1.11.2.3.2</t>
  </si>
  <si>
    <t>2C8C47F632804757849589AB0013463B</t>
  </si>
  <si>
    <t>1.11.2.3.2 Draft Copy</t>
  </si>
  <si>
    <t>Implement Standards</t>
  </si>
  <si>
    <t>Romas Jarasunas</t>
  </si>
  <si>
    <t>• Template "2c_(In-work) Engineering Approved" Applied (scope: Current Diagram) (David Magee - 02/24/2025)
• Class III change. Added ETP7604-1, ETP7604-2, ETP7604-3, ETP7604-4, and ETP7604-5 to diagram paperclip. (David Magee - 02/24/2025)</t>
  </si>
  <si>
    <t>D33027D4719045838F1B145E97F6C86C</t>
  </si>
  <si>
    <t>1.3.1.2</t>
  </si>
  <si>
    <t>E23D72E97E2246D48941E3DA22CEED8E</t>
  </si>
  <si>
    <t>1.3.1.2 Draft Copy</t>
  </si>
  <si>
    <t>Develop Mission Point of Departure</t>
  </si>
  <si>
    <t>Christopher Evans</t>
  </si>
  <si>
    <t>E0-7138</t>
  </si>
  <si>
    <t>• Template "1c_(Standard) Engineering Approved" Applied (scope: Diagram Scope List File) (David Magee - 02/23/2024)
• Template "2c_(In-work) Engineering Approved" Applied (scope: Current Diagram) (David Magee - 02/24/2025)
• Class III change. Added ESM7138-3 to diagram paperclip. (David Magee - 02/24/2025)</t>
  </si>
  <si>
    <t>7168AD686EF04D66B48D81328069F01F</t>
  </si>
  <si>
    <t>1.3.2A.1.3.3</t>
  </si>
  <si>
    <t>22F5290186B7455BA366A6B687B26BCA</t>
  </si>
  <si>
    <t>1.3.2A.1.3.3 Draft Copy</t>
  </si>
  <si>
    <t>Conduct Functional Analysis</t>
  </si>
  <si>
    <t>• Template "2c_(In-work) Engineering Approved" Applied (scope: Current Diagram) (David Magee - 02/24/2025)
• Class III change. Added ESM7113-4 to diagram paperclip. (David Magee - 02/24/2025)</t>
  </si>
  <si>
    <t>8D897AB619324F16A5DE916609C56815</t>
  </si>
  <si>
    <t>1.11.2.7.28.9</t>
  </si>
  <si>
    <t>0424658295064A86A716445C3C997ADC</t>
  </si>
  <si>
    <t>1.11.2.7.28.9 Draft Copy</t>
  </si>
  <si>
    <t>Analyze Stores Separation</t>
  </si>
  <si>
    <t>Anne Sullivan</t>
  </si>
  <si>
    <t>8/28/2020</t>
  </si>
  <si>
    <t>• Template "1c_(Standard) Engineering Approved" Applied (scope: Diagram Scope List File) (Cathryn Curry - 11/19/2023)
• Template "2c_(In-work) Engineering Approved" Applied (scope: Current Diagram) (David Magee - 02/06/2025)
• Class III change. Added (ESM8303) to diagram paperclip. (David Magee - 02/06/2025)
• Class I change. On box 1, entitled "Set up 6-DOF Simulation", changed the input text called "Processes Wind Tunnel Test Data" to "Reduced Aerosciences Test Data, Publication-quality Plots". (Chad Lauffer - 03/06/2025)</t>
  </si>
  <si>
    <t>91B2E8492D8049D89BC0AC2712A96B6F</t>
  </si>
  <si>
    <t>1.11.1.7</t>
  </si>
  <si>
    <t>Enterprise MMS CCIs</t>
  </si>
  <si>
    <t>5B84D4584AEA43509E52770FB95D0804</t>
  </si>
  <si>
    <t>1.11.1.7 Draft Copy</t>
  </si>
  <si>
    <t>2d_(In-work) Not to be claimed</t>
  </si>
  <si>
    <t>Promotion Ready - 7/9/2025</t>
  </si>
  <si>
    <t>2/13/2024</t>
  </si>
  <si>
    <t>• Class II change. Added a new activity with drill-down called "Manufacturing Management System (AS6500)." (Chad Lauffer - 05/06/2025)
• Template "2d_(In-work) Not to be claimed" Applied (scope: Current Diagram) (Chad Lauffer - 05/06/2025)</t>
  </si>
  <si>
    <t>1.11.1.7.3</t>
  </si>
  <si>
    <t>02E56648399D4DC886B4CEE528C6A64E</t>
  </si>
  <si>
    <t>1.11.1.7.3 Draft Copy</t>
  </si>
  <si>
    <t>Manufacturing Management Program (AS6500)</t>
  </si>
  <si>
    <t>5/5/2025</t>
  </si>
  <si>
    <t>1.11.1.7.4</t>
  </si>
  <si>
    <t>C3DC1B1375954F839236295B63E9C799</t>
  </si>
  <si>
    <t>1.11.1.7.4 Draft Copy</t>
  </si>
  <si>
    <t>Company Procedure for Manufacturing (CO M100)</t>
  </si>
  <si>
    <t>5/6/2025</t>
  </si>
  <si>
    <t>Corporate EVMS Manual Attachment</t>
  </si>
  <si>
    <t>• Template "2a_(In-work) Unclaimed" Applied (scope: Current Diagram) (Chad Lauffer - 06/23/2025)
• Class II change.  On box 1, entitled "Determine EV Level", added the corporate EVMS manual as an attachment. (Chad Lauffer - 06/23/2025)</t>
  </si>
  <si>
    <t>1.5.2.3.4.2</t>
  </si>
  <si>
    <t>CE6D16C6967549DCB2A420C515D0CF61</t>
  </si>
  <si>
    <t>1.5.2.3.4.2 Draft Copy</t>
  </si>
  <si>
    <t>Develop FRD</t>
  </si>
  <si>
    <t>8/30/2019</t>
  </si>
  <si>
    <t>• Template "2c_(In-work) Engineering Approved" Applied (scope: Current Diagram) (David Magee - 06/24/2025)
• Class III change. Added Facilities Requirements Document Checklist (UCL0301-1) to box 1. (David Magee - 06/24/2025)</t>
  </si>
  <si>
    <t>4CAEEC26A771486DAC1AC5023E666392</t>
  </si>
  <si>
    <t>1.11.3.2.8.4.4</t>
  </si>
  <si>
    <t>D3E8AD3EABCE4F76AF2E7DFC648CCAE5</t>
  </si>
  <si>
    <t>1.11.3.2.8.4.4 Draft Copy</t>
  </si>
  <si>
    <t>Conduct Price/Cost Analysis</t>
  </si>
  <si>
    <t>Promotion Ready - 7/2/2025</t>
  </si>
  <si>
    <t>• Template "2a_(In-work) Unclaimed" Applied (scope: Current Diagram) (David Magee - 06/24/2025)
• Class III change. Added Operations &amp; Support Cost Analysis Guidebook (USM7110) to box 2. (David Magee - 06/24/2025)</t>
  </si>
  <si>
    <t>5C87F7AB1E8544A1B1861C2498AEDAF2</t>
  </si>
  <si>
    <t>1.11.3.1</t>
  </si>
  <si>
    <t>PM - Directed relocation</t>
  </si>
  <si>
    <t>FE639DC355354835B4A2421743C3A8EC</t>
  </si>
  <si>
    <t>1.11.3.1 Draft Copy</t>
  </si>
  <si>
    <t>PM Supporting Processes</t>
  </si>
  <si>
    <t>Promotion Ready - 7/8/2025</t>
  </si>
  <si>
    <t>8/28/2023</t>
  </si>
  <si>
    <t>• Template "1d_(Standard) Not to be claimed" Applied (scope: Diagram Scope List File) (Nicholas Georgeson - 01/27/2024)
• Template "2a_(In-work) Unclaimed" Applied (scope: Current Diagram) (Cathryn Curry - 06/30/2025)
• Class I change. Directed to relocate box 12 from 1.12.  (Cathryn Curry - 06/30/2025)</t>
  </si>
  <si>
    <t>7114E63BEB584C91BEBA8D956955BBFB</t>
  </si>
  <si>
    <t>1.11.3.1.12</t>
  </si>
  <si>
    <t>EBAA3F9CD7EF4ACA9F956651818A2914</t>
  </si>
  <si>
    <t>1.11.3.1.12 Draft Copy</t>
  </si>
  <si>
    <t>• Template "2b_(In-work) Claimed" Applied (scope: Current Diagram) (Cathryn Curry - 06/30/2025)
• Class I change. Directed to relocate. (Cathryn Curry - 06/30/2025)</t>
  </si>
  <si>
    <t>1.11.3.1.12.1</t>
  </si>
  <si>
    <t>3E26FB974F8240368498A93C200F0E55</t>
  </si>
  <si>
    <t>1.11.3.1.12.1 Draft Copy</t>
  </si>
  <si>
    <t>• Template "2a_(In-work) Unclaimed" Applied (scope: Current Diagram) (Cathryn Curry - 06/30/2025)
• Class I change. Directed to relocate. (Cathryn Curry - 06/30/2025)</t>
  </si>
  <si>
    <t>1.11.3.1.12.2</t>
  </si>
  <si>
    <t>82C27849D95F454585B16E6C43A2235F</t>
  </si>
  <si>
    <t>1.11.3.1.12.2 Draft Copy</t>
  </si>
  <si>
    <t>Operationalize Process Model Data</t>
  </si>
  <si>
    <t>• Template "2b_(In-work) Claimed" Applied (scope: Current Diagram and Lower Levels) (Cathryn Curry - 06/30/2025)
• Class I change. Directed to relocate. (Cathryn Curry - 06/30/2025)</t>
  </si>
  <si>
    <t>1.11.3.1.12.2.1</t>
  </si>
  <si>
    <t>1FF65E9DED8049F8B26129ABD1089924</t>
  </si>
  <si>
    <t>1.11.3.1.12.2.1 Draft Copy</t>
  </si>
  <si>
    <t>1.11.3.1.12.5</t>
  </si>
  <si>
    <t>D6609E2B13E74BEE909E3B07EF38951C</t>
  </si>
  <si>
    <t>1.11.3.1.12.5 Draft Copy</t>
  </si>
  <si>
    <t>• Template "2a_(In-work) Unclaimed" Applied (scope: Current Diagram and Lower Levels) (Cathryn Curry - 06/30/2025)
• Class I change. Directed to relocate. (Cathryn Curry - 06/30/2025)</t>
  </si>
  <si>
    <t>1.11.3.1.12.5.2</t>
  </si>
  <si>
    <t>89020813729A4D3B9309B6CA749EBF4A</t>
  </si>
  <si>
    <t>1.11.3.1.12.5.2 Draft Copy</t>
  </si>
  <si>
    <t>1.11.3.1.12.4</t>
  </si>
  <si>
    <t>332EFEA704B745769E816FF52D55A0D2</t>
  </si>
  <si>
    <t>1.11.3.1.12.4 Draft Copy</t>
  </si>
  <si>
    <t>1.11.3.1.12.5.1</t>
  </si>
  <si>
    <t>C2C29311020E4D2083129A4AEDD27155</t>
  </si>
  <si>
    <t>1.11.3.1.12.5.1 Draft Copy</t>
  </si>
  <si>
    <t>• Template "2b_(In-work) Claimed" Applied (scope: Current Diagram) (Chad Lauffer - 07/09/2025)</t>
  </si>
  <si>
    <t>19</t>
  </si>
  <si>
    <t>• Template "2b_(In-work) Claimed" Applied (scope: Current Diagram) (Cathryn Curry - 07/02/2025)
• Class II change. Added action item passback connection from the updated proposal leadership review process.  (Cathryn Curry - 07/02/2025)</t>
  </si>
  <si>
    <t>• Template "2b_(In-work) Claimed" Applied (scope: Current Diagram) (Cathryn Curry - 06/30/2025)
• Class I change. Directed to move "Manage Program-level Processes" to 1.11.3.1. (Cathryn Curry - 06/30/2025)</t>
  </si>
  <si>
    <t>1.2.7.1.11</t>
  </si>
  <si>
    <t>41931D4144BD423D991E24E1DE337226</t>
  </si>
  <si>
    <t>1.2.7.1.11 Draft Copy</t>
  </si>
  <si>
    <t>Develop &amp; Maintain Software Development Plan (SDP)</t>
  </si>
  <si>
    <t>9/22/2020</t>
  </si>
  <si>
    <t>• Template "2c_(In-work) Engineering Approved" Applied (scope: Current Diagram) (David Magee - 06/30/2025)
• Class III change. Added ECL7201 Software Pre-Contract Activities Process Checklist to diagram paperclip. (David Magee - 06/30/2025)</t>
  </si>
  <si>
    <t>EF9514FEF56B412BA781FF7A99D05AF0</t>
  </si>
  <si>
    <t>1.11.2.4</t>
  </si>
  <si>
    <t>C8AECA7D3AD340718F9D37DFDB68A820</t>
  </si>
  <si>
    <t>1.11.2.4 Draft Copy</t>
  </si>
  <si>
    <t>Software (SW) Supporting Processes</t>
  </si>
  <si>
    <t>• Template "1c_(Standard) Engineering Approved" Applied (scope: Diagram Scope List File) (David Magee - 02/23/2024)
• Template "1d_(Standard) Not to be claimed" Applied (scope: Diagram Scope List File) (David Magee - 02/23/2024)
• Deleted data table attachment "Scope" from Image (David Magee - 06/30/2025)
• Deleted data table attachment "Purpose" from Image (David Magee - 06/30/2025)
• Deleted data table attachment "Overview / Introduction" from Image (David Magee - 06/30/2025)
• Template "2a_(In-work) Unclaimed" Applied (scope: Current Diagram) (David Magee - 06/30/2025)
• Class III change. Added a paperclip to the diagram and attached ESM7204 Software Supplier Technical Management to it. (David Magee - 06/30/2025)</t>
  </si>
  <si>
    <t>2F165139526B4E5393A890B0FB3FDABD</t>
  </si>
  <si>
    <t>1.3.3.3.1.1.4</t>
  </si>
  <si>
    <t>A49108EB82E44B8EA8196DC7BE6F77BF</t>
  </si>
  <si>
    <t>1.3.3.3.1.1.4 Draft Copy</t>
  </si>
  <si>
    <t>Develop Software</t>
  </si>
  <si>
    <t>• Template "1c_(Standard) Engineering Approved" Applied (scope: Diagram Scope List File) (David Magee - 02/23/2024)
• Template "1b_(Standard) Claimed" Applied (scope: Diagram Scope List File) (David Magee - 02/23/2024)
• Template "2b_(In-work) Claimed" Applied (scope: Current Diagram) (David Magee - 06/30/2025)
• Class III change. Added ESM7210 Structured Software Design Manual to the diagram paperclip. (David Magee - 06/30/2025)</t>
  </si>
  <si>
    <t>0FBF07767AC7492684340BCD3B335F60</t>
  </si>
  <si>
    <t>1.8.2</t>
  </si>
  <si>
    <t>557D25B979A74F01914B8C4D7F182F63</t>
  </si>
  <si>
    <t>1.8.2 Draft Copy</t>
  </si>
  <si>
    <t>Develop Quality Plans</t>
  </si>
  <si>
    <t>• Template "1c_(Standard) Engineering Approved" Applied (scope: Diagram Scope List File) (David Magee - 02/23/2024)
• Template "1a_(Standard) Unclaimed" Applied (scope: Diagram Scope List File) (David Magee - 02/23/2024)
• Template "2a_(In-work) Unclaimed" Applied (scope: Current Diagram) (David Magee - 06/30/2025)
• Class III change. Added ESM7224 SW Assurance Manual to box 4.
 (David Magee - 06/30/2025)</t>
  </si>
  <si>
    <t>1CFFA777158F4F07845F8FA574AD663D</t>
  </si>
  <si>
    <t>1.7.4.1.1.2.1.1</t>
  </si>
  <si>
    <t>87465353D491462D8541DC21398FC5BF</t>
  </si>
  <si>
    <t>1.7.4.1.1.2.1.1 Draft Copy</t>
  </si>
  <si>
    <t xml:space="preserve">Gather Metrics for Reporting </t>
  </si>
  <si>
    <t>1/0/1</t>
  </si>
  <si>
    <t>12/9/2020</t>
  </si>
  <si>
    <t>• Template "2c_(In-work) Engineering Approved" Applied (scope: Current Diagram) (David Magee - 07/01/2025)
• Class III change. Added ETP7203-4, ETP7203-5, ETP7203-6, and ETP7203-7 to box 5 paperclip. (David Magee - 07/01/2025)</t>
  </si>
  <si>
    <t>A37419EC4AFD405BA78DC22F2856D5B7</t>
  </si>
  <si>
    <t>1.11.3.2.8.3.1.5</t>
  </si>
  <si>
    <t>5140AD2E631F46BAA16B96030773A5EB</t>
  </si>
  <si>
    <t>1.11.3.2.8.3.1.5 Draft Copy</t>
  </si>
  <si>
    <t>Estimate Software Size</t>
  </si>
  <si>
    <t>12/12/2020</t>
  </si>
  <si>
    <t>• Template "2c_(In-work) Engineering Approved" Applied (scope: Current Diagram) (David Magee - 07/01/2025)
• Class III change. Added ETP7215-2 to diagram paperclip. (David Magee - 07/01/2025)</t>
  </si>
  <si>
    <t>6968AA54A4EF4917A37B3AF13D55780B</t>
  </si>
  <si>
    <t>1.3.3.3.1.1.4.2.2.2.1.2</t>
  </si>
  <si>
    <t>6EAD64C4A0394E4E8727EEE2F6DFF568</t>
  </si>
  <si>
    <t>1.3.3.3.1.1.4.2.2.2.1.2 Draft Copy</t>
  </si>
  <si>
    <t>Decompose CSCI</t>
  </si>
  <si>
    <t>8/17/2021</t>
  </si>
  <si>
    <t>• Template "2b_(In-work) Claimed" Applied (scope: Current Diagram) (David Magee - 07/01/2025)
• Class III change. Added ETP7216-1 and ETP7216-2 to box 3.
 (David Magee - 07/01/2025)</t>
  </si>
  <si>
    <t>56C4E37D913A4771A5C4F01ED6EE084E</t>
  </si>
  <si>
    <t>1.3.2A.4.11</t>
  </si>
  <si>
    <t>84A97B32E30140219793F5459DCEDA7E</t>
  </si>
  <si>
    <t>1.3.2A.4.11 Draft Copy</t>
  </si>
  <si>
    <t>Design Vehicle Management System (VMS)</t>
  </si>
  <si>
    <t>Nathaniel Diedrich</t>
  </si>
  <si>
    <t>• Template "1c_(Standard) Engineering Approved" Applied (scope: Diagram Scope List File) (David Magee - 02/23/2024)
• Template "1a_(Standard) Unclaimed" Applied (scope: Diagram Scope List File) (David Magee - 02/23/2024)
• Deleted data table attachment "Pre-approved Tailoring Guidelines" from Image (David Magee - 06/30/2025)
• Template "2a_(In-work) Unclaimed" Applied (scope: Current Diagram) (David Magee - 07/01/2025)
• Class III change. Added ECL7901-01, ECL7901-03, ECL7901-05, ECL7901-07, ECL7901-09, and ECL7901-11 to diagram paperclip.  (David Magee - 07/01/2025)</t>
  </si>
  <si>
    <t>193AD03F616B449BB81E9E6203D942C8</t>
  </si>
  <si>
    <t>1.11.2.7.9</t>
  </si>
  <si>
    <t>0DACAC6E22D24A9E8158B74248740B8E</t>
  </si>
  <si>
    <t>1.11.2.7.9 Draft Copy</t>
  </si>
  <si>
    <t>Develop Guidance, Navigation, &amp; Control System</t>
  </si>
  <si>
    <t>Reid Bronson</t>
  </si>
  <si>
    <t>Khizer Karwa</t>
  </si>
  <si>
    <t>E0-7901</t>
  </si>
  <si>
    <t>• Template "2c_(In-work) Engineering Approved" Applied (scope: Current Diagram) (David Magee - 07/01/2025)
• Class III change. Added ECL7901-02, ECL7901-04, ECL7901-06, ECL7901-08, and ECL7901-10 to diagram paperclip. (David Magee - 07/01/2025)</t>
  </si>
  <si>
    <t>2F88CB861180450D8EFE2B171663C801</t>
  </si>
  <si>
    <t>1.2.7.1.10.1</t>
  </si>
  <si>
    <t>35A193D29A0D4E7F9AF39109F2A57633</t>
  </si>
  <si>
    <t>1.2.7.1.10.1 Draft Copy</t>
  </si>
  <si>
    <t>Tailor Engineering Drawing &amp; Modeling Manual (EDMM)</t>
  </si>
  <si>
    <t>• Template "2a_(In-work) Unclaimed" Applied (scope: Current Diagram) (David Magee - 07/02/2025)
• Class III change. Added EFD7520 to diagram paperclip.
 (David Magee - 07/02/2025)</t>
  </si>
  <si>
    <t>5EA92D72AAA847789A81624B2FDB9E5B</t>
  </si>
  <si>
    <t>• Deleted data table attachment "Scope" from Image (David Magee - 07/01/2025)
• Deleted data table attachment "Purpose" from Image (David Magee - 07/01/2025)
• Deleted data table attachment "Overview / Introduction" from Image (David Magee - 07/01/2025)
• Template "2a_(In-work) Unclaimed" Applied (scope: Current Diagram) (David Magee - 07/01/2025)
• Class III change. Added ESM7806 to diagram paperclip.
 (David Magee - 07/01/2025)</t>
  </si>
  <si>
    <t>1.3.2A.4</t>
  </si>
  <si>
    <t>029CEB2A1D724E708BBCD7E7074EA921</t>
  </si>
  <si>
    <t>1.3.2A.4 Draft Copy</t>
  </si>
  <si>
    <t>Define Subsystems (1 to n)</t>
  </si>
  <si>
    <t>• Template "2a_(In-work) Unclaimed" Applied (scope: Current Diagram) (David Magee - 07/02/2025)
• Class III change. Added ESM7807 to diagram paperclip.
 (David Magee - 07/02/2025)</t>
  </si>
  <si>
    <t>E3C6F55467054F63977440318C796F08</t>
  </si>
  <si>
    <t>1.3.2A.4.14</t>
  </si>
  <si>
    <t>546A0E9CF70B4B1FA076D2480E2E593B</t>
  </si>
  <si>
    <t>1.3.2A.4.14 Draft Copy</t>
  </si>
  <si>
    <t>Design Hydraulic Subsystem</t>
  </si>
  <si>
    <t>• Template "2a_(In-work) Unclaimed" Applied (scope: Current Diagram) (David Magee - 07/02/2025)
• Class III change. Added ESM7808 to diagam paperclip. (David Magee - 07/02/2025)</t>
  </si>
  <si>
    <t>9E9AEC163179434FAE93069CF86FEBB8</t>
  </si>
  <si>
    <t>1.10.4.1</t>
  </si>
  <si>
    <t>1E3800901EB54BF19444DEC64348113E</t>
  </si>
  <si>
    <t>1.10.4.1 Draft Copy</t>
  </si>
  <si>
    <t>Develop Technical Procurement Package (TPP)</t>
  </si>
  <si>
    <t>2/25/2020</t>
  </si>
  <si>
    <t>ESM7314</t>
  </si>
  <si>
    <t>• Template "2c_(In-work) Engineering Approved" Applied (scope: Current Diagram) (David Magee - 07/01/2025)
• Class III change. Added ETP7515-1, ETP7515-2, ETP7515-3, ETP7515-4, ETP7303-1 to box 3. (David Magee - 07/01/2025)</t>
  </si>
  <si>
    <t>775154C66C2543DBACB8AC54EA4F3216</t>
  </si>
  <si>
    <t>1.8.8.7.2.1</t>
  </si>
  <si>
    <t>61342C84EF4442F3AD4D398A820F2A4B</t>
  </si>
  <si>
    <t>1.8.8.7.2.1 Draft Copy</t>
  </si>
  <si>
    <t>Develop Standard Repairs</t>
  </si>
  <si>
    <t>10/17/2021</t>
  </si>
  <si>
    <t>• Template "2c_(In-work) Engineering Approved" Applied (scope: Current Diagram) (David Magee - 07/02/2025)
• Class III change. Added ETP7510-1 to diagram paperclip.
 (David Magee - 07/02/2025)</t>
  </si>
  <si>
    <t>D09F98078D584A31813B50A4891898FD</t>
  </si>
  <si>
    <t>1.11.2.1.2.6</t>
  </si>
  <si>
    <t>8E3F1D805947411BBB0C7D10863B9932</t>
  </si>
  <si>
    <t>1.11.2.1.2.6 Draft Copy</t>
  </si>
  <si>
    <t>Track Airworthiness Non-compliance</t>
  </si>
  <si>
    <t>• Template "2c_(In-work) Engineering Approved" Applied (scope: Current Diagram) (David Magee - 07/02/2025)
• Class III change. Added AW System Safety Risk Assessment Form (AWTP0002) to box 1. (David Magee - 07/02/2025)</t>
  </si>
  <si>
    <t>9BB6CF6E0C5C43D1BAA7EEA29CF60134</t>
  </si>
  <si>
    <t>1.11.2.1.2.2.1</t>
  </si>
  <si>
    <t>6036621CDFC1428D8FC8B5A675C6DFA6</t>
  </si>
  <si>
    <t>1.11.2.1.2.2.1 Draft Copy</t>
  </si>
  <si>
    <t>Manage Means of Evidence / Proof of Compliance</t>
  </si>
  <si>
    <t>5/24/2021</t>
  </si>
  <si>
    <t>• Template "1c_(Standard) Engineering Approved" Applied (scope: Diagram Scope List File) (Cathryn Curry - 11/19/2023)
•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(Cathryn Curry - 11/20/2023)
• Template "1c_(Standard) Engineering Approved" Applied (scope: Diagram Scope List File) (David Magee - 02/23/2024)
• Template "2c_(In-work) Engineering Approved" Applied (scope: Current Diagram) (David Magee - 07/02/2025)
• Class III change. Added Airworthiness Artifact Compliance Matrix to diagram paperclip. (David Magee - 07/02/2025)</t>
  </si>
  <si>
    <t>5ED4E79A5E5A43E8BDDF9EBC576CCB8F</t>
  </si>
  <si>
    <t>1.11.2.1.4</t>
  </si>
  <si>
    <t>4C5D45856DA74CA9803CFC4C2319BC10</t>
  </si>
  <si>
    <t>1.11.2.1.4 Draft Copy</t>
  </si>
  <si>
    <t>Execute Continued Airworthiness</t>
  </si>
  <si>
    <t>9/27/2021</t>
  </si>
  <si>
    <t>• Template "1c_(Standard) Engineering Approved" Applied (scope: Diagram Scope List File) (David Magee - 02/23/2024)
• Deleted data table attachment "Scope" from Image (David Magee - 07/02/2025)
• Deleted data table attachment "Purpose" from Image (David Magee - 07/02/2025)
• Deleted data table attachment "Overview / Introduction" from Image (David Magee - 07/02/2025)
• Template "2c_(In-work) Engineering Approved" Applied (scope: Current Diagram) (David Magee - 07/02/2025)
• Class III change. Added Continued Airworthiness Determination (AWCL0003) to diagram paperclip. (David Magee - 07/02/2025)</t>
  </si>
  <si>
    <t>C31BBFAB07D24DAF968ECCA604D5C378</t>
  </si>
  <si>
    <t>1.11.3.2.10</t>
  </si>
  <si>
    <t>BD1B76F8022F415793F2400B908A3639</t>
  </si>
  <si>
    <t>1.11.3.2.10 Draft Copy</t>
  </si>
  <si>
    <t>Develop NCTA &amp; Capital EACs</t>
  </si>
  <si>
    <t>11/2/2021</t>
  </si>
  <si>
    <t>• Template "2a_(In-work) Unclaimed" Applied (scope: Current Diagram) (David Magee - 07/02/2025)
• Class III change. Added ESM1802 to diagram paperclip. (David Magee - 07/02/2025)</t>
  </si>
  <si>
    <t>FA262BB8610D40309DD29FFCA452B780</t>
  </si>
  <si>
    <t>PM/BM - Proposal Leadership Review Process</t>
  </si>
  <si>
    <t>• Template "2a_(In-work) Unclaimed" Applied (scope: Current Diagram) (Cathryn Curry - 07/02/2025)
• Class II change. Added box 7 drill down to determine the proposal thresholds.  (Cathryn Curry - 07/03/2025)</t>
  </si>
  <si>
    <t>1.1.6.6.7</t>
  </si>
  <si>
    <t>890BC8FEEF0B40F391F0261D2630FD3B</t>
  </si>
  <si>
    <t>1.1.6.6.7 Draft Copy</t>
  </si>
  <si>
    <t>Determine Proposal Review Threshold</t>
  </si>
  <si>
    <t>6/3/2025</t>
  </si>
  <si>
    <t>1.1.6.6.7.4</t>
  </si>
  <si>
    <t>2F4C7D1E656346E7AD313BB9999B7799</t>
  </si>
  <si>
    <t>1.1.6.6.7.4 Draft Copy</t>
  </si>
  <si>
    <t>Initiate NAR/ICE Review(s)</t>
  </si>
  <si>
    <t>6/17/2025</t>
  </si>
  <si>
    <t>1.1.7.8</t>
  </si>
  <si>
    <t>89C3040CF4D341AE965E428C3D4C35F5</t>
  </si>
  <si>
    <t>1.1.7.8 Draft Copy</t>
  </si>
  <si>
    <t>Review Proposal</t>
  </si>
  <si>
    <t>• Template "2a_(In-work) Unclaimed" Applied (scope: Current Diagram) (Cathryn Curry - 07/02/2025)
• Class I change. Complete redesign.  (Cathryn Curry - 07/02/2025)</t>
  </si>
  <si>
    <t>55F41E787A314918917CAC457275E496</t>
  </si>
  <si>
    <t>1.1.7.8.2</t>
  </si>
  <si>
    <t>3199905596ED4C15899746BFCBE0ADBB</t>
  </si>
  <si>
    <t>1.1.7.8.2 Draft Copy</t>
  </si>
  <si>
    <t>Coordinate Functional Estimating Review</t>
  </si>
  <si>
    <t>1.1.7.8.3</t>
  </si>
  <si>
    <t>7225E5549CAD4BB1AF72666F59AA9765</t>
  </si>
  <si>
    <t>1.1.7.8.3 Draft Copy</t>
  </si>
  <si>
    <t>Conduct Program Review</t>
  </si>
  <si>
    <t>1.1.7.8.3.1</t>
  </si>
  <si>
    <t>7437BA934A4B464D81EA3906B78D40DC</t>
  </si>
  <si>
    <t>1.1.7.8.3.1 Draft Copy</t>
  </si>
  <si>
    <t>Develop Program-level Presentation Package</t>
  </si>
  <si>
    <t>10/19/2019</t>
  </si>
  <si>
    <t>1.1.7.8.4</t>
  </si>
  <si>
    <t>FCE023E9361E4F1A8F45BEC7C3E5CC75</t>
  </si>
  <si>
    <t>1.1.7.8.4 Draft Copy</t>
  </si>
  <si>
    <t>Complete Review Checklists</t>
  </si>
  <si>
    <t>6/11/2025</t>
  </si>
  <si>
    <t>1.1.7.8.4.1</t>
  </si>
  <si>
    <t>CB7B578CD5F54D1DB7413C36BBF5CFAE</t>
  </si>
  <si>
    <t>1.1.7.8.4.1 Draft Copy</t>
  </si>
  <si>
    <t>Execute Pricing Checklists</t>
  </si>
  <si>
    <t>• Template "2a_(In-work) Unclaimed" Applied (scope: Current Diagram) (Cathryn Curry - 07/02/2025)
• Class III change. Updated input from change above.  (Cathryn Curry - 07/02/2025)</t>
  </si>
  <si>
    <t>1.1.7.8.5</t>
  </si>
  <si>
    <t>947F07229692486098F9C894ED4D4CC3</t>
  </si>
  <si>
    <t>1.1.7.8.5 Draft Copy</t>
  </si>
  <si>
    <t>Conduct Independent Reviews (NAR/ICE)</t>
  </si>
  <si>
    <t>1.1.7.8.5.1</t>
  </si>
  <si>
    <t>AE5D4EDBB3534DAE86DCF63ED1A1C13E</t>
  </si>
  <si>
    <t>1.1.7.8.5.1 Draft Copy</t>
  </si>
  <si>
    <t xml:space="preserve">Conduct Pre-NAR / ICE Review (if required) </t>
  </si>
  <si>
    <t>• Template "2b_(In-work) Claimed" Applied (scope: Current Diagram) (Cathryn Curry - 07/02/2025)
• Class I change. Relocated diagram.  (Cathryn Curry - 07/02/2025)</t>
  </si>
  <si>
    <t>1.1.7.8.5.2</t>
  </si>
  <si>
    <t>342AE0ED76354C1B9A4372F8AC3B041B</t>
  </si>
  <si>
    <t>1.1.7.8.5.2 Draft Copy</t>
  </si>
  <si>
    <t>• Template "2b_(In-work) Claimed" Applied (scope: Current Diagram and Lower Levels) (Cathryn Curry - 07/02/2025)
• Class I change. Relocated diagram, updated input stack to match changes above and updated FLL connections.  (Cathryn Curry - 07/02/2025)</t>
  </si>
  <si>
    <t>1.1.7.8.5.2.4</t>
  </si>
  <si>
    <t>C24BF84F33034A6AB7840674DC9D2626</t>
  </si>
  <si>
    <t>1.1.7.8.5.2.4 Draft Copy</t>
  </si>
  <si>
    <t>Out-brief Results</t>
  </si>
  <si>
    <t>• Template "2b_(In-work) Claimed" Applied (scope: Current Diagram and Lower Levels) (Cathryn Curry - 07/02/2025)
• Class I change. Relocated diagram.  (Cathryn Curry - 07/02/2025)</t>
  </si>
  <si>
    <t>1.1.7.8.6</t>
  </si>
  <si>
    <t>887FE9F32B1948A6A3C615444986963F</t>
  </si>
  <si>
    <t>1.1.7.8.6 Draft Copy</t>
  </si>
  <si>
    <t>Conduct NGC Leadership Review</t>
  </si>
  <si>
    <t>1.1.7.8.6.1</t>
  </si>
  <si>
    <t>CAE0AB789E8844AF9B327F71F41223BB</t>
  </si>
  <si>
    <t>1.1.7.8.6.1 Draft Copy</t>
  </si>
  <si>
    <t>Prepare Leadership Review Package</t>
  </si>
  <si>
    <t>6/18/2025</t>
  </si>
  <si>
    <t>1.1.7.8.6.3</t>
  </si>
  <si>
    <t>FF949264F1D14E8F87C10273C0DBD782</t>
  </si>
  <si>
    <t>1.1.7.8.6.3 Draft Copy</t>
  </si>
  <si>
    <t>Conduct Additional Leadership Reviews</t>
  </si>
  <si>
    <t>1.1.7.8.6.3.1</t>
  </si>
  <si>
    <t>C0A9609C150F412491FA461C6BC4FC69</t>
  </si>
  <si>
    <t>1.1.7.8.6.3.1 Draft Copy</t>
  </si>
  <si>
    <t>Coordinate Division-level Review</t>
  </si>
  <si>
    <t>1.1.7.8.6.3.2</t>
  </si>
  <si>
    <t>AD5F9327E2414E9090F8FA6DFA36B187</t>
  </si>
  <si>
    <t>1.1.7.8.6.3.2 Draft Copy</t>
  </si>
  <si>
    <t>Coordinate Sector-level Review</t>
  </si>
  <si>
    <t>1.1.7.8.6.3.2.1</t>
  </si>
  <si>
    <t>6FB29309207C4EAB89E883DF7CD356D8</t>
  </si>
  <si>
    <t>1.1.7.8.6.3.2.1 Draft Copy</t>
  </si>
  <si>
    <t>Coordinate Pre-Sector Level Review</t>
  </si>
  <si>
    <t>6/19/2025</t>
  </si>
  <si>
    <t>1.1.7.8.6.3.2.1.1</t>
  </si>
  <si>
    <t>9B5B8E74AE4E478F888121B98D83DDE1</t>
  </si>
  <si>
    <t>1.1.7.8.6.3.2.1.1 Draft Copy</t>
  </si>
  <si>
    <t>Develop Pre-sector-level Presentation Package</t>
  </si>
  <si>
    <t>1.1.7.8.6.3.2.2</t>
  </si>
  <si>
    <t>8D592D51C982425AA6581743241666F3</t>
  </si>
  <si>
    <t>1.1.7.8.6.3.2.2 Draft Copy</t>
  </si>
  <si>
    <t>Develop Sector-level Presentation Package</t>
  </si>
  <si>
    <t>1.1.7.8.6.3.3</t>
  </si>
  <si>
    <t>29FADEF649EE4F9D87845225ACD10702</t>
  </si>
  <si>
    <t>1.1.7.8.6.3.3 Draft Copy</t>
  </si>
  <si>
    <t>Coordinate Corporate-level Review</t>
  </si>
  <si>
    <t>1.1.7.8.6.3.3.1</t>
  </si>
  <si>
    <t>2BA4BA0D5A9948CAAD273583F9B63EC5</t>
  </si>
  <si>
    <t>1.1.7.8.6.3.3.1 Draft Copy</t>
  </si>
  <si>
    <t>Coordinate Pre-Corporate Level Review</t>
  </si>
  <si>
    <t>1.1.7.8.6.3.3.1.1</t>
  </si>
  <si>
    <t>364BDE30F3C344048152E1D83DFDF28F</t>
  </si>
  <si>
    <t>1.1.7.8.6.3.3.1.1 Draft Copy</t>
  </si>
  <si>
    <t>Develop Pre-corporate-level  Presentation Package</t>
  </si>
  <si>
    <t>1.1.7.8.6.3.3.2</t>
  </si>
  <si>
    <t>6572661BBD454A58ABAFB2A908EC12DB</t>
  </si>
  <si>
    <t>1.1.7.8.6.3.3.2 Draft Copy</t>
  </si>
  <si>
    <t>Develop Corporate-level Presentation Package</t>
  </si>
  <si>
    <t>1.1.7.9</t>
  </si>
  <si>
    <t>AD52DDD96B5247EAAE54CEDC9BE5A3C1</t>
  </si>
  <si>
    <t>1.1.7.9 Draft Copy</t>
  </si>
  <si>
    <t>Submit Proposal</t>
  </si>
  <si>
    <t>• Template "2a_(In-work) Unclaimed" Applied (scope: Current Diagram) (Cathryn Curry - 07/02/2025)
• Class III change. Updated input to process, and removed FLL in box 5. (Cathryn Curry - 07/02/2025)</t>
  </si>
  <si>
    <t>B5F12D192F2145C1848E7557C7723E3B</t>
  </si>
  <si>
    <t>1.1.7</t>
  </si>
  <si>
    <t>CF4E6EB609564085911D68D3A08C1D87</t>
  </si>
  <si>
    <t>1.1.7 Draft Copy</t>
  </si>
  <si>
    <t>Develop Proposal (BAP 4)</t>
  </si>
  <si>
    <t>• Template "2a_(In-work) Unclaimed" Applied (scope: Current Diagram) (Cathryn Curry - 07/02/2025)
• Class II change. New connection to NAR / ICE to PSOW FLL. Updated output from review proposal box to match redesign below. (Cathryn Curry - 07/02/2025)</t>
  </si>
  <si>
    <t>9267204180A840C69D4F2EA9BD56B880</t>
  </si>
  <si>
    <t>• Template "2a_(In-work) Unclaimed" Applied (scope: Current Diagram) (Cathryn Curry - 07/02/2025)
• Class II change. Update to FLL on the other side of CWBS to NAR / ICE  and proposal review process updates.  (Cathryn Curry - 07/02/2025)</t>
  </si>
  <si>
    <t>1.11.3.2.6</t>
  </si>
  <si>
    <t>D752357FE8264801997CE3C32F816655</t>
  </si>
  <si>
    <t>1.11.3.2.6 Draft Copy</t>
  </si>
  <si>
    <t>Conduct In-process Review (IPR)</t>
  </si>
  <si>
    <t>• Template "2a_(In-work) Unclaimed" Applied (scope: Current Diagram) (Cathryn Curry - 07/02/2025)
• Class II change. Update to FLL connection on the other side.  (Cathryn Curry - 07/02/2025)</t>
  </si>
  <si>
    <t>D95775D128AA4199918F51471CCA23F7</t>
  </si>
  <si>
    <t>1.1.7.7</t>
  </si>
  <si>
    <t>E829F9DE228542A8B92B526FBCE48C37</t>
  </si>
  <si>
    <t>1.1.7.7 Draft Copy</t>
  </si>
  <si>
    <t>Develop Contract Volume</t>
  </si>
  <si>
    <t>Promotion Ready - 7/10/2025</t>
  </si>
  <si>
    <t>• Template "1a_(Standard) Unclaimed" Applied (scope: Diagram Scope List File) (Chad Lauffer - 09/02/2023)
• Template "2a_(In-work) Unclaimed" Applied (scope: Current Diagram) (Cathryn Curry - 07/02/2025)
• Class II change. Update to FLL connection on the other side. Added box 6 for ISP for FAR acquisitions exceeding SAT.  (Cathryn Curry - 07/02/2025)</t>
  </si>
  <si>
    <t>AD36E577142E4C3885D464F930A4E763</t>
  </si>
  <si>
    <t>1.11.3.1.5</t>
  </si>
  <si>
    <t>7532DDBFF9344EA6A38601322E1829D7</t>
  </si>
  <si>
    <t>1.11.3.1.5 Draft Copy</t>
  </si>
  <si>
    <t>Conduct Delta NAR / ICE</t>
  </si>
  <si>
    <t>A4B9249CD90248B298F7487B0CE4E31F</t>
  </si>
  <si>
    <t>1.2.12.2.1</t>
  </si>
  <si>
    <t>D789CAA4558F4AE8B4AFC8CAF0385AFC</t>
  </si>
  <si>
    <t>1.2.12.2.1 Draft Copy</t>
  </si>
  <si>
    <t>Initiate &amp; Plan Review</t>
  </si>
  <si>
    <t>2/8/2024</t>
  </si>
  <si>
    <t>• Template "2b_(In-work) Claimed" Applied (scope: Current Diagram) (Cathryn Curry - 07/02/2025)
• Class II change. Update to FLL connection on the other side.  (Cathryn Curry - 07/02/2025)</t>
  </si>
  <si>
    <t>D1ACABADAEA545D0AF0E5848882BAB44</t>
  </si>
  <si>
    <t>• Template "1a_(Standard) Unclaimed" Applied (scope: Diagram Scope List File) (Nicholas Georgeson - 05/28/2025)
• Class II change. Update to connection to schedule information FLL from NAR / ICE updates.  (Cathryn Curry - 07/02/2025)</t>
  </si>
  <si>
    <t>• Template "2a_(In-work) Unclaimed" Applied (scope: Current Diagram) (Cathryn Curry - 07/02/2025)
• Class II change. Removed FLL connection to R&amp;O Register in the proposal review section.  (Cathryn Curry - 07/02/2025)</t>
  </si>
  <si>
    <t>• Template "2b_(In-work) Claimed" Applied (scope: Current Diagram) (Cathryn Curry - 06/11/2025)
• Class III change. Removed OBE Risk and Opportunity templates from box 2.   (Cathryn Curry - 06/11/2025)
• Class II change. Added Identified R&amp;O connection from the udpated proposal leadership review process.  (Cathryn Curry - 07/02/2025)</t>
  </si>
  <si>
    <t>• Template "3a_(Disconnected) Unclaimed" Applied (scope: Current Diagram) (Cathryn Curry - 07/02/2025)
• Class II change. Updated location on connecting FLL on the other side.  (Cathryn Curry - 07/02/2025)
• Template "2a_(In-work) Unclaimed" Applied (scope: Current Diagram) (David Magee - 07/08/2025)</t>
  </si>
  <si>
    <t>1.1.7.6</t>
  </si>
  <si>
    <t>487628A245F242838F3F110D8AF46C1D</t>
  </si>
  <si>
    <t>1.1.7.6 Draft Copy</t>
  </si>
  <si>
    <t>Develop Cost Volume</t>
  </si>
  <si>
    <t>• Template "2a_(In-work) Unclaimed" Applied (scope: Current Diagram) (Cathryn Curry - 07/02/2025)
• Class II change. Updated FLL connection on the other side of cost volume.  (Cathryn Curry - 07/02/2025)</t>
  </si>
  <si>
    <t>49068886CFB7491E99F7674C755EC544</t>
  </si>
  <si>
    <t>1.11.3.2.3</t>
  </si>
  <si>
    <t>9352B79C19AA409B923950A2742E99F3</t>
  </si>
  <si>
    <t>1.11.3.2.3 Draft Copy</t>
  </si>
  <si>
    <t>Conduct Schedule Risk Assessment (SRA)</t>
  </si>
  <si>
    <t>• Template "2b_(In-work) Claimed" Applied (scope: Current Diagram) (Cathryn Curry - 07/02/2025)
• Class II change. Updated to NAR ICE connection on the other side of SRA FLL.  (Cathryn Curry - 07/02/2025)</t>
  </si>
  <si>
    <t>EF0D1C7428344D579E868CE16B814395</t>
  </si>
  <si>
    <t>• Template "2b_(In-work) Claimed" Applied (scope: Current Diagram) (Cathryn Curry - 07/02/2025)
• Class II change. Added new connection to supplier proposals to NAR/ICE process. (Cathryn Curry - 07/02/2025)</t>
  </si>
  <si>
    <t>PM - Claiming Diagram</t>
  </si>
  <si>
    <t>PM - Risk &amp; Opp PrOP Revisions</t>
  </si>
  <si>
    <t>• Template "2b_(In-work) Claimed" Applied (scope: Current Diagram) (David Magee - 07/09/2025)
• Class III change. Updated trace step on box 2 and desk instruction.  (Cathryn Curry - 07/09/2025)</t>
  </si>
  <si>
    <t>• Template "2b_(In-work) Claimed" Applied (scope: Current Diagram) (David Magee - 07/09/2025)
• Class III change. Added trace step and updated desk instruction on three.  (Cathryn Curry - 07/09/2025)</t>
  </si>
  <si>
    <t>• Template "2b_(In-work) Claimed" Applied (scope: Current Diagram) (David Magee - 07/09/2025)
• Class III change. Updated trace and desk instructions on boxes 1 and 2.  (Cathryn Curry - 07/09/2025)</t>
  </si>
  <si>
    <t>• Template "2b_(In-work) Claimed" Applied (scope: Current Diagram) (Cathryn Curry - 06/11/2025)
• Class III change.  Updated the word package to record on box 3.  (Cathryn Curry - 06/11/2025)
• Class III change. Added trace step and updated desk instruction on 1 and 2.  (Cathryn Curry - 07/09/2025)</t>
  </si>
  <si>
    <t>• Template "2b_(In-work) Claimed" Applied (scope: Current Diagram) (David Magee - 07/09/2025)
• Class III change. Updated commentary on 1.  (Cathryn Curry - 07/09/2025)</t>
  </si>
  <si>
    <t>• Template "2b_(In-work) Claimed" Applied (scope: Current Diagram) (Cathryn Curry - 06/11/2025)
• Class I change. Updated Scope wording to match PrOP update.  (Cathryn Curry - 06/11/2025)</t>
  </si>
  <si>
    <t>1.11.1.10</t>
  </si>
  <si>
    <t>T&amp;E Training CCI</t>
  </si>
  <si>
    <t>EF7F844559B14A2ABF6E58B9492F5129</t>
  </si>
  <si>
    <t>1.11.1.10 Draft Copy</t>
  </si>
  <si>
    <t>Promotion Ready - 7/11/2025</t>
  </si>
  <si>
    <t>• Class II change.  Added an image for Aerosciences. (Chad Lauffer - 06/19/2025)</t>
  </si>
  <si>
    <t>BCA7D3C550974BB9A53C3E47343B6C1C</t>
  </si>
  <si>
    <t>1.11.1.10.26</t>
  </si>
  <si>
    <t>65D85C53105043FD9D5D1150212616D8</t>
  </si>
  <si>
    <t>1.11.1.10.26 Draft Copy</t>
  </si>
  <si>
    <t>Program Training Hierarchy</t>
  </si>
  <si>
    <t>7/10/2025</t>
  </si>
  <si>
    <t>1.11.1.19</t>
  </si>
  <si>
    <t>Search Options 2 CCI Fix</t>
  </si>
  <si>
    <t>1740555B4DF04F609864931F39D83617</t>
  </si>
  <si>
    <t>1.11.1.19 Draft Copy</t>
  </si>
  <si>
    <t>Search Options 2</t>
  </si>
  <si>
    <t>2/21/2020</t>
  </si>
  <si>
    <t>1F7FB2BA6EBB4150B8739C6470AE4594</t>
  </si>
  <si>
    <t>T&amp;E / ST: ESM7429</t>
  </si>
  <si>
    <t>Aerosciences Test Guidance Manual</t>
  </si>
  <si>
    <t>1.6.1</t>
  </si>
  <si>
    <t>60609F9025144A30B53E4FAD9925438A</t>
  </si>
  <si>
    <t>1.6.1 Draft Copy</t>
  </si>
  <si>
    <t>Manage &amp; Control Schedule</t>
  </si>
  <si>
    <t>Promotion Ready - 7/22/2025</t>
  </si>
  <si>
    <t>• Template "2a_(In-work) Unclaimed" Applied (scope: Current Diagram) (Chad Lauffer - 03/04/2025)
• Class I change.  On box 2, entitled "Generate EV Status", added a new input called "EVMS Status Slide".  This is now connected to the Aerosciences area. (Chad Lauffer - 03/04/2025)</t>
  </si>
  <si>
    <t>0A69885D2ADE4B07993F089C3D9140B7</t>
  </si>
  <si>
    <t>1.10.2.2</t>
  </si>
  <si>
    <t>72E2F45A12C7415FB4F9E3D3A05D87AA</t>
  </si>
  <si>
    <t>1.10.2.2 Draft Copy</t>
  </si>
  <si>
    <t>• Template "2a_(In-work) Unclaimed" Applied (scope: Current Diagram) (Chad Lauffer - 03/04/2025)
• Class I change.  On box 2, entitled "Evaluate Supply &amp; Demand", added a new input called "Aerosciences AMR".  This is connected from the Aerosciences Test Project area. (Chad Lauffer - 03/04/2025)</t>
  </si>
  <si>
    <t>E74EF5559B764BED97EDB593A385C07B</t>
  </si>
  <si>
    <t>1.11.2.6.30.4.4.5.3</t>
  </si>
  <si>
    <t>2D3D4BC811EE47F98C13F76E79BF85FF</t>
  </si>
  <si>
    <t>1.11.2.6.30.4.4.5.3 Draft Copy</t>
  </si>
  <si>
    <t>Develop Aerosciences TRR Presentation</t>
  </si>
  <si>
    <t>Authorization Pending - 7/25/2025</t>
  </si>
  <si>
    <t>Andrew Cawood</t>
  </si>
  <si>
    <t>7/11/2025</t>
  </si>
  <si>
    <t>1.11.2.5.1.7.1.3.3</t>
  </si>
  <si>
    <t>C2696AC7F17744C4BC37E5ACF4636325</t>
  </si>
  <si>
    <t>1.11.2.5.1.7.1.3.3 Draft Copy</t>
  </si>
  <si>
    <t>Manage CUI Environment</t>
  </si>
  <si>
    <t>• Template "2c_(In-work) Engineering Approved" Applied (scope: Current Diagram) (Chad Lauffer - 03/06/2025)
• Class I change.  On box 4, entitled "Analyze CUI", added a dog-legged line so the ISSP could be linked to the "Manage Aerosciences Test Project" process. (Chad Lauffer - 03/06/2025)</t>
  </si>
  <si>
    <t>B33BA40AD0094124B43193C941DC4295</t>
  </si>
  <si>
    <t>1.11.2.5.1.14.2.2.1.1</t>
  </si>
  <si>
    <t>B863D47A83B24BE4948CFC5E9D39C67C</t>
  </si>
  <si>
    <t>1.11.2.5.1.14.2.2.1.1 Draft Copy</t>
  </si>
  <si>
    <t>Conduct Wind Tunnel Testing &amp; Analysis</t>
  </si>
  <si>
    <t>5/28/2022</t>
  </si>
  <si>
    <t>• Template "2c_(In-work) Engineering Approved" Applied (scope: Current Diagram) (Chad Lauffer - 03/06/2025)
• Class I change.  Changed the linear pass-back between here and the "Manage Aerosciences Test Project" process.  The area has been upgraded so the nomenclature of the interfaces have changed. (Chad Lauffer - 03/06/2025)</t>
  </si>
  <si>
    <t>35E7409D7AFD4684837814FD7B4CA28A</t>
  </si>
  <si>
    <t>1.11.2.5.1.14.2.2.1.1.2</t>
  </si>
  <si>
    <t>BFA451C5693C4B5DA946CFECE74AAB60</t>
  </si>
  <si>
    <t>1.11.2.5.1.14.2.2.1.1.2 Draft Copy</t>
  </si>
  <si>
    <t>Develop Wind Tunnel Test Analysis Report</t>
  </si>
  <si>
    <t>2/10/2023</t>
  </si>
  <si>
    <t>• Template "2c_(In-work) Engineering Approved" Applied (scope: Current Diagram) (Chad Lauffer - 03/06/2025)
• Class II change.  The diagram input has been changed from "Post-processes Wind Tunnel Data" to "Reduced Aerosciences Test Data, Publication-quality Plots" to match the level above. (Chad Lauffer - 03/06/2025)</t>
  </si>
  <si>
    <t>ECEED86BA7C143E6A12440C4CFFBBBEB</t>
  </si>
  <si>
    <t>1.11.2.6</t>
  </si>
  <si>
    <t>B71FDA3D4489454B805F4C4B561D9269</t>
  </si>
  <si>
    <t>1.11.2.6 Draft Copy</t>
  </si>
  <si>
    <t>Test &amp; Evaluation (T&amp;E) Supporting Processes</t>
  </si>
  <si>
    <t>• Template "2d_(In-work) Not to be claimed" Applied (scope: Current Diagram) (Chad Lauffer - 02/18/2025)
• Class I change.  Added two new activities with drill-downs called "Manage Aerosciences Test Project" and "Coordinate Aerosciences Facility Usage". (Chad Lauffer - 02/18/2025)</t>
  </si>
  <si>
    <t>9DFB0DB3C8C34470ABAF1A84BDCA5974</t>
  </si>
  <si>
    <t>1.11.2.6.7</t>
  </si>
  <si>
    <t>4C2985E30AF74C7DA0813CC5A6D57539</t>
  </si>
  <si>
    <t>1.11.2.6.7 Draft Copy</t>
  </si>
  <si>
    <t>Control &amp; Calibrate M&amp;TE</t>
  </si>
  <si>
    <t>4/21/2020</t>
  </si>
  <si>
    <t>• Template "2c_(In-work) Engineering Approved" Applied (scope: Current Diagram) (Chad Lauffer - 03/05/2025)
• Class I change.  On box 3, entitled "Calibrate M&amp;TE", added a new dog-legged line with a flow line link called "M&amp;TE Calibration Certificates".  This is now connected with the "Manage Aerosciences Test Project" area. (Chad Lauffer - 03/05/2025)
• Class I change. On box 4, entitled "Ship M&amp;TE from Cal Lab to User Site", added a new flow line link to the existing output called "Calibrated &amp; Delivered M&amp;TE". This is now connected with the "Manage Aerosciences Test" process. (Chad Lauffer - 03/06/2025)</t>
  </si>
  <si>
    <t>867564C2BF054604B692709C75C8A097</t>
  </si>
  <si>
    <t>1.11.2.6.12</t>
  </si>
  <si>
    <t>AACCFE1C699B41BD975E1E37EE2820F5</t>
  </si>
  <si>
    <t>1.11.2.6.12 Draft Copy</t>
  </si>
  <si>
    <t>Provide Lab Support</t>
  </si>
  <si>
    <t>T&amp;E-Lab Ops</t>
  </si>
  <si>
    <t>Salvatore Pluchino</t>
  </si>
  <si>
    <t>2/14/2021</t>
  </si>
  <si>
    <t xml:space="preserve">Establish Flying Test Bed Activity 38, Establish Flying Test Bed Activity 39, </t>
  </si>
  <si>
    <t>• Template "2c_(In-work) Engineering Approved" Applied (scope: Current Diagram) (Chad Lauffer - 03/05/2025)
• Class I change.  On box 4, entitled "Conduct Lab Operations", added two new flow line links to the existing output called "Lab Ready for Use".  This is now connected with the "Manage Aerosciences Test Project" area. (Chad Lauffer - 03/05/2025)</t>
  </si>
  <si>
    <t>AC0C71897D6547EAB90BF44A7B02A942</t>
  </si>
  <si>
    <t>1.11.2.6.30</t>
  </si>
  <si>
    <t>5FD8098E2EC44360B2F7ED2F67F04575</t>
  </si>
  <si>
    <t>1.11.2.6.30 Draft Copy</t>
  </si>
  <si>
    <t>Manage Aerosciences Test Project</t>
  </si>
  <si>
    <t>1.11.2.6.30.1</t>
  </si>
  <si>
    <t>367EF5F5968B4507B58E93BC25074E69</t>
  </si>
  <si>
    <t>1.11.2.6.30.1 Draft Copy</t>
  </si>
  <si>
    <t>Initiate Test Project</t>
  </si>
  <si>
    <t>1.11.2.6.30.2</t>
  </si>
  <si>
    <t>223E2D9ABE714D74B8628D9663B3F364</t>
  </si>
  <si>
    <t>1.11.2.6.30.2 Draft Copy</t>
  </si>
  <si>
    <t>Develop Test Project Proposal</t>
  </si>
  <si>
    <t>1.11.2.6.30.2.1</t>
  </si>
  <si>
    <t>693B634C659D45189E34D0411294B283</t>
  </si>
  <si>
    <t>1.11.2.6.30.2.1 Draft Copy</t>
  </si>
  <si>
    <t>Create Proposal</t>
  </si>
  <si>
    <t>1.11.2.6.30.2.1.1</t>
  </si>
  <si>
    <t>85D575E3649E450E92B861C2700C195D</t>
  </si>
  <si>
    <t>1.11.2.6.30.2.1.1 Draft Copy</t>
  </si>
  <si>
    <t>Setup Project</t>
  </si>
  <si>
    <t>1.11.2.6.30.2.1.2</t>
  </si>
  <si>
    <t>81925FF7CE544C9DB824F194FDD98790</t>
  </si>
  <si>
    <t>1.11.2.6.30.2.1.2 Draft Copy</t>
  </si>
  <si>
    <t>Develop Model Conceptual Design</t>
  </si>
  <si>
    <t>1.11.2.6.30.4</t>
  </si>
  <si>
    <t>7A0034922C78447AB448C317E0A49540</t>
  </si>
  <si>
    <t>1.11.2.6.30.4 Draft Copy</t>
  </si>
  <si>
    <t>Execute Test Project</t>
  </si>
  <si>
    <t>1.11.2.6.30.4.1</t>
  </si>
  <si>
    <t>15935CF05FA74F5592AFB0C7E0B5B4F3</t>
  </si>
  <si>
    <t>1.11.2.6.30.4.1 Draft Copy</t>
  </si>
  <si>
    <t>Plan Test</t>
  </si>
  <si>
    <t>1.11.2.6.30.4.2</t>
  </si>
  <si>
    <t>DD78B8C84D694C699C180885DD97885B</t>
  </si>
  <si>
    <t>1.11.2.6.30.4.2 Draft Copy</t>
  </si>
  <si>
    <t>Produce Physical Model</t>
  </si>
  <si>
    <t>1.11.2.6.30.4.2.1</t>
  </si>
  <si>
    <t>D57049EC709F4779A28A71548009CDBE</t>
  </si>
  <si>
    <t>1.11.2.6.30.4.2.1 Draft Copy</t>
  </si>
  <si>
    <t>Design Physical Model</t>
  </si>
  <si>
    <t>1.11.2.6.30.4.2.1.3</t>
  </si>
  <si>
    <t>9887E282BA4F43A8A603F8039D1AAB23</t>
  </si>
  <si>
    <t>1.11.2.6.30.4.2.1.3 Draft Copy</t>
  </si>
  <si>
    <t>Conduct Preliminary Design Review (PDR)</t>
  </si>
  <si>
    <t>1.11.2.6.30.4.2.1.7</t>
  </si>
  <si>
    <t>8EAA70AC9A4C402DBA92B954812C7D28</t>
  </si>
  <si>
    <t>1.11.2.6.30.4.2.1.7 Draft Copy</t>
  </si>
  <si>
    <t>Conduct Critical Design Review (CDR)</t>
  </si>
  <si>
    <t>1.11.2.6.30.4.2.3</t>
  </si>
  <si>
    <t>2FA002D302A0494B89883865D0D2DDBF</t>
  </si>
  <si>
    <t>1.11.2.6.30.4.2.3 Draft Copy</t>
  </si>
  <si>
    <t>Build Physical Model</t>
  </si>
  <si>
    <t>1.11.2.6.30.4.2.4</t>
  </si>
  <si>
    <t>59E2CA596B864C3791C37746C3EFE1C2</t>
  </si>
  <si>
    <t>1.11.2.6.30.4.2.4 Draft Copy</t>
  </si>
  <si>
    <t>Manage Physical Model Production</t>
  </si>
  <si>
    <t>1.11.2.6.30.4.2.5</t>
  </si>
  <si>
    <t>494192C447ED49209CF2F77E5C0FC830</t>
  </si>
  <si>
    <t>1.11.2.6.30.4.2.5 Draft Copy</t>
  </si>
  <si>
    <t>Inspect Physical Model</t>
  </si>
  <si>
    <t>1.11.2.6.30.4.2.6</t>
  </si>
  <si>
    <t>F59C3BD1DF014A75BB3B284BCA5BE31D</t>
  </si>
  <si>
    <t>1.11.2.6.30.4.2.6 Draft Copy</t>
  </si>
  <si>
    <t>Ship Physical Model</t>
  </si>
  <si>
    <t>1.11.2.6.30.4.3</t>
  </si>
  <si>
    <t>3CD5A7AB526C4F1C9BC96975FB8F0D71</t>
  </si>
  <si>
    <t>1.11.2.6.30.4.3 Draft Copy</t>
  </si>
  <si>
    <t>Develop Data Acquisition System (DAS)</t>
  </si>
  <si>
    <t>1.11.2.6.30.4.3.1</t>
  </si>
  <si>
    <t>9E1B0D74EB2647EE89E28CB54AB21E84</t>
  </si>
  <si>
    <t>1.11.2.6.30.4.3.1 Draft Copy</t>
  </si>
  <si>
    <t>Develop Instrumenta-tion Hardware</t>
  </si>
  <si>
    <t>1.11.2.6.30.4.3.2</t>
  </si>
  <si>
    <t>06BE1FF4317D48C081BB89E5220A9605</t>
  </si>
  <si>
    <t>1.11.2.6.30.4.3.2 Draft Copy</t>
  </si>
  <si>
    <t>Develop Data Acquisition &amp; Processing Software</t>
  </si>
  <si>
    <t>1.11.2.6.30.4.4</t>
  </si>
  <si>
    <t>FFD9A971A8BC4D2F8B1CB453431CD71C</t>
  </si>
  <si>
    <t>1.11.2.6.30.4.4 Draft Copy</t>
  </si>
  <si>
    <t>Prepare for Test</t>
  </si>
  <si>
    <t>1.11.2.6.30.4.4.1</t>
  </si>
  <si>
    <t>5A438A62A6CC45BAB99B43C4DE870E05</t>
  </si>
  <si>
    <t>1.11.2.6.30.4.4.1 Draft Copy</t>
  </si>
  <si>
    <t>Install Physical Model</t>
  </si>
  <si>
    <t>1.11.2.6.30.4.4.5</t>
  </si>
  <si>
    <t>B1838572B9BF49CD9187BACD09F97BD3</t>
  </si>
  <si>
    <t>1.11.2.6.30.4.4.5 Draft Copy</t>
  </si>
  <si>
    <t>Conduct Test Readiness Review (TRR)</t>
  </si>
  <si>
    <t>1.11.2.6.30.4.5</t>
  </si>
  <si>
    <t>83969D46EEDF47078EE040FDD44A4255</t>
  </si>
  <si>
    <t>1.11.2.6.30.4.5 Draft Copy</t>
  </si>
  <si>
    <t>Conduct Test Via Work Shift Lifecycle</t>
  </si>
  <si>
    <t>1.11.2.6.30.4.5.2</t>
  </si>
  <si>
    <t>E3FCF1C071D8413E8C89AFE4326FD9A2</t>
  </si>
  <si>
    <t>1.11.2.6.30.4.5.2 Draft Copy</t>
  </si>
  <si>
    <t>Execute Test Sequence</t>
  </si>
  <si>
    <t>1.11.2.6.30.4.5.2.4</t>
  </si>
  <si>
    <t>752624A30690406A9B6EDE4317F7504D</t>
  </si>
  <si>
    <t>1.11.2.6.30.4.5.2.4 Draft Copy</t>
  </si>
  <si>
    <t>Troubleshoot Test Setup</t>
  </si>
  <si>
    <t>1.11.2.6.30.4.5.2.5</t>
  </si>
  <si>
    <t>FA3BD9C9760B43989E57D7F275351780</t>
  </si>
  <si>
    <t>1.11.2.6.30.4.5.2.5 Draft Copy</t>
  </si>
  <si>
    <t>Execute Test Points</t>
  </si>
  <si>
    <t>1.11.2.6.30.4.6</t>
  </si>
  <si>
    <t>17F0C54FFBE140A086E9904C5ACDC1FF</t>
  </si>
  <si>
    <t>1.11.2.6.30.4.6 Draft Copy</t>
  </si>
  <si>
    <t>Conduct Post-test Teardown &amp; Reporting</t>
  </si>
  <si>
    <t>1.11.2.6.30.4.6.1</t>
  </si>
  <si>
    <t>0F2097138AC14D8A848CCE5022CB1290</t>
  </si>
  <si>
    <t>1.11.2.6.30.4.6.1 Draft Copy</t>
  </si>
  <si>
    <t>Develop Lessons Learned</t>
  </si>
  <si>
    <t>1.11.2.6.30.4.6.3</t>
  </si>
  <si>
    <t>04FBD714FDD64645AD62D2500B7F615D</t>
  </si>
  <si>
    <t>1.11.2.6.30.4.6.3 Draft Copy</t>
  </si>
  <si>
    <t>Report Test Results</t>
  </si>
  <si>
    <t>1.11.2.6.30.4.6.4</t>
  </si>
  <si>
    <t>E3F90C57CB0B4A8D9BB7165D970CABAF</t>
  </si>
  <si>
    <t>1.11.2.6.30.4.6.4 Draft Copy</t>
  </si>
  <si>
    <t>Conduct Teardown</t>
  </si>
  <si>
    <t>1.11.2.6.30.5</t>
  </si>
  <si>
    <t>D2CC633A59AF40C6B74AD5F643FF3EAF</t>
  </si>
  <si>
    <t>1.11.2.6.30.5 Draft Copy</t>
  </si>
  <si>
    <t>Manage Test Project</t>
  </si>
  <si>
    <t>1.11.2.6.30.5.5</t>
  </si>
  <si>
    <t>F606A14140EA45A3A089BC3BF1922EF5</t>
  </si>
  <si>
    <t>1.11.2.6.30.5.5 Draft Copy</t>
  </si>
  <si>
    <t>Manage EVMS Reporting Cycle</t>
  </si>
  <si>
    <t>1.11.2.6.30.5.7</t>
  </si>
  <si>
    <t>B9B51FCAFEC74F6FAD6FC4BFEAEC32AD</t>
  </si>
  <si>
    <t>1.11.2.6.30.5.7 Draft Copy</t>
  </si>
  <si>
    <t>Manage Project Changes</t>
  </si>
  <si>
    <t>1.11.2.6.31</t>
  </si>
  <si>
    <t>2A207DECC253469780D7E268E28AEF31</t>
  </si>
  <si>
    <t>1.11.2.6.31 Draft Copy</t>
  </si>
  <si>
    <t>Coordinate Aerosciences Facility Usage</t>
  </si>
  <si>
    <t>2/6/2025</t>
  </si>
  <si>
    <t>1.11.2.7</t>
  </si>
  <si>
    <t>24BD14D71DFD434B9BB6DC9F34FA8635</t>
  </si>
  <si>
    <t>1.11.2.7 Draft Copy</t>
  </si>
  <si>
    <t>Vehicle Engineering (VE) Supporting Processes</t>
  </si>
  <si>
    <t>Promotion Ready - 7/15/2025</t>
  </si>
  <si>
    <t>• Template "2d_(In-work) Not to be claimed" Applied (scope: Current Diagram) (Chad Lauffer - 03/06/2025)
• Class II change.  Removed the activity with drill-down called "Manage Aerosciences Tests (wind tunnel)".  It has been moved the T&amp;E Supporting Processes area. (Chad Lauffer - 03/06/2025)</t>
  </si>
  <si>
    <t>ACA3F9CF56FF4590BC804B635AA642BD</t>
  </si>
  <si>
    <t>1.11.2.7.20</t>
  </si>
  <si>
    <t>20EFEA0E4C4140139C95039C0745C711</t>
  </si>
  <si>
    <t>1.11.2.7.20 Draft Copy</t>
  </si>
  <si>
    <t>Conduct Force &amp; Moment Accounting (FMA)</t>
  </si>
  <si>
    <t>• Template "2c_(In-work) Engineering Approved" Applied (scope: Current Diagram) (Chad Lauffer - 03/06/2025)
• Class I change.  On box 5, entitled "Provide Wind Tunnel Test Guidance", adjusted the interface with the "Manage Aerosciences Test Project" area.  (Chad Lauffer - 03/06/2025)</t>
  </si>
  <si>
    <t>0DAE65B7BF8940C794797E10B5CE0547</t>
  </si>
  <si>
    <t>1.11.2.7.22.1</t>
  </si>
  <si>
    <t>851B3E1716494CFA91D2F7B88E668061</t>
  </si>
  <si>
    <t>1.11.2.7.22.1 Draft Copy</t>
  </si>
  <si>
    <t>Verify Propulsion System Via Aerosciences Test</t>
  </si>
  <si>
    <t>10/24/2023</t>
  </si>
  <si>
    <t>• Template "1c_(Standard) Engineering Approved" Applied (scope: Diagram Scope List File) (Cathryn Curry - 11/19/2023)
• Template "2c_(In-work) Engineering Approved" Applied (scope: Current Diagram) (Chad Lauffer - 03/04/2025)
• Class I change. Removed box 3 entitled "Identify Personnel to Monitor Real-time Data". (Chad Lauffer - 03/04/2025)
• Class I change.  On box 4, entitled "Validate Data", updated the input text from "Post-processed Wind Tunnel Test Data" to "Reduced Aerosciences Test Data, Publication-quality Plots". (Chad Lauffer - 03/04/2025)
• Class I change.  On box 3, entitled "Validate Data Quality", added an input called "Aerosciences Test Report" and a note in the commentary stating that the input is optional. (Chad Lauffer - 03/04/2025)</t>
  </si>
  <si>
    <t>9E6D9B15C9464845B79D447E33FFBEC1</t>
  </si>
  <si>
    <t>1.11.2.7.25.1.5.2.1</t>
  </si>
  <si>
    <t>0D5C322F8A1442BBB5C987C9FBF92E88</t>
  </si>
  <si>
    <t>1.11.2.7.25.1.5.2.1 Draft Copy</t>
  </si>
  <si>
    <t>Develop Loads CFD Database</t>
  </si>
  <si>
    <t>FS-Aircraft Loads</t>
  </si>
  <si>
    <t>Dana Cruel</t>
  </si>
  <si>
    <t>ESM8202</t>
  </si>
  <si>
    <t>• Template "2c_(In-work) Engineering Approved" Applied (scope: Current Diagram) (Chad Lauffer - 03/06/2025)
• Class I change.  On box 1, entitled "Develop Loads CFD Run Matrix", replaced the output line text of "Need for Wind Tunnel Test,Instrumentation &amp; Test Point Recommendations" with "Test Objectives".
Test Objectives
(for wind tunnel test) (Chad Lauffer - 03/06/2025)</t>
  </si>
  <si>
    <t>982D128D8BAD491AA5271E92FD1E0C40</t>
  </si>
  <si>
    <t>1.11.2.7.28.4.2.2.5</t>
  </si>
  <si>
    <t>DDE363BB74694160940652DAEDB92BCD</t>
  </si>
  <si>
    <t>1.11.2.7.28.4.2.2.5 Draft Copy</t>
  </si>
  <si>
    <t xml:space="preserve">Gather Wind Tunnel Test Data </t>
  </si>
  <si>
    <t>3/10/2021</t>
  </si>
  <si>
    <t>• Template "1c_(Standard) Engineering Approved" Applied (scope: Diagram Scope List File) (David Magee - 02/23/2024)
• Class II change.  On box 1, entitled "Identify Aero Wind Tunnel Engineering Lead", changed the output from "Assigned Wind Tunnel Engineering Lead" to 
"Principal Investigator Assignment Notification".
 (Chad Lauffer - 03/04/2025)
• Class I change.  On box 3, entitled "Conduct Aero Wind Tunnel Data Processing", updated the input text from "Post-processed Wind Tunnel Test Data" to "Reduced Aerosciences Test Data, Publication-quality Plots". (Chad Lauffer - 03/04/2025)
• Template "2c_(In-work) Engineering Approved" Applied (scope: Current Diagram) (Chad Lauffer - 03/04/2025)
• Class I change.  On box 3, entitled "Conduct Aero Wind Tunnel Data Processing" added an input called "Aerociences Test Report" and commentary stating that it's optional. (Chad Lauffer - 03/04/2025)</t>
  </si>
  <si>
    <t>36D45B1F5457470D8A8DF6A3E2623215</t>
  </si>
  <si>
    <t>1.11.2.7.29.4.1</t>
  </si>
  <si>
    <t>92FEFCC33A75489890BBB229E817513A</t>
  </si>
  <si>
    <t>1.11.2.7.29.4.1 Draft Copy</t>
  </si>
  <si>
    <t>Validate Aeroelastic Model Via Wind Tunnel Test</t>
  </si>
  <si>
    <t>FS-Aircraft Dynamics</t>
  </si>
  <si>
    <t>Matthew Scott</t>
  </si>
  <si>
    <t>• Template "2c_(In-work) Engineering Approved" Applied (scope: Current Diagram) (Chad Lauffer - 03/04/2025)
• Class I change.  Added a new activity called "Assign Principal Investigator". (Chad Lauffer - 03/04/2025)
• Class I change.  On box 3, entitled "Conduct Additional Post-processing", updated the input text from "Post-processed Wind Tunnel Test Data" to "Reduced Aerosciences Test Data, Publication-quality Plots". (Chad Lauffer - 03/04/2025)
• Class I change.  On box 2, entitled "Identify Test Requirements" applied the following changes:
- removed the output called "Need for Wind Tunnel Test"
- added the output called "Proposed Test Matrix"
- added the output called "Procedural Requirements"
- added the output called "Instrumentation Requirements" (Chad Lauffer - 03/04/2025)
• Class I change.  On box 3, entitled "Analyze Data", added an input called "Aerosciences Test Report" and a note in the commentary stating that the input is optional. (Chad Lauffer - 03/04/2025)
• Class II change.  Removed the activity called "Conduct Additional Post-processing".  This work is done by the Aerosciences group and is now a formal part of their process. (Chad Lauffer - 03/04/2025)</t>
  </si>
  <si>
    <t>4B27ABEE91104D74909F114B5EC78EA7</t>
  </si>
  <si>
    <t>1.11.3.2.18</t>
  </si>
  <si>
    <t>999DCDC74B8A486F98F92CBF342881EB</t>
  </si>
  <si>
    <t>1.11.3.2.18 Draft Copy</t>
  </si>
  <si>
    <t>Manage Networks</t>
  </si>
  <si>
    <t>10/10/2023</t>
  </si>
  <si>
    <t>• Template "2a_(In-work) Unclaimed" Applied (scope: Current Diagram) (Chad Lauffer - 03/04/2025)
• Class I change.  Added flow line links to the existing flow lines called "Network Request" and "Network Numbers".  They are now connected with the "Manage Aerosciences Test Project" process. (Chad Lauffer - 03/04/2025)</t>
  </si>
  <si>
    <t>11E13B1B927B446796199611A6D5C944</t>
  </si>
  <si>
    <t>1.11.5.5</t>
  </si>
  <si>
    <t>AEBCB231E204414996B858BBD81AA2F8</t>
  </si>
  <si>
    <t>1.11.5.5 Draft Copy</t>
  </si>
  <si>
    <t>Manage RCCA System</t>
  </si>
  <si>
    <t>Anthony Mule</t>
  </si>
  <si>
    <t>8/11/2022</t>
  </si>
  <si>
    <t>• Template "2a_(In-work) Unclaimed" Applied (scope: Current Diagram) (Chad Lauffer - 03/05/2025)
• Class I change.  On box 1, entitled "Confirm Need for Corrective Action", added a new flow line link to the existing input called "Need for Corrective Action". This is now connected with the "Manage Aerosciences Test Project" area. (Chad Lauffer - 03/05/2025)</t>
  </si>
  <si>
    <t>FFF569E1C43942FEB151C7013D6E7705</t>
  </si>
  <si>
    <t>1.11.6.21</t>
  </si>
  <si>
    <t>3FEC1DC6C8B54AFDBB7A3DA5097A3831</t>
  </si>
  <si>
    <t>1.11.6.21 Draft Copy</t>
  </si>
  <si>
    <t>Procure Non-production Material / Services</t>
  </si>
  <si>
    <t>Wendy Murgia</t>
  </si>
  <si>
    <t>•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(David Magee - 02/23/2024)
• Template "2c_(In-work) Engineering Approved" Applied (scope: Current Diagram) (Chad Lauffer - 03/04/2025)
• Class I change.  Added a new flow line link to the existing input called "Need for non-production Material / Services".  This is now connected to the "Manage Aerosciences Test Project" Process. (Chad Lauffer - 03/04/2025)
• Class I change.  On box 1, entitled "Load New Networks", added an input line called "Network Load Request Email w/ TCI Attached".  This is now connected with the "Manage Aerosciences Test Project" area. (Chad Lauffer - 03/05/2025)
• Class I change. On box 4, entitled "Status Goods", added a new flow line link to the existing output called "Invoice Status". This is now connected with the "Manage Aerosciences Test Project" area. (Chad Lauffer - 03/05/2025)</t>
  </si>
  <si>
    <t>E67D7F181A4D49BAAFA2D1CD05EB021B</t>
  </si>
  <si>
    <t>C2A3997020AB4AB39B919D9949391579</t>
  </si>
  <si>
    <t>1.12.7</t>
  </si>
  <si>
    <t>2D537D4283E949B4AE9968D6942D70E3</t>
  </si>
  <si>
    <t>1.12.7 Draft Copy</t>
  </si>
  <si>
    <t>Security Infrastructure Processes</t>
  </si>
  <si>
    <t>• Template "2d_(In-work) Not to be claimed" Applied (scope: Current Diagram) (Chad Lauffer - 03/06/2025)
• Class I change.  Added a new activity with drill-down called "Develop Emergency Action Plans (EAPs). (Chad Lauffer - 03/06/2025)</t>
  </si>
  <si>
    <t>9E8814FE9D5547B0B3DB595C55494B0C</t>
  </si>
  <si>
    <t>1.12.7.1</t>
  </si>
  <si>
    <t>C44F0A70E8D74FF0A012AB1499D23DBA</t>
  </si>
  <si>
    <t>1.12.7.1 Draft Copy</t>
  </si>
  <si>
    <t>Provide Security Services</t>
  </si>
  <si>
    <t>• Template "2a_(In-work) Unclaimed" Applied (scope: Current Diagram) (Chad Lauffer - 03/05/2025)
• Class I change.  On box 1, entitled "Implement Security Requirements", changed the output from "Implemented Security Requirements" to "Site-specific Physical Security Plan" and connected it to the "Manage Aerosciences Test" process. (Chad Lauffer - 03/05/2025)</t>
  </si>
  <si>
    <t>F6D161D240F24EADB70B2A4712F504FD</t>
  </si>
  <si>
    <t>1.12.7.3</t>
  </si>
  <si>
    <t>D05C1A21C5FA4B4DBE164A3D4718B9B0</t>
  </si>
  <si>
    <t>1.12.7.3 Draft Copy</t>
  </si>
  <si>
    <t>Develop Emergency Action Plans (EAPs)</t>
  </si>
  <si>
    <t>2/2/2025</t>
  </si>
  <si>
    <t>1.12.8.2</t>
  </si>
  <si>
    <t>B4AA68E41DCC4D7B8B94B550CC8EB0D6</t>
  </si>
  <si>
    <t>1.12.8.2 Draft Copy</t>
  </si>
  <si>
    <t>Establish Site Security, ESD, &amp; HAZCOM Programs</t>
  </si>
  <si>
    <t>2/21/2021</t>
  </si>
  <si>
    <t>• Template "2a_(In-work) Unclaimed" Applied (scope: Current Diagram) (Chad Lauffer - 03/06/2025)
• Class I change.  On box 4, entitled "Develop Site HAZCOM Program", added a new flow line link to the existing output called "Hazardous Material Control Methods, Hazardous Work Area Requirements". (Chad Lauffer - 03/06/2025)</t>
  </si>
  <si>
    <t>C8FEE75A0B1A45B4BB2C0A39AC842F9E</t>
  </si>
  <si>
    <t>1.11.1.10.25</t>
  </si>
  <si>
    <t>3593CCA1C7864B678589119A89E1AF54</t>
  </si>
  <si>
    <t>1.11.1.10.25 Draft Copy</t>
  </si>
  <si>
    <t>Aerosciences Test Project</t>
  </si>
  <si>
    <t>ESM7429</t>
  </si>
  <si>
    <t>B6EC925221FB4C479738A1FA75B0D989</t>
  </si>
  <si>
    <t>1.11.2.5.1.7.1.3.4.3.1.2</t>
  </si>
  <si>
    <t>CACD63386CD145789F758851E232A451</t>
  </si>
  <si>
    <t>1.11.2.5.1.7.1.3.4.3.1.2 Draft Copy</t>
  </si>
  <si>
    <t>Plan Platform Security Assessment</t>
  </si>
  <si>
    <t>Authorization Pending - 7/24/2025</t>
  </si>
  <si>
    <t>• Template "2c_(In-work) Engineering Approved" Applied (scope: Current Diagram) (David Dickinson - 06/10/2025)
• Deleted data table attachment "Needs Attachment" from Activity: Create Platform SAP (David Dickinson - 06/10/2025)
• Class II change. Over-hauled diagram to move creation of the SAP into box "Develop SAP" and added many flow links for "SOW", "HSCR, Network Diagram, Approved Platform Authorization Boundary Diagram" and added input "Platform SCTM w/ Responses" that also is input into box #5. Finally the name of the diagram was changed from "Develop Platfrom Security Assessment Plan (SAP)" to "Plan Platform Security Assessment". (David Dickinson - 06/11/2025)</t>
  </si>
  <si>
    <t>71E7F67C36414FC8B4B6FA6480DFB34F</t>
  </si>
  <si>
    <t>1.11.2.5.1.7.1.3.4.3.1.2.5</t>
  </si>
  <si>
    <t>640EB8A9753F45A085C5EA10F5584F3B</t>
  </si>
  <si>
    <t>1.11.2.5.1.7.1.3.4.3.1.2.5 Draft Copy</t>
  </si>
  <si>
    <t>Develop Platform SAP</t>
  </si>
  <si>
    <t>6/4/2025</t>
  </si>
  <si>
    <t>• Template "2c_(In-work) Engineering Approved" Applied (scope: Current Diagram) (David Dickinson - 06/10/2025)
• Class II change. Removed input “Initial Platform Threat-based RAR” and “Platform SAP” flow line link input into in box #3 “Assess Security Controls” and diagram was reformatted. Also Added new dog-leg flow line link for Platfrom Mission-based CTT Report and linked to ATO.
 (David Dickinson - 06/11/2025)</t>
  </si>
  <si>
    <t>• Template "2c_(In-work) Engineering Approved" Applied (scope: Current Diagram) (David Dickinson - 06/10/2025)
• Class II change. Changed the “Input Initial Platform Threat-based RAR” and “Platform SSP” into flow line links into the top of box #2 “Develop Assessment Reports” and removed “Platform SSP” as an input into box #1 “Assess Security” (now linked inside of box #1).
 (David Dickinson - 06/11/2025)</t>
  </si>
  <si>
    <t>1.11.2.5.1.7.1.3.4.3.1</t>
  </si>
  <si>
    <t>DD0D9D18602E449794C800CA8F8B0E6D</t>
  </si>
  <si>
    <t>1.11.2.5.1.7.1.3.4.3.1 Draft Copy</t>
  </si>
  <si>
    <t xml:space="preserve">Assess Security </t>
  </si>
  <si>
    <t>• Template "2c_(In-work) Engineering Approved" Applied (scope: Current Diagram) (David Dickinson - 06/10/2025)
• Class II change. Changed the name of box #2 from "Develop Patform Security Assessment Plan (SAP)" to "Plan Platform Security Assessment". Removed input Platform SSP from bottom of the activity box #2 (Now linked inside of "Plan Platfrom Security Assessment" box #2) and changed “Platform SSP input to a flow line link input into box #6 "Perform Platform Security Test".
 (David Dickinson - 06/11/2025)</t>
  </si>
  <si>
    <t>B3D7DC213F9B4E7289D9676344352FD6</t>
  </si>
  <si>
    <t>• Template "2c_(In-work) Engineering Approved" Applied (scope: Current Diagram) (David Dickinson - 06/10/2025)
• Class II change. Added new flow line link connection to "ATO" from RMF diagram for "Platfom Mission-based CTT Report". (David Dickinson - 06/11/2025)</t>
  </si>
  <si>
    <t>• Template "2c_(In-work) Engineering Approved" Applied (scope: Current Diagram) (David Dickinson - 06/10/2025)
• Class II change. Added new flow line link connection to updated SAP diagram. (David Dickinson - 06/11/2025)</t>
  </si>
  <si>
    <t>• Template "2c_(In-work) Engineering Approved" Applied (scope: Current Diagram) (David Dickinson - 06/10/2025)
• Class II change. Added 3  new flow line link connections for Platform SPP to 3 updated cyber diagrams.  (David Dickinson - 06/11/2025)</t>
  </si>
  <si>
    <t>1.11.2.5.8</t>
  </si>
  <si>
    <t>6090F7165DB74ABC9101F50EE7D38D74</t>
  </si>
  <si>
    <t>1.11.2.5.8 Draft Copy</t>
  </si>
  <si>
    <t>Maintain HW/SW Compatibility Documentation</t>
  </si>
  <si>
    <t>• Template "2c_(In-work) Engineering Approved" Applied (scope: Current Diagram) (David Dickinson - 06/10/2025)
• Class I change. Added new flow line link connections from HSCR to updated cyber diagram. (David Dickinson - 06/13/2025)</t>
  </si>
  <si>
    <t>FF323965BFF04C45905AF4CC048EE1E3</t>
  </si>
  <si>
    <t>1.3.3.3.1.5.1.7</t>
  </si>
  <si>
    <t>8F49E2C3685841EC85A63F0B4B102AE8</t>
  </si>
  <si>
    <t>1.3.3.3.1.5.1.7 Draft Copy</t>
  </si>
  <si>
    <t>Create / Update Network Design Documents</t>
  </si>
  <si>
    <t>• Template "1c_(Standard) Engineering Approved" Applied (scope: Diagram Scope List File) (Cathryn Curry - 11/19/2023)
•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(Cathryn Curry - 11/20/2023)
• Template "1c_(Standard) Engineering Approved" Applied (scope: Diagram Scope List File) (David Magee - 02/23/2024)
• Class I change. Added new flow line link connections from Network diagram to updated cyber diagram. (David Dickinson - 06/13/2025)
• Template "2c_(In-work) Engineering Approved" Applied (scope: Current Diagram) (David Dickinson - 07/16/2025)</t>
  </si>
  <si>
    <t>5FD107C1C350447AB6092716D5698B58</t>
  </si>
  <si>
    <t>1.3.3.3.3.1.1</t>
  </si>
  <si>
    <t>SW FTQ Report Link Moved</t>
  </si>
  <si>
    <t>New Flow link moved from child</t>
  </si>
  <si>
    <t>3B9FB92F8D5545D79384CC18D2BB5971</t>
  </si>
  <si>
    <t>1.3.3.3.3.1.1 Draft Copy</t>
  </si>
  <si>
    <t>Qualify Software (SYS II)</t>
  </si>
  <si>
    <t>Promotion Ready - 7/14/2025</t>
  </si>
  <si>
    <t>• Class II change. Added new flow line link "Software FQT Report" to the bottom of the activity box #3 "Test Software". This flow line link was in the drill-down inside this activity. (David Dickinson - 07/09/2025)
• Template "2c_(In-work) Engineering Approved" Applied (scope: Current Diagram) (David Dickinson - 07/09/2025)
• Template "2b_(In-work) Claimed" Applied (scope: Current Diagram) (David Dickinson - 07/14/2025)</t>
  </si>
  <si>
    <t>54BFE3D50A0A4A209A1B376BE8F74B5F</t>
  </si>
  <si>
    <t>New Flow link moved to Parent</t>
  </si>
  <si>
    <t>• Class II change. Removed flow line link "Software FQT Report"that was an output from box #1 "Perform Software Formal Qualitification Testing". This flow line link was added in the parent diagram. (David Dickinson - 07/09/2025)
• Template "2c_(In-work) Engineering Approved" Applied (scope: Current Diagram) (David Dickinson - 07/09/2025)
• Template "2b_(In-work) Claimed" Applied (scope: Current Diagram) (David Dickinson - 07/14/2025)</t>
  </si>
  <si>
    <t>1.3.6.1.1.4.1</t>
  </si>
  <si>
    <t>Re-linked Flow line linked</t>
  </si>
  <si>
    <t>F17213CEDE944BF4B37834517A6E2DA2</t>
  </si>
  <si>
    <t>1.3.6.1.1.4.1 Draft Copy</t>
  </si>
  <si>
    <t>Conduct Flight Readiness Review (FRR)</t>
  </si>
  <si>
    <t>9/5/2017</t>
  </si>
  <si>
    <t>• Template "1c_(Standard) Engineering Approved" Applied (scope: Diagram Scope List File) (Nicholas Georgeson - 01/27/2024)
• Template "6_ADMIN. No change but promo required. Relocation of FLL connection. " Applied (scope: Current Diagram) (David Dickinson - 06/30/2025)
• Template "2c_(In-work) Engineering Approved" Applied (scope: Current Diagram) (David Dickinson - 07/09/2025)
• Class II change. Re-linked flow line link the "Software FQT Report" since source diagram changed. (David Dickinson - 07/09/2025)</t>
  </si>
  <si>
    <t>7B80B8A1F3A24E93B64ABE75ECB97D3E</t>
  </si>
  <si>
    <t>1.11.2.5.1.4.2.4.3.4</t>
  </si>
  <si>
    <t>3C4F95C36DFA40E18F127A76ED69DF3E</t>
  </si>
  <si>
    <t>1.11.2.5.1.4.2.4.3.4 Draft Copy</t>
  </si>
  <si>
    <t>Conduct Software Safety Test Analysis</t>
  </si>
  <si>
    <t>8/1/2024</t>
  </si>
  <si>
    <t>• Class II change. Re-linked flow line link the "Software FQT Report" since source diagram changed. (David Dickinson - 07/09/2025)
• Template "2c_(In-work) Engineering Approved" Applied (scope: Current Diagram) (David Dickinson - 07/09/2025)</t>
  </si>
  <si>
    <t>F60BF183D7D04D80B4F83E2E1939372F</t>
  </si>
  <si>
    <t>61863FDA94FA42F9AB5B8569CE2B3635</t>
  </si>
  <si>
    <t>PM - CCI Broken diagram link correction</t>
  </si>
  <si>
    <t>Broken diagram link from last promotion</t>
  </si>
  <si>
    <t>Promotion Ready - 7/16/2025</t>
  </si>
  <si>
    <t>• Class III change. Fixed broken diagram links from recent promotion.  (Cathryn Curry - 07/16/2025)</t>
  </si>
  <si>
    <t>Fiscal Year Variant</t>
  </si>
  <si>
    <t>Employee Cost Center</t>
  </si>
  <si>
    <t>Sender Cost Center</t>
  </si>
  <si>
    <t>Charge Number</t>
  </si>
  <si>
    <t>Network</t>
  </si>
  <si>
    <t>Order</t>
  </si>
  <si>
    <t>Employee Full Name</t>
  </si>
  <si>
    <t>NG Fiscal Year</t>
  </si>
  <si>
    <t>2025</t>
  </si>
  <si>
    <t>00099992</t>
  </si>
  <si>
    <t>NG01/L1E021AC</t>
  </si>
  <si>
    <t>PTO</t>
  </si>
  <si>
    <t>Paid Time Off</t>
  </si>
  <si>
    <t>L1E021AC</t>
  </si>
  <si>
    <t>9LASVACA</t>
  </si>
  <si>
    <t>Magee, David W</t>
  </si>
  <si>
    <t>00119170</t>
  </si>
  <si>
    <t>HOL</t>
  </si>
  <si>
    <t>Holiday (Union Only)</t>
  </si>
  <si>
    <t>9LASHOLX</t>
  </si>
  <si>
    <t>Lauffer, Chad</t>
  </si>
  <si>
    <t>Regular Time</t>
  </si>
  <si>
    <t>9L99G054</t>
  </si>
  <si>
    <t>00133429</t>
  </si>
  <si>
    <t>Curry, Cathryn L</t>
  </si>
  <si>
    <t>2L14851</t>
  </si>
  <si>
    <t>TRITON</t>
  </si>
  <si>
    <t>NIMBUS</t>
  </si>
  <si>
    <t>L1G05011</t>
  </si>
  <si>
    <t>9L501234</t>
  </si>
  <si>
    <t>PM</t>
  </si>
  <si>
    <t>00163568</t>
  </si>
  <si>
    <t>Holiday Hours Worked</t>
  </si>
  <si>
    <t>Georgeson, Nicholas I</t>
  </si>
  <si>
    <t>00282059</t>
  </si>
  <si>
    <t>Dickinson, David A</t>
  </si>
  <si>
    <t>N00K79IWB169/0030</t>
  </si>
  <si>
    <t>N00K79IWB169</t>
  </si>
  <si>
    <t>EETTRB</t>
  </si>
  <si>
    <t>L1E021AB</t>
  </si>
  <si>
    <t>9L501240</t>
  </si>
  <si>
    <t>N00K8126BH20/0090</t>
  </si>
  <si>
    <t>N00K8126BH20</t>
  </si>
  <si>
    <t>N00K79IWAB36/0030</t>
  </si>
  <si>
    <t>N00K79IWAB36</t>
  </si>
  <si>
    <t>GBSD</t>
  </si>
  <si>
    <t>Extended Work Week</t>
  </si>
  <si>
    <t>L1O02W40</t>
  </si>
  <si>
    <t>9L5L1234</t>
  </si>
  <si>
    <t>CO-M100</t>
  </si>
  <si>
    <t>OPS</t>
  </si>
  <si>
    <t>N1E287100001/0090</t>
  </si>
  <si>
    <t>N1E287100001</t>
  </si>
  <si>
    <t>NS96PM205600/NAMT</t>
  </si>
  <si>
    <t>NS96PM205600</t>
  </si>
  <si>
    <t>9L99G119</t>
  </si>
  <si>
    <t>NIMBUS101</t>
  </si>
  <si>
    <t>ASTAR</t>
  </si>
  <si>
    <t>L1PLWI20</t>
  </si>
  <si>
    <t>9L501203</t>
  </si>
  <si>
    <t>FACILITIES</t>
  </si>
  <si>
    <t>N1JP13708101/0090</t>
  </si>
  <si>
    <t>N1JP13708101</t>
  </si>
  <si>
    <t>Nimbus</t>
  </si>
  <si>
    <t>UNP</t>
  </si>
  <si>
    <t>Unpaid Leave</t>
  </si>
  <si>
    <t>N00K8126B089/0090</t>
  </si>
  <si>
    <t>N00K8126B089</t>
  </si>
  <si>
    <t>N00K8126B201/0090</t>
  </si>
  <si>
    <t>N00K8126B201</t>
  </si>
  <si>
    <t>Triton</t>
  </si>
  <si>
    <t>9L99P337</t>
  </si>
  <si>
    <t>ITISSUES</t>
  </si>
  <si>
    <t>N00K79IWB169/0090</t>
  </si>
  <si>
    <t>L1O0Q39G</t>
  </si>
  <si>
    <t>QA</t>
  </si>
  <si>
    <t>Event Invest</t>
  </si>
  <si>
    <t>NS8126KHI243/0090</t>
  </si>
  <si>
    <t>NS8126KHI243</t>
  </si>
  <si>
    <t>N00KD2CS0930/0090</t>
  </si>
  <si>
    <t>N00KD2CS0930</t>
  </si>
  <si>
    <t>NS79IWB21400/0090</t>
  </si>
  <si>
    <t>NS79IWB21400</t>
  </si>
  <si>
    <t>ENT MMS</t>
  </si>
  <si>
    <t>N00K76PMA049/0030</t>
  </si>
  <si>
    <t>N00K76PMA049</t>
  </si>
  <si>
    <t>NGMS</t>
  </si>
  <si>
    <t>CO M100</t>
  </si>
  <si>
    <t>L1O02F10</t>
  </si>
  <si>
    <t>MRA</t>
  </si>
  <si>
    <t>NSD2FB000201/0090</t>
  </si>
  <si>
    <t>NSD2FB000201</t>
  </si>
  <si>
    <t>L1E0AGEN</t>
  </si>
  <si>
    <t>9L99G127</t>
  </si>
  <si>
    <t>APQC</t>
  </si>
  <si>
    <t>9L99P203</t>
  </si>
  <si>
    <t>PSR</t>
  </si>
  <si>
    <t>AGILE</t>
  </si>
  <si>
    <t>9L99P865</t>
  </si>
  <si>
    <t>N1F573100001/0090</t>
  </si>
  <si>
    <t>N1F573100001</t>
  </si>
  <si>
    <t>N1J549100001/0090</t>
  </si>
  <si>
    <t>N1J549100001</t>
  </si>
  <si>
    <t>L1E04T92</t>
  </si>
  <si>
    <t>9L501201</t>
  </si>
  <si>
    <t>2024</t>
  </si>
  <si>
    <t>MFC</t>
  </si>
  <si>
    <t>MANPOWER CONVERSION FACTOR - 9/80-A  (AS Sector Standard)</t>
  </si>
  <si>
    <t>Start</t>
  </si>
  <si>
    <t>End</t>
  </si>
  <si>
    <t>Total Weeks</t>
  </si>
  <si>
    <t>Weeks</t>
  </si>
  <si>
    <t xml:space="preserve">2025 WORK DAYS, HOLIDAYS, Off Fridays, and Period-end DATES </t>
  </si>
  <si>
    <t>JANUARY</t>
  </si>
  <si>
    <t xml:space="preserve">FEBRUARY </t>
  </si>
  <si>
    <t>MARCH</t>
  </si>
  <si>
    <t>S</t>
  </si>
  <si>
    <t>M</t>
  </si>
  <si>
    <t>T</t>
  </si>
  <si>
    <t>W</t>
  </si>
  <si>
    <t>F</t>
  </si>
  <si>
    <t>MCF</t>
  </si>
  <si>
    <t>Distribution</t>
  </si>
  <si>
    <t>Wks</t>
  </si>
  <si>
    <t>Wk Days</t>
  </si>
  <si>
    <t>Yrl</t>
  </si>
  <si>
    <t>Mo</t>
  </si>
  <si>
    <t xml:space="preserve">APRIL </t>
  </si>
  <si>
    <t>MAY</t>
  </si>
  <si>
    <t>JUNE</t>
  </si>
  <si>
    <t>JULY</t>
  </si>
  <si>
    <t>AUGUST</t>
  </si>
  <si>
    <t>SEPTEMBER</t>
  </si>
  <si>
    <t>OCTOBER</t>
  </si>
  <si>
    <t>NOVEMBER</t>
  </si>
  <si>
    <t>DECEMBER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</si>
</sst>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dd\/yyyy"/>
    <numFmt numFmtId="165" formatCode="#,##0.0\ &quot;H&quot;"/>
    <numFmt numFmtId="166" formatCode="mm/dd/yyyy;@"/>
    <numFmt numFmtId="167" formatCode="[$-409]mmm\-yyyy;@"/>
    <numFmt numFmtId="168" formatCode="0.0"/>
    <numFmt numFmtId="169" formatCode="mm/dd/yy;@"/>
    <numFmt numFmtId="170" formatCode="0.000"/>
  </numFmts>
  <fonts count="17">
    <font>
      <sz val="11"/>
      <color theme="1"/>
      <name val="Aptos Narrow"/>
      <family val="2"/>
      <scheme val="minor"/>
    </font>
    <font>
      <b/>
      <sz val="11"/>
      <color theme="1"/>
      <name val="Aptos Narrow"/>
      <family val="2"/>
      <scheme val="minor"/>
    </font>
    <font>
      <b/>
      <sz val="10"/>
      <color rgb="FF000000"/>
      <name val="Calibri"/>
      <family val="2"/>
    </font>
    <font>
      <sz val="10"/>
      <color rgb="FF000000"/>
      <name val="Calibri"/>
      <family val="2"/>
    </font>
    <font>
      <sz val="10"/>
      <color rgb="FFFFFFFF"/>
      <name val="Calibri"/>
      <family val="2"/>
    </font>
    <font>
      <sz val="11"/>
      <name val="Calibri"/>
      <family val="2"/>
    </font>
    <font>
      <sz val="14"/>
      <name val="Segoe UI"/>
      <family val="2"/>
    </font>
    <font>
      <b/>
      <sz val="12"/>
      <name val="Segoe UI"/>
      <family val="2"/>
    </font>
    <font>
      <sz val="10"/>
      <name val="Segoe UI"/>
      <family val="2"/>
    </font>
    <font>
      <b/>
      <sz val="11"/>
      <color rgb="FFFA7D00"/>
      <name val="72"/>
      <family val="2"/>
    </font>
    <font>
      <b/>
      <sz val="11"/>
      <color rgb="FFFA7D00"/>
      <name val="Segoe UI"/>
      <family val="2"/>
    </font>
    <font>
      <b/>
      <sz val="10"/>
      <name val="Segoe UI"/>
      <family val="2"/>
    </font>
    <font>
      <b/>
      <sz val="10"/>
      <color theme="0"/>
      <name val="Segoe UI"/>
      <family val="2"/>
    </font>
    <font>
      <b/>
      <u/>
      <sz val="14"/>
      <name val="Segoe UI"/>
      <family val="2"/>
    </font>
    <font>
      <sz val="8"/>
      <name val="Segoe UI"/>
      <family val="2"/>
    </font>
    <font>
      <sz val="11"/>
      <name val="Segoe UI"/>
      <family val="2"/>
    </font>
    <font>
      <sz val="14"/>
      <color theme="0"/>
      <name val="Segoe UI"/>
      <family val="2"/>
    </font>
  </fonts>
  <fills count="14">
    <fill>
      <patternFill patternType="none"/>
    </fill>
    <fill>
      <patternFill patternType="gray125"/>
    </fill>
    <fill>
      <patternFill patternType="solid">
        <fgColor rgb="FFE5E5E5"/>
        <bgColor indexed="64"/>
      </patternFill>
    </fill>
    <fill>
      <patternFill patternType="solid">
        <fgColor rgb="FF808080"/>
        <bgColor rgb="FF808080"/>
      </patternFill>
    </fill>
    <fill>
      <patternFill patternType="solid">
        <fgColor rgb="FF70AD47"/>
        <bgColor rgb="FF70AD47"/>
      </patternFill>
    </fill>
    <fill>
      <patternFill patternType="solid">
        <fgColor rgb="FFFF0000"/>
        <bgColor rgb="FFFF0000"/>
      </patternFill>
    </fill>
    <fill>
      <patternFill patternType="solid">
        <fgColor rgb="FFCCE5FF"/>
        <bgColor indexed="64"/>
      </patternFill>
    </fill>
    <fill>
      <patternFill patternType="solid">
        <fgColor rgb="FFF2F5FA"/>
        <bgColor indexed="64"/>
      </patternFill>
    </fill>
    <fill>
      <patternFill patternType="solid">
        <fgColor rgb="FFF2F2F2"/>
      </patternFill>
    </fill>
    <fill>
      <patternFill patternType="solid">
        <fgColor rgb="FF0070C0"/>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0"/>
        <bgColor indexed="64"/>
      </patternFill>
    </fill>
  </fills>
  <borders count="8">
    <border>
      <left/>
      <right/>
      <top/>
      <bottom/>
      <diagonal/>
    </border>
    <border>
      <left style="medium">
        <color rgb="FFCCCCCC"/>
      </left>
      <right style="medium">
        <color rgb="FFCCCCCC"/>
      </right>
      <top style="medium">
        <color rgb="FFCCCCCC"/>
      </top>
      <bottom style="medium">
        <color rgb="FFCCCCCC"/>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5" fillId="0" borderId="0"/>
    <xf numFmtId="0" fontId="9" fillId="8" borderId="3" applyNumberFormat="0" applyAlignment="0" applyProtection="0"/>
    <xf numFmtId="9" fontId="5" fillId="0" borderId="0" applyFont="0" applyFill="0" applyBorder="0" applyAlignment="0" applyProtection="0"/>
  </cellStyleXfs>
  <cellXfs count="61">
    <xf numFmtId="0" fontId="0" fillId="0" borderId="0" xfId="0"/>
    <xf numFmtId="0" fontId="0" fillId="2" borderId="1" xfId="0" applyFill="1" applyBorder="1" applyAlignment="1">
      <alignment horizontal="left" vertical="top"/>
    </xf>
    <xf numFmtId="164" fontId="0" fillId="2" borderId="1" xfId="0" applyNumberFormat="1" applyFill="1" applyBorder="1" applyAlignment="1">
      <alignment horizontal="left" vertical="top"/>
    </xf>
    <xf numFmtId="0" fontId="0" fillId="2" borderId="1" xfId="0" applyFill="1" applyBorder="1" applyAlignment="1">
      <alignment horizontal="left" vertical="top" indent="1"/>
    </xf>
    <xf numFmtId="165" fontId="0" fillId="0" borderId="1" xfId="0" applyNumberFormat="1" applyBorder="1" applyAlignment="1">
      <alignment horizontal="right" vertical="top"/>
    </xf>
    <xf numFmtId="14" fontId="0" fillId="0" borderId="0" xfId="0" applyNumberFormat="1"/>
    <xf numFmtId="166" fontId="0" fillId="0" borderId="0" xfId="0" applyNumberFormat="1"/>
    <xf numFmtId="49" fontId="0" fillId="0" borderId="0" xfId="0" applyNumberFormat="1"/>
    <xf numFmtId="0" fontId="3" fillId="4" borderId="2" xfId="0" applyFont="1" applyFill="1" applyBorder="1"/>
    <xf numFmtId="0" fontId="4" fillId="5" borderId="2" xfId="0" applyFont="1" applyFill="1" applyBorder="1"/>
    <xf numFmtId="0" fontId="0" fillId="0" borderId="0" xfId="0" applyAlignment="1">
      <alignment wrapText="1"/>
    </xf>
    <xf numFmtId="0" fontId="0" fillId="7" borderId="4" xfId="0" applyFill="1" applyBorder="1" applyAlignment="1">
      <alignment vertical="center"/>
    </xf>
    <xf numFmtId="0" fontId="0" fillId="0" borderId="4" xfId="0" applyFill="1" applyBorder="1" applyAlignment="1">
      <alignment vertical="center"/>
    </xf>
    <xf numFmtId="0" fontId="0" fillId="0" borderId="4" xfId="0" applyFill="1" applyBorder="1" applyAlignment="1">
      <alignment horizontal="center" vertical="center"/>
    </xf>
    <xf numFmtId="0" fontId="0" fillId="7" borderId="4" xfId="0" applyFill="1" applyBorder="1" applyAlignment="1">
      <alignment horizontal="center" vertical="center"/>
    </xf>
    <xf numFmtId="0" fontId="1" fillId="6" borderId="4" xfId="0" applyFont="1" applyFill="1" applyBorder="1" applyAlignment="1">
      <alignment horizontal="center" vertical="center" wrapText="1"/>
    </xf>
    <xf numFmtId="0" fontId="1" fillId="6" borderId="4" xfId="0" applyFont="1" applyFill="1" applyBorder="1" applyAlignment="1">
      <alignment vertical="center" wrapText="1"/>
    </xf>
    <xf numFmtId="0" fontId="0" fillId="0" borderId="4" xfId="0" applyFont="1" applyFill="1" applyBorder="1" applyAlignment="1">
      <alignment horizontal="center" vertical="center"/>
    </xf>
    <xf numFmtId="0" fontId="0" fillId="7" borderId="4" xfId="0" applyFont="1" applyFill="1" applyBorder="1" applyAlignment="1">
      <alignment horizontal="center" vertical="center"/>
    </xf>
    <xf numFmtId="167" fontId="6" fillId="0" borderId="0" xfId="1" applyNumberFormat="1" applyFont="1" applyAlignment="1">
      <alignment horizontal="center"/>
    </xf>
    <xf numFmtId="0" fontId="6" fillId="0" borderId="0" xfId="1" applyFont="1" applyAlignment="1">
      <alignment horizontal="center"/>
    </xf>
    <xf numFmtId="0" fontId="6" fillId="0" borderId="0" xfId="1" applyFont="1"/>
    <xf numFmtId="0" fontId="8" fillId="0" borderId="0" xfId="1" applyFont="1" applyAlignment="1">
      <alignment horizontal="center"/>
    </xf>
    <xf numFmtId="0" fontId="10" fillId="8" borderId="3" xfId="2" applyFont="1" applyAlignment="1">
      <alignment horizontal="center" wrapText="1"/>
    </xf>
    <xf numFmtId="168" fontId="6" fillId="0" borderId="0" xfId="1" applyNumberFormat="1" applyFont="1" applyAlignment="1">
      <alignment horizontal="center"/>
    </xf>
    <xf numFmtId="169" fontId="8" fillId="0" borderId="0" xfId="1" applyNumberFormat="1" applyFont="1" applyAlignment="1">
      <alignment horizontal="center"/>
    </xf>
    <xf numFmtId="2" fontId="10" fillId="8" borderId="3" xfId="2" applyNumberFormat="1" applyFont="1" applyAlignment="1">
      <alignment horizontal="center"/>
    </xf>
    <xf numFmtId="9" fontId="8" fillId="0" borderId="0" xfId="1" applyNumberFormat="1" applyFont="1" applyAlignment="1">
      <alignment horizontal="center"/>
    </xf>
    <xf numFmtId="0" fontId="12" fillId="9" borderId="0" xfId="1" applyFont="1" applyFill="1" applyAlignment="1">
      <alignment horizontal="left"/>
    </xf>
    <xf numFmtId="0" fontId="8" fillId="0" borderId="0" xfId="1" applyFont="1" applyAlignment="1">
      <alignment horizontal="left"/>
    </xf>
    <xf numFmtId="16" fontId="8" fillId="0" borderId="0" xfId="1" applyNumberFormat="1" applyFont="1"/>
    <xf numFmtId="0" fontId="8" fillId="0" borderId="0" xfId="1" applyFont="1"/>
    <xf numFmtId="0" fontId="8" fillId="10" borderId="0" xfId="1" applyFont="1" applyFill="1" applyAlignment="1">
      <alignment horizontal="center"/>
    </xf>
    <xf numFmtId="0" fontId="8" fillId="11" borderId="0" xfId="1" applyFont="1" applyFill="1" applyAlignment="1">
      <alignment horizontal="center"/>
    </xf>
    <xf numFmtId="0" fontId="8" fillId="0" borderId="5" xfId="1" applyFont="1" applyBorder="1" applyAlignment="1">
      <alignment horizontal="left"/>
    </xf>
    <xf numFmtId="0" fontId="8" fillId="0" borderId="6" xfId="1" applyFont="1" applyBorder="1" applyAlignment="1">
      <alignment horizontal="left"/>
    </xf>
    <xf numFmtId="0" fontId="8" fillId="0" borderId="7" xfId="1" applyFont="1" applyBorder="1" applyAlignment="1">
      <alignment horizontal="left"/>
    </xf>
    <xf numFmtId="0" fontId="8" fillId="11" borderId="0" xfId="1" applyFont="1" applyFill="1" applyAlignment="1">
      <alignment horizontal="left"/>
    </xf>
    <xf numFmtId="14" fontId="14" fillId="0" borderId="0" xfId="1" applyNumberFormat="1" applyFont="1"/>
    <xf numFmtId="0" fontId="13" fillId="0" borderId="0" xfId="1" applyFont="1" applyAlignment="1">
      <alignment horizontal="center"/>
    </xf>
    <xf numFmtId="0" fontId="8" fillId="12" borderId="0" xfId="1" applyFont="1" applyFill="1" applyAlignment="1">
      <alignment horizontal="center"/>
    </xf>
    <xf numFmtId="0" fontId="8" fillId="13" borderId="0" xfId="1" applyFont="1" applyFill="1" applyAlignment="1">
      <alignment horizontal="center"/>
    </xf>
    <xf numFmtId="2" fontId="8" fillId="0" borderId="0" xfId="3" applyNumberFormat="1" applyFont="1"/>
    <xf numFmtId="0" fontId="15" fillId="0" borderId="0" xfId="1" applyFont="1"/>
    <xf numFmtId="16" fontId="15" fillId="0" borderId="0" xfId="1" applyNumberFormat="1" applyFont="1"/>
    <xf numFmtId="170" fontId="15" fillId="0" borderId="0" xfId="1" applyNumberFormat="1" applyFont="1"/>
    <xf numFmtId="2" fontId="6" fillId="0" borderId="0" xfId="3" applyNumberFormat="1" applyFont="1"/>
    <xf numFmtId="0" fontId="6" fillId="0" borderId="0" xfId="1" applyFont="1" applyAlignment="1">
      <alignment horizontal="left"/>
    </xf>
    <xf numFmtId="168" fontId="14" fillId="0" borderId="0" xfId="1" applyNumberFormat="1" applyFont="1" applyAlignment="1">
      <alignment horizontal="left"/>
    </xf>
    <xf numFmtId="0" fontId="14" fillId="0" borderId="0" xfId="1" applyFont="1" applyAlignment="1">
      <alignment horizontal="left"/>
    </xf>
    <xf numFmtId="167" fontId="16" fillId="0" borderId="0" xfId="1" applyNumberFormat="1" applyFont="1" applyAlignment="1">
      <alignment horizontal="center"/>
    </xf>
    <xf numFmtId="0" fontId="16" fillId="0" borderId="0" xfId="1" applyFont="1" applyAlignment="1">
      <alignment horizontal="center"/>
    </xf>
    <xf numFmtId="17" fontId="0" fillId="0" borderId="0" xfId="0" applyNumberFormat="1"/>
    <xf numFmtId="0" fontId="2" fillId="3" borderId="4" xfId="0" applyFont="1" applyFill="1" applyBorder="1" applyAlignment="1">
      <alignment horizontal="center" vertical="center" wrapText="1"/>
    </xf>
    <xf numFmtId="0" fontId="0" fillId="7" borderId="4" xfId="0" applyFill="1" applyBorder="1" applyAlignment="1">
      <alignment horizontal="center" vertical="center"/>
    </xf>
    <xf numFmtId="0" fontId="0" fillId="0" borderId="4" xfId="0" applyFill="1" applyBorder="1" applyAlignment="1">
      <alignment horizontal="center" vertical="center"/>
    </xf>
    <xf numFmtId="0" fontId="0" fillId="7" borderId="4" xfId="0" applyFont="1" applyFill="1" applyBorder="1" applyAlignment="1">
      <alignment horizontal="center" vertical="center"/>
    </xf>
    <xf numFmtId="0" fontId="0" fillId="0" borderId="4" xfId="0" applyFont="1" applyFill="1" applyBorder="1" applyAlignment="1">
      <alignment horizontal="center" vertical="center"/>
    </xf>
    <xf numFmtId="0" fontId="7" fillId="0" borderId="0" xfId="1" applyFont="1" applyAlignment="1">
      <alignment horizontal="center"/>
    </xf>
    <xf numFmtId="0" fontId="11" fillId="0" borderId="0" xfId="1" applyFont="1" applyAlignment="1">
      <alignment horizontal="center" vertical="center"/>
    </xf>
    <xf numFmtId="0" fontId="13" fillId="0" borderId="0" xfId="1" applyFont="1" applyAlignment="1">
      <alignment horizontal="center"/>
    </xf>
  </cellXfs>
  <cellStyles count="4">
    <cellStyle name="Calculation 2" xfId="2" xr:uid="{5209DD4A-0D4A-4C84-BCB0-408101303413}"/>
    <cellStyle name="Normal" xfId="0" builtinId="0"/>
    <cellStyle name="Normal 2" xfId="1" xr:uid="{508BCC05-BCFF-454E-8EFC-8DE2D80AFAF1}"/>
    <cellStyle name="Percent 2" xfId="3" xr:uid="{0ECF2883-865E-4227-BDCC-30C421340405}"/>
  </cellStyles>
  <dxfs count="4">
    <dxf>
      <font>
        <b val="0"/>
        <i val="0"/>
        <strike val="0"/>
        <condense val="0"/>
        <extend val="0"/>
        <outline val="0"/>
        <shadow val="0"/>
        <u val="none"/>
        <vertAlign val="baseline"/>
        <sz val="14"/>
        <color auto="1"/>
        <name val="Segoe UI"/>
        <family val="2"/>
        <scheme val="none"/>
      </font>
      <numFmt numFmtId="168"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4"/>
        <color auto="1"/>
        <name val="Segoe UI"/>
        <family val="2"/>
        <scheme val="none"/>
      </font>
      <numFmt numFmtId="167" formatCode="[$-409]mmm\-yyyy;@"/>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name val="Segoe U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4"/>
        <color theme="0"/>
        <name val="Segoe UI"/>
        <family val="2"/>
        <scheme val="none"/>
      </font>
      <alignment horizontal="center" vertical="bottom" textRotation="0" wrapText="0"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Equivalent Person (EP) by Function (2025)  |  Total EP: 3.59</a:t>
            </a:r>
          </a:p>
        </c:rich>
      </c:tx>
      <c:overlay val="0"/>
    </c:title>
    <c:autoTitleDeleted val="0"/>
    <c:plotArea>
      <c:layout/>
      <c:barChart>
        <c:barDir val="col"/>
        <c:grouping val="clustered"/>
        <c:varyColors val="0"/>
        <c:ser>
          <c:idx val="0"/>
          <c:order val="0"/>
          <c:tx>
            <c:v>EP</c:v>
          </c:tx>
          <c:spPr>
            <a:gradFill flip="none" rotWithShape="1">
              <a:gsLst>
                <a:gs pos="0">
                  <a:srgbClr val="0044CC"/>
                </a:gs>
                <a:gs pos="100000">
                  <a:srgbClr val="C6E9FF"/>
                </a:gs>
              </a:gsLst>
              <a:lin ang="5400000" scaled="1"/>
              <a:tileRect/>
            </a:gradFill>
            <a:ln>
              <a:noFill/>
            </a:ln>
            <a:effectLst>
              <a:outerShdw blurRad="101600" dist="17961" dir="2699987" rotWithShape="0">
                <a:srgbClr val="787878"/>
              </a:outerShdw>
            </a:effectLst>
            <a:extLst>
              <a:ext uri="{91240B29-F687-4F45-9708-019B960494DF}">
                <a14:hiddenLine xmlns:a14="http://schemas.microsoft.com/office/drawing/2010/main">
                  <a:noFill/>
                </a14:hiddenLine>
              </a:ext>
            </a:extLst>
          </c:spPr>
          <c:invertIfNegative val="0"/>
          <c:dLbls>
            <c:numFmt formatCode="0.000" sourceLinked="0"/>
            <c:spPr>
              <a:noFill/>
              <a:ln>
                <a:noFill/>
              </a:ln>
              <a:effectLst/>
            </c:spPr>
            <c:txPr>
              <a:bodyPr wrap="square" lIns="38100" tIns="19050" rIns="38100" bIns="19050" anchor="ctr">
                <a:spAutoFit/>
              </a:bodyPr>
              <a:lstStyle/>
              <a:p>
                <a:pPr>
                  <a:defRPr sz="11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Lit>
              <c:ptCount val="10"/>
              <c:pt idx="0">
                <c:v>NAT</c:v>
              </c:pt>
              <c:pt idx="1">
                <c:v>SE</c:v>
              </c:pt>
              <c:pt idx="2">
                <c:v>PS</c:v>
              </c:pt>
              <c:pt idx="3">
                <c:v>WSC</c:v>
              </c:pt>
              <c:pt idx="4">
                <c:v>T&amp;E</c:v>
              </c:pt>
              <c:pt idx="5">
                <c:v>SW</c:v>
              </c:pt>
              <c:pt idx="6">
                <c:v>VE</c:v>
              </c:pt>
              <c:pt idx="7">
                <c:v>AvI</c:v>
              </c:pt>
              <c:pt idx="8">
                <c:v>AW</c:v>
              </c:pt>
              <c:pt idx="9">
                <c:v>FS</c:v>
              </c:pt>
            </c:strLit>
          </c:cat>
          <c:val>
            <c:numLit>
              <c:formatCode>General</c:formatCode>
              <c:ptCount val="10"/>
              <c:pt idx="0">
                <c:v>1.497030822886229</c:v>
              </c:pt>
              <c:pt idx="1">
                <c:v>0.85766801772080314</c:v>
              </c:pt>
              <c:pt idx="2">
                <c:v>0.39155434065416167</c:v>
              </c:pt>
              <c:pt idx="3">
                <c:v>0.37025167310773865</c:v>
              </c:pt>
              <c:pt idx="4">
                <c:v>0.29050805919502315</c:v>
              </c:pt>
              <c:pt idx="5">
                <c:v>9.8029974549910429E-2</c:v>
              </c:pt>
              <c:pt idx="6">
                <c:v>6.7866905457630328E-2</c:v>
              </c:pt>
              <c:pt idx="7">
                <c:v>1.6683947591667456E-2</c:v>
              </c:pt>
              <c:pt idx="8">
                <c:v>1.8851918182675089E-3</c:v>
              </c:pt>
              <c:pt idx="9">
                <c:v>1.4138938637006317E-3</c:v>
              </c:pt>
            </c:numLit>
          </c:val>
          <c:extLst>
            <c:ext xmlns:c16="http://schemas.microsoft.com/office/drawing/2014/chart" uri="{C3380CC4-5D6E-409C-BE32-E72D297353CC}">
              <c16:uniqueId val="{00000000-2FF0-4BF4-AF21-7B0E3CB9F93F}"/>
            </c:ext>
          </c:extLst>
        </c:ser>
        <c:dLbls>
          <c:showLegendKey val="0"/>
          <c:showVal val="0"/>
          <c:showCatName val="0"/>
          <c:showSerName val="0"/>
          <c:showPercent val="0"/>
          <c:showBubbleSize val="0"/>
        </c:dLbls>
        <c:gapWidth val="150"/>
        <c:axId val="473306416"/>
        <c:axId val="473290576"/>
      </c:barChart>
      <c:lineChart>
        <c:grouping val="standard"/>
        <c:varyColors val="0"/>
        <c:ser>
          <c:idx val="1"/>
          <c:order val="1"/>
          <c:tx>
            <c:v>Full FTE</c:v>
          </c:tx>
          <c:spPr>
            <a:ln w="25400">
              <a:solidFill>
                <a:srgbClr val="DC1E3C"/>
              </a:solidFill>
              <a:prstDash val="dash"/>
            </a:ln>
          </c:spPr>
          <c:marker>
            <c:symbol val="none"/>
          </c:marker>
          <c:cat>
            <c:strLit>
              <c:ptCount val="10"/>
              <c:pt idx="0">
                <c:v>NAT</c:v>
              </c:pt>
              <c:pt idx="1">
                <c:v>SE</c:v>
              </c:pt>
              <c:pt idx="2">
                <c:v>PS</c:v>
              </c:pt>
              <c:pt idx="3">
                <c:v>WSC</c:v>
              </c:pt>
              <c:pt idx="4">
                <c:v>T&amp;E</c:v>
              </c:pt>
              <c:pt idx="5">
                <c:v>SW</c:v>
              </c:pt>
              <c:pt idx="6">
                <c:v>VE</c:v>
              </c:pt>
              <c:pt idx="7">
                <c:v>AvI</c:v>
              </c:pt>
              <c:pt idx="8">
                <c:v>AW</c:v>
              </c:pt>
              <c:pt idx="9">
                <c:v>FS</c:v>
              </c:pt>
            </c:strLit>
          </c:cat>
          <c:val>
            <c:numLit>
              <c:formatCode>General</c:formatCode>
              <c:ptCount val="10"/>
              <c:pt idx="0">
                <c:v>1</c:v>
              </c:pt>
              <c:pt idx="1">
                <c:v>1</c:v>
              </c:pt>
              <c:pt idx="2">
                <c:v>1</c:v>
              </c:pt>
              <c:pt idx="3">
                <c:v>1</c:v>
              </c:pt>
              <c:pt idx="4">
                <c:v>1</c:v>
              </c:pt>
              <c:pt idx="5">
                <c:v>1</c:v>
              </c:pt>
              <c:pt idx="6">
                <c:v>1</c:v>
              </c:pt>
              <c:pt idx="7">
                <c:v>1</c:v>
              </c:pt>
              <c:pt idx="8">
                <c:v>1</c:v>
              </c:pt>
              <c:pt idx="9">
                <c:v>1</c:v>
              </c:pt>
            </c:numLit>
          </c:val>
          <c:smooth val="0"/>
          <c:extLst>
            <c:ext xmlns:c16="http://schemas.microsoft.com/office/drawing/2014/chart" uri="{C3380CC4-5D6E-409C-BE32-E72D297353CC}">
              <c16:uniqueId val="{00000001-2FF0-4BF4-AF21-7B0E3CB9F93F}"/>
            </c:ext>
          </c:extLst>
        </c:ser>
        <c:dLbls>
          <c:showLegendKey val="0"/>
          <c:showVal val="0"/>
          <c:showCatName val="0"/>
          <c:showSerName val="0"/>
          <c:showPercent val="0"/>
          <c:showBubbleSize val="0"/>
        </c:dLbls>
        <c:marker val="1"/>
        <c:smooth val="0"/>
        <c:axId val="473306416"/>
        <c:axId val="473290576"/>
      </c:lineChart>
      <c:catAx>
        <c:axId val="473306416"/>
        <c:scaling>
          <c:orientation val="minMax"/>
        </c:scaling>
        <c:delete val="0"/>
        <c:axPos val="b"/>
        <c:title>
          <c:tx>
            <c:rich>
              <a:bodyPr/>
              <a:lstStyle/>
              <a:p>
                <a:pPr>
                  <a:defRPr/>
                </a:pPr>
                <a:r>
                  <a:rPr lang="en-US"/>
                  <a:t>Function</a:t>
                </a:r>
              </a:p>
            </c:rich>
          </c:tx>
          <c:overlay val="0"/>
        </c:title>
        <c:numFmt formatCode="General" sourceLinked="1"/>
        <c:majorTickMark val="out"/>
        <c:minorTickMark val="none"/>
        <c:tickLblPos val="nextTo"/>
        <c:txPr>
          <a:bodyPr rot="-2700000" vert="horz"/>
          <a:lstStyle/>
          <a:p>
            <a:pPr>
              <a:defRPr sz="1000"/>
            </a:pPr>
            <a:endParaRPr lang="en-US"/>
          </a:p>
        </c:txPr>
        <c:crossAx val="473290576"/>
        <c:crosses val="autoZero"/>
        <c:auto val="1"/>
        <c:lblAlgn val="ctr"/>
        <c:lblOffset val="100"/>
        <c:noMultiLvlLbl val="0"/>
      </c:catAx>
      <c:valAx>
        <c:axId val="473290576"/>
        <c:scaling>
          <c:orientation val="minMax"/>
          <c:min val="0"/>
        </c:scaling>
        <c:delete val="0"/>
        <c:axPos val="l"/>
        <c:majorGridlines>
          <c:spPr>
            <a:ln>
              <a:solidFill>
                <a:srgbClr val="DCDCDC"/>
              </a:solidFill>
            </a:ln>
          </c:spPr>
        </c:majorGridlines>
        <c:title>
          <c:tx>
            <c:rich>
              <a:bodyPr/>
              <a:lstStyle/>
              <a:p>
                <a:pPr>
                  <a:defRPr/>
                </a:pPr>
                <a:r>
                  <a:rPr lang="en-US"/>
                  <a:t>EP (Equivalent Person)</a:t>
                </a:r>
              </a:p>
            </c:rich>
          </c:tx>
          <c:overlay val="0"/>
        </c:title>
        <c:numFmt formatCode="General" sourceLinked="1"/>
        <c:majorTickMark val="out"/>
        <c:minorTickMark val="none"/>
        <c:tickLblPos val="nextTo"/>
        <c:crossAx val="473306416"/>
        <c:crosses val="autoZero"/>
        <c:crossBetween val="between"/>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Diagram Promotions by Function (2025)</a:t>
            </a:r>
          </a:p>
        </c:rich>
      </c:tx>
      <c:overlay val="0"/>
    </c:title>
    <c:autoTitleDeleted val="0"/>
    <c:plotArea>
      <c:layout/>
      <c:pieChart>
        <c:varyColors val="1"/>
        <c:ser>
          <c:idx val="0"/>
          <c:order val="0"/>
          <c:tx>
            <c:strRef>
              <c:f>PromoTable!$B$1</c:f>
              <c:strCache>
                <c:ptCount val="1"/>
                <c:pt idx="0">
                  <c:v>Diagrams Promoted</c:v>
                </c:pt>
              </c:strCache>
            </c:strRef>
          </c:tx>
          <c:dPt>
            <c:idx val="0"/>
            <c:bubble3D val="0"/>
            <c:spPr>
              <a:solidFill>
                <a:srgbClr val="2166AC"/>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1-D4AA-4AF8-B3D9-3C4F51E64373}"/>
              </c:ext>
            </c:extLst>
          </c:dPt>
          <c:dPt>
            <c:idx val="1"/>
            <c:bubble3D val="0"/>
            <c:explosion val="25"/>
            <c:spPr>
              <a:solidFill>
                <a:srgbClr val="A0A0A0"/>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2-D4AA-4AF8-B3D9-3C4F51E64373}"/>
              </c:ext>
            </c:extLst>
          </c:dPt>
          <c:dLbls>
            <c:dLbl>
              <c:idx val="0"/>
              <c:spPr>
                <a:noFill/>
                <a:ln>
                  <a:noFill/>
                </a:ln>
                <a:effectLst/>
              </c:spPr>
              <c:txPr>
                <a:bodyPr wrap="square" lIns="38100" tIns="19050" rIns="38100" bIns="19050" anchor="ctr">
                  <a:spAutoFit/>
                </a:bodyPr>
                <a:lstStyle/>
                <a:p>
                  <a:pPr>
                    <a:defRPr sz="1200" b="1">
                      <a:solidFill>
                        <a:srgbClr val="212121"/>
                      </a:solidFill>
                      <a:latin typeface="Calibri"/>
                      <a:ea typeface="Calibri"/>
                      <a:cs typeface="Calibri"/>
                    </a:defRPr>
                  </a:pPr>
                  <a:endParaRPr lang="en-US"/>
                </a:p>
              </c:txPr>
              <c:showLegendKey val="0"/>
              <c:showVal val="0"/>
              <c:showCatName val="0"/>
              <c:showSerName val="0"/>
              <c:showPercent val="1"/>
              <c:showBubbleSize val="0"/>
              <c:extLst>
                <c:ext xmlns:c16="http://schemas.microsoft.com/office/drawing/2014/chart" uri="{C3380CC4-5D6E-409C-BE32-E72D297353CC}">
                  <c16:uniqueId val="{00000001-D4AA-4AF8-B3D9-3C4F51E64373}"/>
                </c:ext>
              </c:extLst>
            </c:dLbl>
            <c:dLbl>
              <c:idx val="1"/>
              <c:spPr>
                <a:noFill/>
                <a:ln>
                  <a:noFill/>
                </a:ln>
                <a:effectLst/>
              </c:spPr>
              <c:txPr>
                <a:bodyPr wrap="square" lIns="38100" tIns="19050" rIns="38100" bIns="19050" anchor="ctr">
                  <a:spAutoFit/>
                </a:bodyPr>
                <a:lstStyle/>
                <a:p>
                  <a:pPr>
                    <a:defRPr sz="1200" b="1">
                      <a:solidFill>
                        <a:srgbClr val="212121"/>
                      </a:solidFill>
                      <a:latin typeface="Calibri"/>
                      <a:ea typeface="Calibri"/>
                      <a:cs typeface="Calibri"/>
                    </a:defRPr>
                  </a:pPr>
                  <a:endParaRPr lang="en-US"/>
                </a:p>
              </c:txPr>
              <c:showLegendKey val="0"/>
              <c:showVal val="0"/>
              <c:showCatName val="0"/>
              <c:showSerName val="0"/>
              <c:showPercent val="1"/>
              <c:showBubbleSize val="0"/>
              <c:extLst>
                <c:ext xmlns:c16="http://schemas.microsoft.com/office/drawing/2014/chart" uri="{C3380CC4-5D6E-409C-BE32-E72D297353CC}">
                  <c16:uniqueId val="{00000002-D4AA-4AF8-B3D9-3C4F51E64373}"/>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PromoTable!$A$2:$A$3</c:f>
              <c:strCache>
                <c:ptCount val="2"/>
                <c:pt idx="0">
                  <c:v>Engineering</c:v>
                </c:pt>
                <c:pt idx="1">
                  <c:v>Other</c:v>
                </c:pt>
              </c:strCache>
            </c:strRef>
          </c:cat>
          <c:val>
            <c:numRef>
              <c:f>PromoTable!$B$2:$B$3</c:f>
              <c:numCache>
                <c:formatCode>General</c:formatCode>
                <c:ptCount val="2"/>
                <c:pt idx="0">
                  <c:v>386</c:v>
                </c:pt>
                <c:pt idx="1">
                  <c:v>523</c:v>
                </c:pt>
              </c:numCache>
            </c:numRef>
          </c:val>
          <c:extLst>
            <c:ext xmlns:c16="http://schemas.microsoft.com/office/drawing/2014/chart" uri="{C3380CC4-5D6E-409C-BE32-E72D297353CC}">
              <c16:uniqueId val="{00000000-D4AA-4AF8-B3D9-3C4F51E6437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Other Org Breakdown (2025)</a:t>
            </a:r>
          </a:p>
        </c:rich>
      </c:tx>
      <c:overlay val="0"/>
    </c:title>
    <c:autoTitleDeleted val="0"/>
    <c:plotArea>
      <c:layout/>
      <c:barChart>
        <c:barDir val="bar"/>
        <c:grouping val="clustered"/>
        <c:varyColors val="0"/>
        <c:ser>
          <c:idx val="0"/>
          <c:order val="0"/>
          <c:tx>
            <c:strRef>
              <c:f>PromoTable!$E$1</c:f>
              <c:strCache>
                <c:ptCount val="1"/>
                <c:pt idx="0">
                  <c:v>Diagrams Promoted</c:v>
                </c:pt>
              </c:strCache>
            </c:strRef>
          </c:tx>
          <c:invertIfNegative val="0"/>
          <c:dPt>
            <c:idx val="0"/>
            <c:invertIfNegative val="0"/>
            <c:bubble3D val="0"/>
            <c:spPr>
              <a:solidFill>
                <a:srgbClr val="A0A0A0"/>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1-1422-4CC2-AFE5-434F2F11AEA4}"/>
              </c:ext>
            </c:extLst>
          </c:dPt>
          <c:dPt>
            <c:idx val="1"/>
            <c:invertIfNegative val="0"/>
            <c:bubble3D val="0"/>
            <c:spPr>
              <a:solidFill>
                <a:srgbClr val="A0A0A0"/>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2-1422-4CC2-AFE5-434F2F11AEA4}"/>
              </c:ext>
            </c:extLst>
          </c:dPt>
          <c:dPt>
            <c:idx val="2"/>
            <c:invertIfNegative val="0"/>
            <c:bubble3D val="0"/>
            <c:spPr>
              <a:solidFill>
                <a:srgbClr val="A0A0A0"/>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3-1422-4CC2-AFE5-434F2F11AEA4}"/>
              </c:ext>
            </c:extLst>
          </c:dPt>
          <c:dPt>
            <c:idx val="3"/>
            <c:invertIfNegative val="0"/>
            <c:bubble3D val="0"/>
            <c:spPr>
              <a:solidFill>
                <a:srgbClr val="A0A0A0"/>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4-1422-4CC2-AFE5-434F2F11AEA4}"/>
              </c:ext>
            </c:extLst>
          </c:dPt>
          <c:dPt>
            <c:idx val="4"/>
            <c:invertIfNegative val="0"/>
            <c:bubble3D val="0"/>
            <c:spPr>
              <a:solidFill>
                <a:srgbClr val="A0A0A0"/>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5-1422-4CC2-AFE5-434F2F11AEA4}"/>
              </c:ext>
            </c:extLst>
          </c:dPt>
          <c:dPt>
            <c:idx val="5"/>
            <c:invertIfNegative val="0"/>
            <c:bubble3D val="0"/>
            <c:spPr>
              <a:solidFill>
                <a:srgbClr val="A0A0A0"/>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6-1422-4CC2-AFE5-434F2F11AEA4}"/>
              </c:ext>
            </c:extLst>
          </c:dPt>
          <c:dPt>
            <c:idx val="6"/>
            <c:invertIfNegative val="0"/>
            <c:bubble3D val="0"/>
            <c:spPr>
              <a:solidFill>
                <a:srgbClr val="A0A0A0"/>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7-1422-4CC2-AFE5-434F2F11AEA4}"/>
              </c:ext>
            </c:extLst>
          </c:dPt>
          <c:dPt>
            <c:idx val="7"/>
            <c:invertIfNegative val="0"/>
            <c:bubble3D val="0"/>
            <c:spPr>
              <a:solidFill>
                <a:srgbClr val="A0A0A0"/>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8-1422-4CC2-AFE5-434F2F11AEA4}"/>
              </c:ext>
            </c:extLst>
          </c:dPt>
          <c:dPt>
            <c:idx val="8"/>
            <c:invertIfNegative val="0"/>
            <c:bubble3D val="0"/>
            <c:spPr>
              <a:solidFill>
                <a:srgbClr val="A0A0A0"/>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9-1422-4CC2-AFE5-434F2F11AEA4}"/>
              </c:ext>
            </c:extLst>
          </c:dPt>
          <c:dPt>
            <c:idx val="9"/>
            <c:invertIfNegative val="0"/>
            <c:bubble3D val="0"/>
            <c:spPr>
              <a:solidFill>
                <a:srgbClr val="A0A0A0"/>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A-1422-4CC2-AFE5-434F2F11AEA4}"/>
              </c:ext>
            </c:extLst>
          </c:dPt>
          <c:dLbls>
            <c:dLbl>
              <c:idx val="0"/>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422-4CC2-AFE5-434F2F11AEA4}"/>
                </c:ext>
              </c:extLst>
            </c:dLbl>
            <c:dLbl>
              <c:idx val="1"/>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422-4CC2-AFE5-434F2F11AEA4}"/>
                </c:ext>
              </c:extLst>
            </c:dLbl>
            <c:dLbl>
              <c:idx val="2"/>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422-4CC2-AFE5-434F2F11AEA4}"/>
                </c:ext>
              </c:extLst>
            </c:dLbl>
            <c:dLbl>
              <c:idx val="3"/>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422-4CC2-AFE5-434F2F11AEA4}"/>
                </c:ext>
              </c:extLst>
            </c:dLbl>
            <c:dLbl>
              <c:idx val="4"/>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422-4CC2-AFE5-434F2F11AEA4}"/>
                </c:ext>
              </c:extLst>
            </c:dLbl>
            <c:dLbl>
              <c:idx val="5"/>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422-4CC2-AFE5-434F2F11AEA4}"/>
                </c:ext>
              </c:extLst>
            </c:dLbl>
            <c:dLbl>
              <c:idx val="6"/>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422-4CC2-AFE5-434F2F11AEA4}"/>
                </c:ext>
              </c:extLst>
            </c:dLbl>
            <c:dLbl>
              <c:idx val="7"/>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422-4CC2-AFE5-434F2F11AEA4}"/>
                </c:ext>
              </c:extLst>
            </c:dLbl>
            <c:dLbl>
              <c:idx val="8"/>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422-4CC2-AFE5-434F2F11AEA4}"/>
                </c:ext>
              </c:extLst>
            </c:dLbl>
            <c:dLbl>
              <c:idx val="9"/>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422-4CC2-AFE5-434F2F11AEA4}"/>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PromoTable!$D$2:$D$11</c:f>
              <c:strCache>
                <c:ptCount val="10"/>
                <c:pt idx="0">
                  <c:v>(TBD)</c:v>
                </c:pt>
                <c:pt idx="1">
                  <c:v>Operations</c:v>
                </c:pt>
                <c:pt idx="2">
                  <c:v>Security</c:v>
                </c:pt>
                <c:pt idx="3">
                  <c:v>Production</c:v>
                </c:pt>
                <c:pt idx="4">
                  <c:v>Mission Assurance</c:v>
                </c:pt>
                <c:pt idx="5">
                  <c:v>Supply Chain (GSC)</c:v>
                </c:pt>
                <c:pt idx="6">
                  <c:v>NAT</c:v>
                </c:pt>
                <c:pt idx="7">
                  <c:v>Bus Mgmt (BM)</c:v>
                </c:pt>
                <c:pt idx="8">
                  <c:v>Facilities</c:v>
                </c:pt>
                <c:pt idx="9">
                  <c:v>Prog Mgmt (PM)</c:v>
                </c:pt>
              </c:strCache>
            </c:strRef>
          </c:cat>
          <c:val>
            <c:numRef>
              <c:f>PromoTable!$E$2:$E$11</c:f>
              <c:numCache>
                <c:formatCode>General</c:formatCode>
                <c:ptCount val="10"/>
                <c:pt idx="0">
                  <c:v>1</c:v>
                </c:pt>
                <c:pt idx="1">
                  <c:v>2</c:v>
                </c:pt>
                <c:pt idx="2">
                  <c:v>3</c:v>
                </c:pt>
                <c:pt idx="3">
                  <c:v>6</c:v>
                </c:pt>
                <c:pt idx="4">
                  <c:v>12</c:v>
                </c:pt>
                <c:pt idx="5">
                  <c:v>32</c:v>
                </c:pt>
                <c:pt idx="6">
                  <c:v>47</c:v>
                </c:pt>
                <c:pt idx="7">
                  <c:v>75</c:v>
                </c:pt>
                <c:pt idx="8">
                  <c:v>96</c:v>
                </c:pt>
                <c:pt idx="9">
                  <c:v>249</c:v>
                </c:pt>
              </c:numCache>
            </c:numRef>
          </c:val>
          <c:extLst>
            <c:ext xmlns:c16="http://schemas.microsoft.com/office/drawing/2014/chart" uri="{C3380CC4-5D6E-409C-BE32-E72D297353CC}">
              <c16:uniqueId val="{00000000-1422-4CC2-AFE5-434F2F11AEA4}"/>
            </c:ext>
          </c:extLst>
        </c:ser>
        <c:dLbls>
          <c:showLegendKey val="0"/>
          <c:showVal val="0"/>
          <c:showCatName val="0"/>
          <c:showSerName val="0"/>
          <c:showPercent val="0"/>
          <c:showBubbleSize val="0"/>
        </c:dLbls>
        <c:gapWidth val="150"/>
        <c:axId val="515226352"/>
        <c:axId val="515210032"/>
      </c:barChart>
      <c:catAx>
        <c:axId val="515226352"/>
        <c:scaling>
          <c:orientation val="minMax"/>
        </c:scaling>
        <c:delete val="0"/>
        <c:axPos val="l"/>
        <c:numFmt formatCode="General" sourceLinked="1"/>
        <c:majorTickMark val="out"/>
        <c:minorTickMark val="none"/>
        <c:tickLblPos val="nextTo"/>
        <c:txPr>
          <a:bodyPr/>
          <a:lstStyle/>
          <a:p>
            <a:pPr>
              <a:defRPr sz="1100">
                <a:latin typeface="Calibri"/>
                <a:ea typeface="Calibri"/>
                <a:cs typeface="Calibri"/>
              </a:defRPr>
            </a:pPr>
            <a:endParaRPr lang="en-US"/>
          </a:p>
        </c:txPr>
        <c:crossAx val="515210032"/>
        <c:crosses val="autoZero"/>
        <c:auto val="1"/>
        <c:lblAlgn val="ctr"/>
        <c:lblOffset val="100"/>
        <c:noMultiLvlLbl val="0"/>
      </c:catAx>
      <c:valAx>
        <c:axId val="515210032"/>
        <c:scaling>
          <c:orientation val="minMax"/>
        </c:scaling>
        <c:delete val="0"/>
        <c:axPos val="b"/>
        <c:majorGridlines/>
        <c:title>
          <c:tx>
            <c:rich>
              <a:bodyPr/>
              <a:lstStyle/>
              <a:p>
                <a:pPr>
                  <a:defRPr/>
                </a:pPr>
                <a:r>
                  <a:rPr lang="en-US"/>
                  <a:t>Diagrams Promoted</a:t>
                </a:r>
              </a:p>
            </c:rich>
          </c:tx>
          <c:overlay val="0"/>
        </c:title>
        <c:numFmt formatCode="General" sourceLinked="1"/>
        <c:majorTickMark val="out"/>
        <c:minorTickMark val="none"/>
        <c:tickLblPos val="nextTo"/>
        <c:crossAx val="515226352"/>
        <c:crosses val="autoZero"/>
        <c:crossBetween val="between"/>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Engineering Org Breakdown (2025)</a:t>
            </a:r>
          </a:p>
        </c:rich>
      </c:tx>
      <c:overlay val="0"/>
    </c:title>
    <c:autoTitleDeleted val="0"/>
    <c:plotArea>
      <c:layout/>
      <c:barChart>
        <c:barDir val="bar"/>
        <c:grouping val="clustered"/>
        <c:varyColors val="0"/>
        <c:ser>
          <c:idx val="0"/>
          <c:order val="0"/>
          <c:tx>
            <c:strRef>
              <c:f>PromoTable!$H$1</c:f>
              <c:strCache>
                <c:ptCount val="1"/>
                <c:pt idx="0">
                  <c:v>Diagrams Promoted</c:v>
                </c:pt>
              </c:strCache>
            </c:strRef>
          </c:tx>
          <c:invertIfNegative val="0"/>
          <c:dPt>
            <c:idx val="0"/>
            <c:invertIfNegative val="0"/>
            <c:bubble3D val="0"/>
            <c:spPr>
              <a:solidFill>
                <a:srgbClr val="2166AC"/>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1-9AC0-47B3-967A-42ABA5515EAC}"/>
              </c:ext>
            </c:extLst>
          </c:dPt>
          <c:dPt>
            <c:idx val="1"/>
            <c:invertIfNegative val="0"/>
            <c:bubble3D val="0"/>
            <c:spPr>
              <a:solidFill>
                <a:srgbClr val="2166AC"/>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2-9AC0-47B3-967A-42ABA5515EAC}"/>
              </c:ext>
            </c:extLst>
          </c:dPt>
          <c:dPt>
            <c:idx val="2"/>
            <c:invertIfNegative val="0"/>
            <c:bubble3D val="0"/>
            <c:spPr>
              <a:solidFill>
                <a:srgbClr val="2166AC"/>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3-9AC0-47B3-967A-42ABA5515EAC}"/>
              </c:ext>
            </c:extLst>
          </c:dPt>
          <c:dPt>
            <c:idx val="3"/>
            <c:invertIfNegative val="0"/>
            <c:bubble3D val="0"/>
            <c:spPr>
              <a:solidFill>
                <a:srgbClr val="2166AC"/>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4-9AC0-47B3-967A-42ABA5515EAC}"/>
              </c:ext>
            </c:extLst>
          </c:dPt>
          <c:dPt>
            <c:idx val="4"/>
            <c:invertIfNegative val="0"/>
            <c:bubble3D val="0"/>
            <c:spPr>
              <a:solidFill>
                <a:srgbClr val="2166AC"/>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5-9AC0-47B3-967A-42ABA5515EAC}"/>
              </c:ext>
            </c:extLst>
          </c:dPt>
          <c:dPt>
            <c:idx val="5"/>
            <c:invertIfNegative val="0"/>
            <c:bubble3D val="0"/>
            <c:spPr>
              <a:solidFill>
                <a:srgbClr val="2166AC"/>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6-9AC0-47B3-967A-42ABA5515EAC}"/>
              </c:ext>
            </c:extLst>
          </c:dPt>
          <c:dPt>
            <c:idx val="6"/>
            <c:invertIfNegative val="0"/>
            <c:bubble3D val="0"/>
            <c:spPr>
              <a:solidFill>
                <a:srgbClr val="2166AC"/>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7-9AC0-47B3-967A-42ABA5515EAC}"/>
              </c:ext>
            </c:extLst>
          </c:dPt>
          <c:dPt>
            <c:idx val="7"/>
            <c:invertIfNegative val="0"/>
            <c:bubble3D val="0"/>
            <c:spPr>
              <a:solidFill>
                <a:srgbClr val="2166AC"/>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8-9AC0-47B3-967A-42ABA5515EAC}"/>
              </c:ext>
            </c:extLst>
          </c:dPt>
          <c:dPt>
            <c:idx val="8"/>
            <c:invertIfNegative val="0"/>
            <c:bubble3D val="0"/>
            <c:spPr>
              <a:solidFill>
                <a:srgbClr val="2166AC"/>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9-9AC0-47B3-967A-42ABA5515EAC}"/>
              </c:ext>
            </c:extLst>
          </c:dPt>
          <c:dPt>
            <c:idx val="9"/>
            <c:invertIfNegative val="0"/>
            <c:bubble3D val="0"/>
            <c:spPr>
              <a:solidFill>
                <a:srgbClr val="2166AC"/>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A-9AC0-47B3-967A-42ABA5515EAC}"/>
              </c:ext>
            </c:extLst>
          </c:dPt>
          <c:dPt>
            <c:idx val="10"/>
            <c:invertIfNegative val="0"/>
            <c:bubble3D val="0"/>
            <c:spPr>
              <a:solidFill>
                <a:srgbClr val="2166AC"/>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B-9AC0-47B3-967A-42ABA5515EAC}"/>
              </c:ext>
            </c:extLst>
          </c:dPt>
          <c:dPt>
            <c:idx val="11"/>
            <c:invertIfNegative val="0"/>
            <c:bubble3D val="0"/>
            <c:spPr>
              <a:solidFill>
                <a:srgbClr val="2166AC"/>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C-9AC0-47B3-967A-42ABA5515EAC}"/>
              </c:ext>
            </c:extLst>
          </c:dPt>
          <c:dLbls>
            <c:dLbl>
              <c:idx val="0"/>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AC0-47B3-967A-42ABA5515EAC}"/>
                </c:ext>
              </c:extLst>
            </c:dLbl>
            <c:dLbl>
              <c:idx val="1"/>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AC0-47B3-967A-42ABA5515EAC}"/>
                </c:ext>
              </c:extLst>
            </c:dLbl>
            <c:dLbl>
              <c:idx val="2"/>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AC0-47B3-967A-42ABA5515EAC}"/>
                </c:ext>
              </c:extLst>
            </c:dLbl>
            <c:dLbl>
              <c:idx val="3"/>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AC0-47B3-967A-42ABA5515EAC}"/>
                </c:ext>
              </c:extLst>
            </c:dLbl>
            <c:dLbl>
              <c:idx val="4"/>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AC0-47B3-967A-42ABA5515EAC}"/>
                </c:ext>
              </c:extLst>
            </c:dLbl>
            <c:dLbl>
              <c:idx val="5"/>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AC0-47B3-967A-42ABA5515EAC}"/>
                </c:ext>
              </c:extLst>
            </c:dLbl>
            <c:dLbl>
              <c:idx val="6"/>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AC0-47B3-967A-42ABA5515EAC}"/>
                </c:ext>
              </c:extLst>
            </c:dLbl>
            <c:dLbl>
              <c:idx val="7"/>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AC0-47B3-967A-42ABA5515EAC}"/>
                </c:ext>
              </c:extLst>
            </c:dLbl>
            <c:dLbl>
              <c:idx val="8"/>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9AC0-47B3-967A-42ABA5515EAC}"/>
                </c:ext>
              </c:extLst>
            </c:dLbl>
            <c:dLbl>
              <c:idx val="9"/>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AC0-47B3-967A-42ABA5515EAC}"/>
                </c:ext>
              </c:extLst>
            </c:dLbl>
            <c:dLbl>
              <c:idx val="10"/>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AC0-47B3-967A-42ABA5515EAC}"/>
                </c:ext>
              </c:extLst>
            </c:dLbl>
            <c:dLbl>
              <c:idx val="11"/>
              <c:spPr>
                <a:noFill/>
                <a:ln>
                  <a:noFill/>
                </a:ln>
                <a:effectLst/>
              </c:spPr>
              <c:txPr>
                <a:bodyPr wrap="square" lIns="38100" tIns="19050" rIns="38100" bIns="19050" anchor="ctr">
                  <a:spAutoFit/>
                </a:bodyPr>
                <a:lstStyle/>
                <a:p>
                  <a:pPr>
                    <a:defRPr sz="1200" b="1">
                      <a:latin typeface="Calibri"/>
                      <a:ea typeface="Calibri"/>
                      <a:cs typeface="Calibri"/>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AC0-47B3-967A-42ABA5515EAC}"/>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PromoTable!$G$2:$G$13</c:f>
              <c:strCache>
                <c:ptCount val="12"/>
                <c:pt idx="0">
                  <c:v>SI&amp;O</c:v>
                </c:pt>
                <c:pt idx="1">
                  <c:v>SRV</c:v>
                </c:pt>
                <c:pt idx="2">
                  <c:v>PM&amp;P</c:v>
                </c:pt>
                <c:pt idx="3">
                  <c:v>AW</c:v>
                </c:pt>
                <c:pt idx="4">
                  <c:v>AvI</c:v>
                </c:pt>
                <c:pt idx="5">
                  <c:v>SW</c:v>
                </c:pt>
                <c:pt idx="6">
                  <c:v>VE</c:v>
                </c:pt>
                <c:pt idx="7">
                  <c:v>FS</c:v>
                </c:pt>
                <c:pt idx="8">
                  <c:v>PS</c:v>
                </c:pt>
                <c:pt idx="9">
                  <c:v>T&amp;E</c:v>
                </c:pt>
                <c:pt idx="10">
                  <c:v>SE</c:v>
                </c:pt>
                <c:pt idx="11">
                  <c:v>WSC</c:v>
                </c:pt>
              </c:strCache>
            </c:strRef>
          </c:cat>
          <c:val>
            <c:numRef>
              <c:f>PromoTable!$H$2:$H$13</c:f>
              <c:numCache>
                <c:formatCode>General</c:formatCode>
                <c:ptCount val="12"/>
                <c:pt idx="0">
                  <c:v>2</c:v>
                </c:pt>
                <c:pt idx="1">
                  <c:v>3</c:v>
                </c:pt>
                <c:pt idx="2">
                  <c:v>3</c:v>
                </c:pt>
                <c:pt idx="3">
                  <c:v>7</c:v>
                </c:pt>
                <c:pt idx="4">
                  <c:v>10</c:v>
                </c:pt>
                <c:pt idx="5">
                  <c:v>14</c:v>
                </c:pt>
                <c:pt idx="6">
                  <c:v>14</c:v>
                </c:pt>
                <c:pt idx="7">
                  <c:v>21</c:v>
                </c:pt>
                <c:pt idx="8">
                  <c:v>34</c:v>
                </c:pt>
                <c:pt idx="9">
                  <c:v>55</c:v>
                </c:pt>
                <c:pt idx="10">
                  <c:v>88</c:v>
                </c:pt>
                <c:pt idx="11">
                  <c:v>135</c:v>
                </c:pt>
              </c:numCache>
            </c:numRef>
          </c:val>
          <c:extLst>
            <c:ext xmlns:c16="http://schemas.microsoft.com/office/drawing/2014/chart" uri="{C3380CC4-5D6E-409C-BE32-E72D297353CC}">
              <c16:uniqueId val="{00000000-9AC0-47B3-967A-42ABA5515EAC}"/>
            </c:ext>
          </c:extLst>
        </c:ser>
        <c:dLbls>
          <c:showLegendKey val="0"/>
          <c:showVal val="0"/>
          <c:showCatName val="0"/>
          <c:showSerName val="0"/>
          <c:showPercent val="0"/>
          <c:showBubbleSize val="0"/>
        </c:dLbls>
        <c:gapWidth val="150"/>
        <c:axId val="515217712"/>
        <c:axId val="515198512"/>
      </c:barChart>
      <c:catAx>
        <c:axId val="515217712"/>
        <c:scaling>
          <c:orientation val="minMax"/>
        </c:scaling>
        <c:delete val="0"/>
        <c:axPos val="l"/>
        <c:numFmt formatCode="General" sourceLinked="1"/>
        <c:majorTickMark val="out"/>
        <c:minorTickMark val="none"/>
        <c:tickLblPos val="nextTo"/>
        <c:txPr>
          <a:bodyPr/>
          <a:lstStyle/>
          <a:p>
            <a:pPr>
              <a:defRPr sz="1100">
                <a:latin typeface="Calibri"/>
                <a:ea typeface="Calibri"/>
                <a:cs typeface="Calibri"/>
              </a:defRPr>
            </a:pPr>
            <a:endParaRPr lang="en-US"/>
          </a:p>
        </c:txPr>
        <c:crossAx val="515198512"/>
        <c:crosses val="autoZero"/>
        <c:auto val="1"/>
        <c:lblAlgn val="ctr"/>
        <c:lblOffset val="100"/>
        <c:noMultiLvlLbl val="0"/>
      </c:catAx>
      <c:valAx>
        <c:axId val="515198512"/>
        <c:scaling>
          <c:orientation val="minMax"/>
        </c:scaling>
        <c:delete val="0"/>
        <c:axPos val="b"/>
        <c:majorGridlines/>
        <c:title>
          <c:tx>
            <c:rich>
              <a:bodyPr/>
              <a:lstStyle/>
              <a:p>
                <a:pPr>
                  <a:defRPr/>
                </a:pPr>
                <a:r>
                  <a:rPr lang="en-US"/>
                  <a:t>Diagrams Promoted</a:t>
                </a:r>
              </a:p>
            </c:rich>
          </c:tx>
          <c:overlay val="0"/>
        </c:title>
        <c:numFmt formatCode="General" sourceLinked="1"/>
        <c:majorTickMark val="out"/>
        <c:minorTickMark val="none"/>
        <c:tickLblPos val="nextTo"/>
        <c:crossAx val="515217712"/>
        <c:crosses val="autoZero"/>
        <c:crossBetween val="between"/>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New Diagrams vs Impacted Diagrams (2025)</a:t>
            </a:r>
          </a:p>
        </c:rich>
      </c:tx>
      <c:overlay val="0"/>
    </c:title>
    <c:autoTitleDeleted val="0"/>
    <c:plotArea>
      <c:layout/>
      <c:pieChart>
        <c:varyColors val="1"/>
        <c:ser>
          <c:idx val="0"/>
          <c:order val="0"/>
          <c:tx>
            <c:strRef>
              <c:f>PromoTable!$K$1</c:f>
              <c:strCache>
                <c:ptCount val="1"/>
                <c:pt idx="0">
                  <c:v>Count</c:v>
                </c:pt>
              </c:strCache>
            </c:strRef>
          </c:tx>
          <c:dPt>
            <c:idx val="0"/>
            <c:bubble3D val="0"/>
            <c:spPr>
              <a:solidFill>
                <a:srgbClr val="2166AC"/>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1-8164-4620-A88B-77B91693979E}"/>
              </c:ext>
            </c:extLst>
          </c:dPt>
          <c:dPt>
            <c:idx val="1"/>
            <c:bubble3D val="0"/>
            <c:explosion val="25"/>
            <c:spPr>
              <a:solidFill>
                <a:srgbClr val="A0A0A0"/>
              </a:solidFill>
              <a:ln>
                <a:noFill/>
              </a:ln>
              <a:effectLst>
                <a:outerShdw blurRad="88900" dist="35921" dir="2700002" rotWithShape="0">
                  <a:srgbClr val="787878"/>
                </a:outerShdw>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2-8164-4620-A88B-77B91693979E}"/>
              </c:ext>
            </c:extLst>
          </c:dPt>
          <c:dLbls>
            <c:dLbl>
              <c:idx val="0"/>
              <c:spPr>
                <a:noFill/>
                <a:ln>
                  <a:noFill/>
                </a:ln>
                <a:effectLst/>
              </c:spPr>
              <c:txPr>
                <a:bodyPr wrap="square" lIns="38100" tIns="19050" rIns="38100" bIns="19050" anchor="ctr">
                  <a:spAutoFit/>
                </a:bodyPr>
                <a:lstStyle/>
                <a:p>
                  <a:pPr>
                    <a:defRPr sz="1200" b="1">
                      <a:solidFill>
                        <a:srgbClr val="212121"/>
                      </a:solidFill>
                      <a:latin typeface="Calibri"/>
                      <a:ea typeface="Calibri"/>
                      <a:cs typeface="Calibri"/>
                    </a:defRPr>
                  </a:pPr>
                  <a:endParaRPr lang="en-US"/>
                </a:p>
              </c:txPr>
              <c:showLegendKey val="0"/>
              <c:showVal val="0"/>
              <c:showCatName val="0"/>
              <c:showSerName val="0"/>
              <c:showPercent val="1"/>
              <c:showBubbleSize val="0"/>
              <c:extLst>
                <c:ext xmlns:c16="http://schemas.microsoft.com/office/drawing/2014/chart" uri="{C3380CC4-5D6E-409C-BE32-E72D297353CC}">
                  <c16:uniqueId val="{00000001-8164-4620-A88B-77B91693979E}"/>
                </c:ext>
              </c:extLst>
            </c:dLbl>
            <c:dLbl>
              <c:idx val="1"/>
              <c:spPr>
                <a:noFill/>
                <a:ln>
                  <a:noFill/>
                </a:ln>
                <a:effectLst/>
              </c:spPr>
              <c:txPr>
                <a:bodyPr wrap="square" lIns="38100" tIns="19050" rIns="38100" bIns="19050" anchor="ctr">
                  <a:spAutoFit/>
                </a:bodyPr>
                <a:lstStyle/>
                <a:p>
                  <a:pPr>
                    <a:defRPr sz="1200" b="1">
                      <a:solidFill>
                        <a:srgbClr val="212121"/>
                      </a:solidFill>
                      <a:latin typeface="Calibri"/>
                      <a:ea typeface="Calibri"/>
                      <a:cs typeface="Calibri"/>
                    </a:defRPr>
                  </a:pPr>
                  <a:endParaRPr lang="en-US"/>
                </a:p>
              </c:txPr>
              <c:showLegendKey val="0"/>
              <c:showVal val="0"/>
              <c:showCatName val="0"/>
              <c:showSerName val="0"/>
              <c:showPercent val="1"/>
              <c:showBubbleSize val="0"/>
              <c:extLst>
                <c:ext xmlns:c16="http://schemas.microsoft.com/office/drawing/2014/chart" uri="{C3380CC4-5D6E-409C-BE32-E72D297353CC}">
                  <c16:uniqueId val="{00000002-8164-4620-A88B-77B91693979E}"/>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PromoTable!$J$2:$J$3</c:f>
              <c:strCache>
                <c:ptCount val="2"/>
                <c:pt idx="0">
                  <c:v>New Diagrams</c:v>
                </c:pt>
                <c:pt idx="1">
                  <c:v>Impacted by Change</c:v>
                </c:pt>
              </c:strCache>
            </c:strRef>
          </c:cat>
          <c:val>
            <c:numRef>
              <c:f>PromoTable!$K$2:$K$3</c:f>
              <c:numCache>
                <c:formatCode>General</c:formatCode>
                <c:ptCount val="2"/>
                <c:pt idx="0">
                  <c:v>96</c:v>
                </c:pt>
                <c:pt idx="1">
                  <c:v>813</c:v>
                </c:pt>
              </c:numCache>
            </c:numRef>
          </c:val>
          <c:extLst>
            <c:ext xmlns:c16="http://schemas.microsoft.com/office/drawing/2014/chart" uri="{C3380CC4-5D6E-409C-BE32-E72D297353CC}">
              <c16:uniqueId val="{00000000-8164-4620-A88B-77B91693979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solidFill>
                  <a:srgbClr val="000000"/>
                </a:solidFill>
              </a:defRPr>
            </a:pPr>
            <a:r>
              <a:rPr lang="en-US"/>
              <a:t>Hours Charged by Eng ORG with Diagram Promotions</a:t>
            </a:r>
          </a:p>
        </c:rich>
      </c:tx>
      <c:overlay val="0"/>
    </c:title>
    <c:autoTitleDeleted val="0"/>
    <c:plotArea>
      <c:layout/>
      <c:barChart>
        <c:barDir val="col"/>
        <c:grouping val="stacked"/>
        <c:varyColors val="0"/>
        <c:ser>
          <c:idx val="0"/>
          <c:order val="0"/>
          <c:tx>
            <c:v>WSC</c:v>
          </c:tx>
          <c:spPr>
            <a:solidFill>
              <a:srgbClr val="007BFF">
                <a:alpha val="30000"/>
              </a:srgbClr>
            </a:solidFill>
          </c:spPr>
          <c:invertIfNegative val="0"/>
          <c:cat>
            <c:strRef>
              <c:f>Promos_Stack_MonthX!$A$2:$A$8</c:f>
              <c:strCache>
                <c:ptCount val="7"/>
                <c:pt idx="0">
                  <c:v>January</c:v>
                </c:pt>
                <c:pt idx="1">
                  <c:v>February</c:v>
                </c:pt>
                <c:pt idx="2">
                  <c:v>March</c:v>
                </c:pt>
                <c:pt idx="3">
                  <c:v>April</c:v>
                </c:pt>
                <c:pt idx="4">
                  <c:v>May</c:v>
                </c:pt>
                <c:pt idx="5">
                  <c:v>June</c:v>
                </c:pt>
                <c:pt idx="6">
                  <c:v>July</c:v>
                </c:pt>
              </c:strCache>
            </c:strRef>
          </c:cat>
          <c:val>
            <c:numRef>
              <c:f>Promos_Stack_MonthX!$B$2:$B$8</c:f>
              <c:numCache>
                <c:formatCode>General</c:formatCode>
                <c:ptCount val="7"/>
                <c:pt idx="0">
                  <c:v>33.6</c:v>
                </c:pt>
                <c:pt idx="1">
                  <c:v>71.3</c:v>
                </c:pt>
                <c:pt idx="2">
                  <c:v>93.90000000000002</c:v>
                </c:pt>
                <c:pt idx="3">
                  <c:v>51.400000000000006</c:v>
                </c:pt>
                <c:pt idx="4">
                  <c:v>53.7</c:v>
                </c:pt>
                <c:pt idx="5">
                  <c:v>56.000000000000007</c:v>
                </c:pt>
                <c:pt idx="6">
                  <c:v>32.900000000000006</c:v>
                </c:pt>
              </c:numCache>
            </c:numRef>
          </c:val>
          <c:extLst>
            <c:ext xmlns:c16="http://schemas.microsoft.com/office/drawing/2014/chart" uri="{C3380CC4-5D6E-409C-BE32-E72D297353CC}">
              <c16:uniqueId val="{00000001-1815-4ED2-B231-C5B559A95367}"/>
            </c:ext>
          </c:extLst>
        </c:ser>
        <c:ser>
          <c:idx val="1"/>
          <c:order val="1"/>
          <c:tx>
            <c:v>SE</c:v>
          </c:tx>
          <c:spPr>
            <a:solidFill>
              <a:srgbClr val="28A745">
                <a:alpha val="30000"/>
              </a:srgbClr>
            </a:solidFill>
          </c:spPr>
          <c:invertIfNegative val="0"/>
          <c:cat>
            <c:strRef>
              <c:f>Promos_Stack_MonthX!$A$2:$A$8</c:f>
              <c:strCache>
                <c:ptCount val="7"/>
                <c:pt idx="0">
                  <c:v>January</c:v>
                </c:pt>
                <c:pt idx="1">
                  <c:v>February</c:v>
                </c:pt>
                <c:pt idx="2">
                  <c:v>March</c:v>
                </c:pt>
                <c:pt idx="3">
                  <c:v>April</c:v>
                </c:pt>
                <c:pt idx="4">
                  <c:v>May</c:v>
                </c:pt>
                <c:pt idx="5">
                  <c:v>June</c:v>
                </c:pt>
                <c:pt idx="6">
                  <c:v>July</c:v>
                </c:pt>
              </c:strCache>
            </c:strRef>
          </c:cat>
          <c:val>
            <c:numRef>
              <c:f>Promos_Stack_MonthX!$C$2:$C$8</c:f>
              <c:numCache>
                <c:formatCode>General</c:formatCode>
                <c:ptCount val="7"/>
                <c:pt idx="0">
                  <c:v>60.9</c:v>
                </c:pt>
                <c:pt idx="1">
                  <c:v>92.4</c:v>
                </c:pt>
                <c:pt idx="2">
                  <c:v>99.7</c:v>
                </c:pt>
                <c:pt idx="3">
                  <c:v>174.7</c:v>
                </c:pt>
                <c:pt idx="4">
                  <c:v>203.60000000000002</c:v>
                </c:pt>
                <c:pt idx="5">
                  <c:v>172.2</c:v>
                </c:pt>
                <c:pt idx="6">
                  <c:v>106.4</c:v>
                </c:pt>
              </c:numCache>
            </c:numRef>
          </c:val>
          <c:extLst>
            <c:ext xmlns:c16="http://schemas.microsoft.com/office/drawing/2014/chart" uri="{C3380CC4-5D6E-409C-BE32-E72D297353CC}">
              <c16:uniqueId val="{00000002-1815-4ED2-B231-C5B559A95367}"/>
            </c:ext>
          </c:extLst>
        </c:ser>
        <c:ser>
          <c:idx val="2"/>
          <c:order val="2"/>
          <c:tx>
            <c:v>SW</c:v>
          </c:tx>
          <c:spPr>
            <a:solidFill>
              <a:srgbClr val="FFC107">
                <a:alpha val="30000"/>
              </a:srgbClr>
            </a:solidFill>
          </c:spPr>
          <c:invertIfNegative val="0"/>
          <c:cat>
            <c:strRef>
              <c:f>Promos_Stack_MonthX!$A$2:$A$8</c:f>
              <c:strCache>
                <c:ptCount val="7"/>
                <c:pt idx="0">
                  <c:v>January</c:v>
                </c:pt>
                <c:pt idx="1">
                  <c:v>February</c:v>
                </c:pt>
                <c:pt idx="2">
                  <c:v>March</c:v>
                </c:pt>
                <c:pt idx="3">
                  <c:v>April</c:v>
                </c:pt>
                <c:pt idx="4">
                  <c:v>May</c:v>
                </c:pt>
                <c:pt idx="5">
                  <c:v>June</c:v>
                </c:pt>
                <c:pt idx="6">
                  <c:v>July</c:v>
                </c:pt>
              </c:strCache>
            </c:strRef>
          </c:cat>
          <c:val>
            <c:numRef>
              <c:f>Promos_Stack_MonthX!$D$2:$D$8</c:f>
              <c:numCache>
                <c:formatCode>General</c:formatCode>
                <c:ptCount val="7"/>
                <c:pt idx="0">
                  <c:v>13.900000000000002</c:v>
                </c:pt>
                <c:pt idx="1">
                  <c:v>23</c:v>
                </c:pt>
                <c:pt idx="2">
                  <c:v>8.6</c:v>
                </c:pt>
                <c:pt idx="3">
                  <c:v>22.9</c:v>
                </c:pt>
                <c:pt idx="4">
                  <c:v>16.3</c:v>
                </c:pt>
                <c:pt idx="5">
                  <c:v>7.5</c:v>
                </c:pt>
                <c:pt idx="6">
                  <c:v>11.8</c:v>
                </c:pt>
              </c:numCache>
            </c:numRef>
          </c:val>
          <c:extLst>
            <c:ext xmlns:c16="http://schemas.microsoft.com/office/drawing/2014/chart" uri="{C3380CC4-5D6E-409C-BE32-E72D297353CC}">
              <c16:uniqueId val="{00000003-1815-4ED2-B231-C5B559A95367}"/>
            </c:ext>
          </c:extLst>
        </c:ser>
        <c:ser>
          <c:idx val="3"/>
          <c:order val="3"/>
          <c:tx>
            <c:v>AvI</c:v>
          </c:tx>
          <c:spPr>
            <a:solidFill>
              <a:srgbClr val="DC3545">
                <a:alpha val="30000"/>
              </a:srgbClr>
            </a:solidFill>
          </c:spPr>
          <c:invertIfNegative val="0"/>
          <c:cat>
            <c:strRef>
              <c:f>Promos_Stack_MonthX!$A$2:$A$8</c:f>
              <c:strCache>
                <c:ptCount val="7"/>
                <c:pt idx="0">
                  <c:v>January</c:v>
                </c:pt>
                <c:pt idx="1">
                  <c:v>February</c:v>
                </c:pt>
                <c:pt idx="2">
                  <c:v>March</c:v>
                </c:pt>
                <c:pt idx="3">
                  <c:v>April</c:v>
                </c:pt>
                <c:pt idx="4">
                  <c:v>May</c:v>
                </c:pt>
                <c:pt idx="5">
                  <c:v>June</c:v>
                </c:pt>
                <c:pt idx="6">
                  <c:v>July</c:v>
                </c:pt>
              </c:strCache>
            </c:strRef>
          </c:cat>
          <c:val>
            <c:numRef>
              <c:f>Promos_Stack_MonthX!$E$2:$E$8</c:f>
              <c:numCache>
                <c:formatCode>General</c:formatCode>
                <c:ptCount val="7"/>
                <c:pt idx="0">
                  <c:v>0</c:v>
                </c:pt>
                <c:pt idx="1">
                  <c:v>0</c:v>
                </c:pt>
                <c:pt idx="2">
                  <c:v>0</c:v>
                </c:pt>
                <c:pt idx="3">
                  <c:v>0</c:v>
                </c:pt>
                <c:pt idx="4">
                  <c:v>0</c:v>
                </c:pt>
                <c:pt idx="5">
                  <c:v>8.5</c:v>
                </c:pt>
                <c:pt idx="6">
                  <c:v>9.1999999999999993</c:v>
                </c:pt>
              </c:numCache>
            </c:numRef>
          </c:val>
          <c:extLst>
            <c:ext xmlns:c16="http://schemas.microsoft.com/office/drawing/2014/chart" uri="{C3380CC4-5D6E-409C-BE32-E72D297353CC}">
              <c16:uniqueId val="{00000004-1815-4ED2-B231-C5B559A95367}"/>
            </c:ext>
          </c:extLst>
        </c:ser>
        <c:ser>
          <c:idx val="4"/>
          <c:order val="4"/>
          <c:tx>
            <c:v>T&amp;E</c:v>
          </c:tx>
          <c:spPr>
            <a:solidFill>
              <a:srgbClr val="6610F2">
                <a:alpha val="30000"/>
              </a:srgbClr>
            </a:solidFill>
          </c:spPr>
          <c:invertIfNegative val="0"/>
          <c:cat>
            <c:strRef>
              <c:f>Promos_Stack_MonthX!$A$2:$A$8</c:f>
              <c:strCache>
                <c:ptCount val="7"/>
                <c:pt idx="0">
                  <c:v>January</c:v>
                </c:pt>
                <c:pt idx="1">
                  <c:v>February</c:v>
                </c:pt>
                <c:pt idx="2">
                  <c:v>March</c:v>
                </c:pt>
                <c:pt idx="3">
                  <c:v>April</c:v>
                </c:pt>
                <c:pt idx="4">
                  <c:v>May</c:v>
                </c:pt>
                <c:pt idx="5">
                  <c:v>June</c:v>
                </c:pt>
                <c:pt idx="6">
                  <c:v>July</c:v>
                </c:pt>
              </c:strCache>
            </c:strRef>
          </c:cat>
          <c:val>
            <c:numRef>
              <c:f>Promos_Stack_MonthX!$F$2:$F$8</c:f>
              <c:numCache>
                <c:formatCode>General</c:formatCode>
                <c:ptCount val="7"/>
                <c:pt idx="0">
                  <c:v>71</c:v>
                </c:pt>
                <c:pt idx="1">
                  <c:v>70.2</c:v>
                </c:pt>
                <c:pt idx="2">
                  <c:v>16.100000000000001</c:v>
                </c:pt>
                <c:pt idx="3">
                  <c:v>3.4</c:v>
                </c:pt>
                <c:pt idx="4">
                  <c:v>32.200000000000003</c:v>
                </c:pt>
                <c:pt idx="5">
                  <c:v>51.999999999999993</c:v>
                </c:pt>
                <c:pt idx="6">
                  <c:v>63.3</c:v>
                </c:pt>
              </c:numCache>
            </c:numRef>
          </c:val>
          <c:extLst>
            <c:ext xmlns:c16="http://schemas.microsoft.com/office/drawing/2014/chart" uri="{C3380CC4-5D6E-409C-BE32-E72D297353CC}">
              <c16:uniqueId val="{00000005-1815-4ED2-B231-C5B559A95367}"/>
            </c:ext>
          </c:extLst>
        </c:ser>
        <c:ser>
          <c:idx val="5"/>
          <c:order val="5"/>
          <c:tx>
            <c:v>PS</c:v>
          </c:tx>
          <c:spPr>
            <a:solidFill>
              <a:srgbClr val="FF6D00">
                <a:alpha val="30000"/>
              </a:srgbClr>
            </a:solidFill>
          </c:spPr>
          <c:invertIfNegative val="0"/>
          <c:cat>
            <c:strRef>
              <c:f>Promos_Stack_MonthX!$A$2:$A$8</c:f>
              <c:strCache>
                <c:ptCount val="7"/>
                <c:pt idx="0">
                  <c:v>January</c:v>
                </c:pt>
                <c:pt idx="1">
                  <c:v>February</c:v>
                </c:pt>
                <c:pt idx="2">
                  <c:v>March</c:v>
                </c:pt>
                <c:pt idx="3">
                  <c:v>April</c:v>
                </c:pt>
                <c:pt idx="4">
                  <c:v>May</c:v>
                </c:pt>
                <c:pt idx="5">
                  <c:v>June</c:v>
                </c:pt>
                <c:pt idx="6">
                  <c:v>July</c:v>
                </c:pt>
              </c:strCache>
            </c:strRef>
          </c:cat>
          <c:val>
            <c:numRef>
              <c:f>Promos_Stack_MonthX!$G$2:$G$8</c:f>
              <c:numCache>
                <c:formatCode>General</c:formatCode>
                <c:ptCount val="7"/>
                <c:pt idx="0">
                  <c:v>62.800000000000004</c:v>
                </c:pt>
                <c:pt idx="1">
                  <c:v>45.7</c:v>
                </c:pt>
                <c:pt idx="2">
                  <c:v>71.2</c:v>
                </c:pt>
                <c:pt idx="3">
                  <c:v>105.1</c:v>
                </c:pt>
                <c:pt idx="4">
                  <c:v>89.8</c:v>
                </c:pt>
                <c:pt idx="5">
                  <c:v>27.9</c:v>
                </c:pt>
                <c:pt idx="6">
                  <c:v>12.9</c:v>
                </c:pt>
              </c:numCache>
            </c:numRef>
          </c:val>
          <c:extLst>
            <c:ext xmlns:c16="http://schemas.microsoft.com/office/drawing/2014/chart" uri="{C3380CC4-5D6E-409C-BE32-E72D297353CC}">
              <c16:uniqueId val="{00000006-1815-4ED2-B231-C5B559A95367}"/>
            </c:ext>
          </c:extLst>
        </c:ser>
        <c:ser>
          <c:idx val="6"/>
          <c:order val="6"/>
          <c:tx>
            <c:v>VE</c:v>
          </c:tx>
          <c:spPr>
            <a:solidFill>
              <a:srgbClr val="17A2B8">
                <a:alpha val="30000"/>
              </a:srgbClr>
            </a:solidFill>
          </c:spPr>
          <c:invertIfNegative val="0"/>
          <c:cat>
            <c:strRef>
              <c:f>Promos_Stack_MonthX!$A$2:$A$8</c:f>
              <c:strCache>
                <c:ptCount val="7"/>
                <c:pt idx="0">
                  <c:v>January</c:v>
                </c:pt>
                <c:pt idx="1">
                  <c:v>February</c:v>
                </c:pt>
                <c:pt idx="2">
                  <c:v>March</c:v>
                </c:pt>
                <c:pt idx="3">
                  <c:v>April</c:v>
                </c:pt>
                <c:pt idx="4">
                  <c:v>May</c:v>
                </c:pt>
                <c:pt idx="5">
                  <c:v>June</c:v>
                </c:pt>
                <c:pt idx="6">
                  <c:v>July</c:v>
                </c:pt>
              </c:strCache>
            </c:strRef>
          </c:cat>
          <c:val>
            <c:numRef>
              <c:f>Promos_Stack_MonthX!$H$2:$H$8</c:f>
              <c:numCache>
                <c:formatCode>General</c:formatCode>
                <c:ptCount val="7"/>
                <c:pt idx="0">
                  <c:v>63</c:v>
                </c:pt>
                <c:pt idx="1">
                  <c:v>0</c:v>
                </c:pt>
                <c:pt idx="2">
                  <c:v>0</c:v>
                </c:pt>
                <c:pt idx="3">
                  <c:v>3.5</c:v>
                </c:pt>
                <c:pt idx="4">
                  <c:v>5.5</c:v>
                </c:pt>
                <c:pt idx="5">
                  <c:v>0</c:v>
                </c:pt>
                <c:pt idx="6">
                  <c:v>0</c:v>
                </c:pt>
              </c:numCache>
            </c:numRef>
          </c:val>
          <c:extLst>
            <c:ext xmlns:c16="http://schemas.microsoft.com/office/drawing/2014/chart" uri="{C3380CC4-5D6E-409C-BE32-E72D297353CC}">
              <c16:uniqueId val="{00000007-1815-4ED2-B231-C5B559A95367}"/>
            </c:ext>
          </c:extLst>
        </c:ser>
        <c:ser>
          <c:idx val="7"/>
          <c:order val="7"/>
          <c:tx>
            <c:v>FS</c:v>
          </c:tx>
          <c:spPr>
            <a:solidFill>
              <a:srgbClr val="6C757D">
                <a:alpha val="30000"/>
              </a:srgbClr>
            </a:solidFill>
          </c:spPr>
          <c:invertIfNegative val="0"/>
          <c:cat>
            <c:strRef>
              <c:f>Promos_Stack_MonthX!$A$2:$A$8</c:f>
              <c:strCache>
                <c:ptCount val="7"/>
                <c:pt idx="0">
                  <c:v>January</c:v>
                </c:pt>
                <c:pt idx="1">
                  <c:v>February</c:v>
                </c:pt>
                <c:pt idx="2">
                  <c:v>March</c:v>
                </c:pt>
                <c:pt idx="3">
                  <c:v>April</c:v>
                </c:pt>
                <c:pt idx="4">
                  <c:v>May</c:v>
                </c:pt>
                <c:pt idx="5">
                  <c:v>June</c:v>
                </c:pt>
                <c:pt idx="6">
                  <c:v>July</c:v>
                </c:pt>
              </c:strCache>
            </c:strRef>
          </c:cat>
          <c:val>
            <c:numRef>
              <c:f>Promos_Stack_MonthX!$I$2:$I$8</c:f>
              <c:numCache>
                <c:formatCode>General</c:formatCode>
                <c:ptCount val="7"/>
                <c:pt idx="0">
                  <c:v>0</c:v>
                </c:pt>
                <c:pt idx="1">
                  <c:v>0</c:v>
                </c:pt>
                <c:pt idx="2">
                  <c:v>0</c:v>
                </c:pt>
                <c:pt idx="3">
                  <c:v>0</c:v>
                </c:pt>
                <c:pt idx="4">
                  <c:v>0</c:v>
                </c:pt>
                <c:pt idx="5">
                  <c:v>0</c:v>
                </c:pt>
                <c:pt idx="6">
                  <c:v>1.5</c:v>
                </c:pt>
              </c:numCache>
            </c:numRef>
          </c:val>
          <c:extLst>
            <c:ext xmlns:c16="http://schemas.microsoft.com/office/drawing/2014/chart" uri="{C3380CC4-5D6E-409C-BE32-E72D297353CC}">
              <c16:uniqueId val="{00000008-1815-4ED2-B231-C5B559A95367}"/>
            </c:ext>
          </c:extLst>
        </c:ser>
        <c:ser>
          <c:idx val="8"/>
          <c:order val="8"/>
          <c:tx>
            <c:v>AW</c:v>
          </c:tx>
          <c:spPr>
            <a:solidFill>
              <a:srgbClr val="FF1493">
                <a:alpha val="30000"/>
              </a:srgbClr>
            </a:solidFill>
          </c:spPr>
          <c:invertIfNegative val="0"/>
          <c:cat>
            <c:strRef>
              <c:f>Promos_Stack_MonthX!$A$2:$A$8</c:f>
              <c:strCache>
                <c:ptCount val="7"/>
                <c:pt idx="0">
                  <c:v>January</c:v>
                </c:pt>
                <c:pt idx="1">
                  <c:v>February</c:v>
                </c:pt>
                <c:pt idx="2">
                  <c:v>March</c:v>
                </c:pt>
                <c:pt idx="3">
                  <c:v>April</c:v>
                </c:pt>
                <c:pt idx="4">
                  <c:v>May</c:v>
                </c:pt>
                <c:pt idx="5">
                  <c:v>June</c:v>
                </c:pt>
                <c:pt idx="6">
                  <c:v>July</c:v>
                </c:pt>
              </c:strCache>
            </c:strRef>
          </c:cat>
          <c:val>
            <c:numRef>
              <c:f>Promos_Stack_MonthX!$J$2:$J$8</c:f>
              <c:numCache>
                <c:formatCode>General</c:formatCode>
                <c:ptCount val="7"/>
                <c:pt idx="0">
                  <c:v>0</c:v>
                </c:pt>
                <c:pt idx="1">
                  <c:v>0</c:v>
                </c:pt>
                <c:pt idx="2">
                  <c:v>0</c:v>
                </c:pt>
                <c:pt idx="3">
                  <c:v>0</c:v>
                </c:pt>
                <c:pt idx="4">
                  <c:v>0</c:v>
                </c:pt>
                <c:pt idx="5">
                  <c:v>0</c:v>
                </c:pt>
                <c:pt idx="6">
                  <c:v>2</c:v>
                </c:pt>
              </c:numCache>
            </c:numRef>
          </c:val>
          <c:extLst>
            <c:ext xmlns:c16="http://schemas.microsoft.com/office/drawing/2014/chart" uri="{C3380CC4-5D6E-409C-BE32-E72D297353CC}">
              <c16:uniqueId val="{00000009-1815-4ED2-B231-C5B559A95367}"/>
            </c:ext>
          </c:extLst>
        </c:ser>
        <c:dLbls>
          <c:showLegendKey val="0"/>
          <c:showVal val="0"/>
          <c:showCatName val="0"/>
          <c:showSerName val="0"/>
          <c:showPercent val="0"/>
          <c:showBubbleSize val="0"/>
        </c:dLbls>
        <c:gapWidth val="150"/>
        <c:overlap val="100"/>
        <c:axId val="473278576"/>
        <c:axId val="473293456"/>
      </c:barChart>
      <c:lineChart>
        <c:grouping val="standard"/>
        <c:varyColors val="0"/>
        <c:ser>
          <c:idx val="9"/>
          <c:order val="9"/>
          <c:tx>
            <c:v>Diagrams Promoted</c:v>
          </c:tx>
          <c:spPr>
            <a:ln w="31750">
              <a:solidFill>
                <a:srgbClr val="800080"/>
              </a:solidFill>
            </a:ln>
          </c:spPr>
          <c:marker>
            <c:symbol val="circle"/>
            <c:size val="12"/>
            <c:spPr>
              <a:ln w="31750">
                <a:solidFill>
                  <a:srgbClr val="800080"/>
                </a:solidFill>
              </a:ln>
            </c:spPr>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815-4ED2-B231-C5B559A95367}"/>
                </c:ext>
              </c:extLst>
            </c:dLbl>
            <c:dLbl>
              <c:idx val="1"/>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1815-4ED2-B231-C5B559A95367}"/>
                </c:ext>
              </c:extLst>
            </c:dLbl>
            <c:dLbl>
              <c:idx val="2"/>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1815-4ED2-B231-C5B559A95367}"/>
                </c:ext>
              </c:extLst>
            </c:dLbl>
            <c:dLbl>
              <c:idx val="3"/>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1815-4ED2-B231-C5B559A95367}"/>
                </c:ext>
              </c:extLst>
            </c:dLbl>
            <c:dLbl>
              <c:idx val="4"/>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1815-4ED2-B231-C5B559A95367}"/>
                </c:ext>
              </c:extLst>
            </c:dLbl>
            <c:dLbl>
              <c:idx val="5"/>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1815-4ED2-B231-C5B559A95367}"/>
                </c:ext>
              </c:extLst>
            </c:dLbl>
            <c:dLbl>
              <c:idx val="6"/>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1815-4ED2-B231-C5B559A95367}"/>
                </c:ext>
              </c:extLst>
            </c:dLbl>
            <c:numFmt formatCode="0" sourceLinked="0"/>
            <c:spPr>
              <a:noFill/>
              <a:ln>
                <a:noFill/>
              </a:ln>
              <a:effectLst/>
            </c:spPr>
            <c:txPr>
              <a:bodyPr wrap="square" lIns="38100" tIns="19050" rIns="38100" bIns="19050" anchor="ctr">
                <a:spAutoFit/>
              </a:bodyPr>
              <a:lstStyle/>
              <a:p>
                <a:pPr>
                  <a:defRPr sz="1000" b="1">
                    <a:solidFill>
                      <a:srgbClr val="411E82"/>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Promos_Stack_MonthX!$A$2:$A$8</c:f>
              <c:strCache>
                <c:ptCount val="7"/>
                <c:pt idx="0">
                  <c:v>January</c:v>
                </c:pt>
                <c:pt idx="1">
                  <c:v>February</c:v>
                </c:pt>
                <c:pt idx="2">
                  <c:v>March</c:v>
                </c:pt>
                <c:pt idx="3">
                  <c:v>April</c:v>
                </c:pt>
                <c:pt idx="4">
                  <c:v>May</c:v>
                </c:pt>
                <c:pt idx="5">
                  <c:v>June</c:v>
                </c:pt>
                <c:pt idx="6">
                  <c:v>July</c:v>
                </c:pt>
              </c:strCache>
            </c:strRef>
          </c:cat>
          <c:val>
            <c:numRef>
              <c:f>Promos_Stack_MonthX!$K$2:$K$8</c:f>
              <c:numCache>
                <c:formatCode>General</c:formatCode>
                <c:ptCount val="7"/>
                <c:pt idx="0">
                  <c:v>0</c:v>
                </c:pt>
                <c:pt idx="1">
                  <c:v>0</c:v>
                </c:pt>
                <c:pt idx="2">
                  <c:v>172</c:v>
                </c:pt>
                <c:pt idx="3">
                  <c:v>80</c:v>
                </c:pt>
                <c:pt idx="4">
                  <c:v>334</c:v>
                </c:pt>
                <c:pt idx="5">
                  <c:v>107</c:v>
                </c:pt>
                <c:pt idx="6">
                  <c:v>216</c:v>
                </c:pt>
              </c:numCache>
            </c:numRef>
          </c:val>
          <c:smooth val="0"/>
          <c:extLst>
            <c:ext xmlns:c16="http://schemas.microsoft.com/office/drawing/2014/chart" uri="{C3380CC4-5D6E-409C-BE32-E72D297353CC}">
              <c16:uniqueId val="{0000000A-1815-4ED2-B231-C5B559A95367}"/>
            </c:ext>
          </c:extLst>
        </c:ser>
        <c:ser>
          <c:idx val="10"/>
          <c:order val="10"/>
          <c:tx>
            <c:v>NAT Hours</c:v>
          </c:tx>
          <c:spPr>
            <a:ln w="31750">
              <a:solidFill>
                <a:srgbClr val="DC3545"/>
              </a:solidFill>
            </a:ln>
          </c:spPr>
          <c:marker>
            <c:symbol val="diamond"/>
            <c:size val="13"/>
            <c:spPr>
              <a:ln w="31750">
                <a:solidFill>
                  <a:srgbClr val="DC3545"/>
                </a:solidFill>
              </a:ln>
            </c:spPr>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1815-4ED2-B231-C5B559A95367}"/>
                </c:ext>
              </c:extLst>
            </c:dLbl>
            <c:dLbl>
              <c:idx val="1"/>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1815-4ED2-B231-C5B559A95367}"/>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1815-4ED2-B231-C5B559A95367}"/>
                </c:ext>
              </c:extLst>
            </c:dLbl>
            <c:dLbl>
              <c:idx val="3"/>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1815-4ED2-B231-C5B559A95367}"/>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1815-4ED2-B231-C5B559A95367}"/>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1815-4ED2-B231-C5B559A95367}"/>
                </c:ext>
              </c:extLst>
            </c:dLbl>
            <c:dLbl>
              <c:idx val="6"/>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1815-4ED2-B231-C5B559A95367}"/>
                </c:ext>
              </c:extLst>
            </c:dLbl>
            <c:numFmt formatCode="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Promos_Stack_MonthX!$A$2:$A$8</c:f>
              <c:strCache>
                <c:ptCount val="7"/>
                <c:pt idx="0">
                  <c:v>January</c:v>
                </c:pt>
                <c:pt idx="1">
                  <c:v>February</c:v>
                </c:pt>
                <c:pt idx="2">
                  <c:v>March</c:v>
                </c:pt>
                <c:pt idx="3">
                  <c:v>April</c:v>
                </c:pt>
                <c:pt idx="4">
                  <c:v>May</c:v>
                </c:pt>
                <c:pt idx="5">
                  <c:v>June</c:v>
                </c:pt>
                <c:pt idx="6">
                  <c:v>July</c:v>
                </c:pt>
              </c:strCache>
            </c:strRef>
          </c:cat>
          <c:val>
            <c:numRef>
              <c:f>Promos_Stack_MonthX!$L$2:$L$8</c:f>
              <c:numCache>
                <c:formatCode>General</c:formatCode>
                <c:ptCount val="7"/>
                <c:pt idx="0">
                  <c:v>300.50000000000006</c:v>
                </c:pt>
                <c:pt idx="1">
                  <c:v>220.79999999999998</c:v>
                </c:pt>
                <c:pt idx="2">
                  <c:v>208.70000000000002</c:v>
                </c:pt>
                <c:pt idx="3">
                  <c:v>148.6</c:v>
                </c:pt>
                <c:pt idx="4">
                  <c:v>220.70000000000002</c:v>
                </c:pt>
                <c:pt idx="5">
                  <c:v>238.2</c:v>
                </c:pt>
                <c:pt idx="6">
                  <c:v>253</c:v>
                </c:pt>
              </c:numCache>
            </c:numRef>
          </c:val>
          <c:smooth val="0"/>
          <c:extLst>
            <c:ext xmlns:c16="http://schemas.microsoft.com/office/drawing/2014/chart" uri="{C3380CC4-5D6E-409C-BE32-E72D297353CC}">
              <c16:uniqueId val="{00000012-1815-4ED2-B231-C5B559A95367}"/>
            </c:ext>
          </c:extLst>
        </c:ser>
        <c:dLbls>
          <c:showLegendKey val="0"/>
          <c:showVal val="0"/>
          <c:showCatName val="0"/>
          <c:showSerName val="0"/>
          <c:showPercent val="0"/>
          <c:showBubbleSize val="0"/>
        </c:dLbls>
        <c:marker val="1"/>
        <c:smooth val="0"/>
        <c:axId val="473301136"/>
        <c:axId val="473300176"/>
      </c:lineChart>
      <c:catAx>
        <c:axId val="473278576"/>
        <c:scaling>
          <c:orientation val="minMax"/>
        </c:scaling>
        <c:delete val="0"/>
        <c:axPos val="b"/>
        <c:title>
          <c:tx>
            <c:rich>
              <a:bodyPr/>
              <a:lstStyle/>
              <a:p>
                <a:pPr>
                  <a:defRPr sz="1400">
                    <a:solidFill>
                      <a:srgbClr val="000000"/>
                    </a:solidFill>
                  </a:defRPr>
                </a:pPr>
                <a:r>
                  <a:rPr lang="en-US"/>
                  <a:t>Month</a:t>
                </a:r>
              </a:p>
            </c:rich>
          </c:tx>
          <c:overlay val="0"/>
        </c:title>
        <c:numFmt formatCode="General" sourceLinked="1"/>
        <c:majorTickMark val="out"/>
        <c:minorTickMark val="none"/>
        <c:tickLblPos val="nextTo"/>
        <c:txPr>
          <a:bodyPr/>
          <a:lstStyle/>
          <a:p>
            <a:pPr>
              <a:defRPr sz="1400">
                <a:solidFill>
                  <a:srgbClr val="000000"/>
                </a:solidFill>
              </a:defRPr>
            </a:pPr>
            <a:endParaRPr lang="en-US"/>
          </a:p>
        </c:txPr>
        <c:crossAx val="473293456"/>
        <c:crosses val="autoZero"/>
        <c:auto val="1"/>
        <c:lblAlgn val="ctr"/>
        <c:lblOffset val="100"/>
        <c:noMultiLvlLbl val="0"/>
      </c:catAx>
      <c:valAx>
        <c:axId val="473293456"/>
        <c:scaling>
          <c:orientation val="minMax"/>
        </c:scaling>
        <c:delete val="0"/>
        <c:axPos val="l"/>
        <c:majorGridlines/>
        <c:title>
          <c:tx>
            <c:rich>
              <a:bodyPr/>
              <a:lstStyle/>
              <a:p>
                <a:pPr>
                  <a:defRPr sz="1400">
                    <a:solidFill>
                      <a:srgbClr val="000000"/>
                    </a:solidFill>
                  </a:defRPr>
                </a:pPr>
                <a:r>
                  <a:rPr lang="en-US"/>
                  <a:t>Hours Charged</a:t>
                </a:r>
              </a:p>
            </c:rich>
          </c:tx>
          <c:overlay val="0"/>
        </c:title>
        <c:numFmt formatCode="General" sourceLinked="1"/>
        <c:majorTickMark val="out"/>
        <c:minorTickMark val="none"/>
        <c:tickLblPos val="nextTo"/>
        <c:txPr>
          <a:bodyPr/>
          <a:lstStyle/>
          <a:p>
            <a:pPr>
              <a:defRPr sz="1400">
                <a:solidFill>
                  <a:srgbClr val="000000"/>
                </a:solidFill>
              </a:defRPr>
            </a:pPr>
            <a:endParaRPr lang="en-US"/>
          </a:p>
        </c:txPr>
        <c:crossAx val="473278576"/>
        <c:crosses val="autoZero"/>
        <c:crossBetween val="between"/>
      </c:valAx>
      <c:valAx>
        <c:axId val="473300176"/>
        <c:scaling>
          <c:orientation val="minMax"/>
        </c:scaling>
        <c:delete val="0"/>
        <c:axPos val="r"/>
        <c:title>
          <c:tx>
            <c:rich>
              <a:bodyPr/>
              <a:lstStyle/>
              <a:p>
                <a:pPr>
                  <a:defRPr sz="1400">
                    <a:solidFill>
                      <a:srgbClr val="000000"/>
                    </a:solidFill>
                  </a:defRPr>
                </a:pPr>
                <a:r>
                  <a:rPr lang="en-US"/>
                  <a:t>Line Values</a:t>
                </a:r>
              </a:p>
            </c:rich>
          </c:tx>
          <c:overlay val="0"/>
        </c:title>
        <c:numFmt formatCode="General" sourceLinked="1"/>
        <c:majorTickMark val="out"/>
        <c:minorTickMark val="none"/>
        <c:tickLblPos val="nextTo"/>
        <c:txPr>
          <a:bodyPr/>
          <a:lstStyle/>
          <a:p>
            <a:pPr>
              <a:defRPr sz="1400">
                <a:solidFill>
                  <a:srgbClr val="000000"/>
                </a:solidFill>
              </a:defRPr>
            </a:pPr>
            <a:endParaRPr lang="en-US"/>
          </a:p>
        </c:txPr>
        <c:crossAx val="473301136"/>
        <c:crosses val="max"/>
        <c:crossBetween val="between"/>
      </c:valAx>
      <c:catAx>
        <c:axId val="473301136"/>
        <c:scaling>
          <c:orientation val="minMax"/>
        </c:scaling>
        <c:delete val="1"/>
        <c:axPos val="b"/>
        <c:numFmt formatCode="General" sourceLinked="1"/>
        <c:majorTickMark val="out"/>
        <c:minorTickMark val="none"/>
        <c:tickLblPos val="nextTo"/>
        <c:crossAx val="473300176"/>
        <c:crosses val="autoZero"/>
        <c:auto val="1"/>
        <c:lblAlgn val="ctr"/>
        <c:lblOffset val="100"/>
        <c:noMultiLvlLbl val="0"/>
      </c:catAx>
    </c:plotArea>
    <c:legend>
      <c:legendPos val="b"/>
      <c:overlay val="0"/>
      <c:txPr>
        <a:bodyPr/>
        <a:lstStyle/>
        <a:p>
          <a:pPr>
            <a:defRPr sz="1300">
              <a:solidFill>
                <a:srgbClr val="000000"/>
              </a:solidFill>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Hours by Function</a:t>
            </a:r>
          </a:p>
        </c:rich>
      </c:tx>
      <c:overlay val="0"/>
    </c:title>
    <c:autoTitleDeleted val="0"/>
    <c:plotArea>
      <c:layout/>
      <c:pieChart>
        <c:varyColors val="1"/>
        <c:ser>
          <c:idx val="0"/>
          <c:order val="0"/>
          <c:tx>
            <c:strRef>
              <c:f>PIE!$B$1</c:f>
              <c:strCache>
                <c:ptCount val="1"/>
                <c:pt idx="0">
                  <c:v>Total Hours</c:v>
                </c:pt>
              </c:strCache>
            </c:strRef>
          </c:tx>
          <c:dPt>
            <c:idx val="0"/>
            <c:bubble3D val="0"/>
            <c:spPr>
              <a:solidFill>
                <a:srgbClr val="3498DB"/>
              </a:solidFill>
            </c:spPr>
            <c:extLst>
              <c:ext xmlns:c16="http://schemas.microsoft.com/office/drawing/2014/chart" uri="{C3380CC4-5D6E-409C-BE32-E72D297353CC}">
                <c16:uniqueId val="{00000001-57EE-40EE-AFE9-9F814731AB15}"/>
              </c:ext>
            </c:extLst>
          </c:dPt>
          <c:dPt>
            <c:idx val="1"/>
            <c:bubble3D val="0"/>
            <c:spPr>
              <a:solidFill>
                <a:srgbClr val="2ECC71"/>
              </a:solidFill>
            </c:spPr>
            <c:extLst>
              <c:ext xmlns:c16="http://schemas.microsoft.com/office/drawing/2014/chart" uri="{C3380CC4-5D6E-409C-BE32-E72D297353CC}">
                <c16:uniqueId val="{00000002-57EE-40EE-AFE9-9F814731AB15}"/>
              </c:ext>
            </c:extLst>
          </c:dPt>
          <c:dPt>
            <c:idx val="2"/>
            <c:bubble3D val="0"/>
            <c:spPr>
              <a:solidFill>
                <a:srgbClr val="E74C3C"/>
              </a:solidFill>
            </c:spPr>
            <c:extLst>
              <c:ext xmlns:c16="http://schemas.microsoft.com/office/drawing/2014/chart" uri="{C3380CC4-5D6E-409C-BE32-E72D297353CC}">
                <c16:uniqueId val="{00000003-57EE-40EE-AFE9-9F814731AB15}"/>
              </c:ext>
            </c:extLst>
          </c:dPt>
          <c:dPt>
            <c:idx val="3"/>
            <c:bubble3D val="0"/>
            <c:spPr>
              <a:solidFill>
                <a:srgbClr val="9B59B6"/>
              </a:solidFill>
            </c:spPr>
            <c:extLst>
              <c:ext xmlns:c16="http://schemas.microsoft.com/office/drawing/2014/chart" uri="{C3380CC4-5D6E-409C-BE32-E72D297353CC}">
                <c16:uniqueId val="{00000004-57EE-40EE-AFE9-9F814731AB15}"/>
              </c:ext>
            </c:extLst>
          </c:dPt>
          <c:dPt>
            <c:idx val="4"/>
            <c:bubble3D val="0"/>
            <c:spPr>
              <a:solidFill>
                <a:srgbClr val="F1C40F"/>
              </a:solidFill>
            </c:spPr>
            <c:extLst>
              <c:ext xmlns:c16="http://schemas.microsoft.com/office/drawing/2014/chart" uri="{C3380CC4-5D6E-409C-BE32-E72D297353CC}">
                <c16:uniqueId val="{00000005-57EE-40EE-AFE9-9F814731AB15}"/>
              </c:ext>
            </c:extLst>
          </c:dPt>
          <c:dPt>
            <c:idx val="5"/>
            <c:bubble3D val="0"/>
            <c:spPr>
              <a:solidFill>
                <a:srgbClr val="1ABC9C"/>
              </a:solidFill>
            </c:spPr>
            <c:extLst>
              <c:ext xmlns:c16="http://schemas.microsoft.com/office/drawing/2014/chart" uri="{C3380CC4-5D6E-409C-BE32-E72D297353CC}">
                <c16:uniqueId val="{00000006-57EE-40EE-AFE9-9F814731AB15}"/>
              </c:ext>
            </c:extLst>
          </c:dPt>
          <c:dPt>
            <c:idx val="6"/>
            <c:bubble3D val="0"/>
            <c:spPr>
              <a:solidFill>
                <a:srgbClr val="E67E22"/>
              </a:solidFill>
            </c:spPr>
            <c:extLst>
              <c:ext xmlns:c16="http://schemas.microsoft.com/office/drawing/2014/chart" uri="{C3380CC4-5D6E-409C-BE32-E72D297353CC}">
                <c16:uniqueId val="{00000007-57EE-40EE-AFE9-9F814731AB15}"/>
              </c:ext>
            </c:extLst>
          </c:dPt>
          <c:dPt>
            <c:idx val="7"/>
            <c:bubble3D val="0"/>
            <c:spPr>
              <a:solidFill>
                <a:srgbClr val="95A5A6"/>
              </a:solidFill>
            </c:spPr>
            <c:extLst>
              <c:ext xmlns:c16="http://schemas.microsoft.com/office/drawing/2014/chart" uri="{C3380CC4-5D6E-409C-BE32-E72D297353CC}">
                <c16:uniqueId val="{00000008-57EE-40EE-AFE9-9F814731AB15}"/>
              </c:ext>
            </c:extLst>
          </c:dPt>
          <c:dPt>
            <c:idx val="8"/>
            <c:bubble3D val="0"/>
            <c:spPr>
              <a:solidFill>
                <a:srgbClr val="34495E"/>
              </a:solidFill>
            </c:spPr>
            <c:extLst>
              <c:ext xmlns:c16="http://schemas.microsoft.com/office/drawing/2014/chart" uri="{C3380CC4-5D6E-409C-BE32-E72D297353CC}">
                <c16:uniqueId val="{00000009-57EE-40EE-AFE9-9F814731AB15}"/>
              </c:ext>
            </c:extLst>
          </c:dPt>
          <c:dPt>
            <c:idx val="9"/>
            <c:bubble3D val="0"/>
            <c:spPr>
              <a:solidFill>
                <a:srgbClr val="27AE60"/>
              </a:solidFill>
            </c:spPr>
            <c:extLst>
              <c:ext xmlns:c16="http://schemas.microsoft.com/office/drawing/2014/chart" uri="{C3380CC4-5D6E-409C-BE32-E72D297353CC}">
                <c16:uniqueId val="{0000000A-57EE-40EE-AFE9-9F814731AB15}"/>
              </c:ext>
            </c:extLst>
          </c:dPt>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PIE!$A$2:$A$11</c:f>
              <c:strCache>
                <c:ptCount val="10"/>
                <c:pt idx="0">
                  <c:v>NAT</c:v>
                </c:pt>
                <c:pt idx="1">
                  <c:v>T&amp;E</c:v>
                </c:pt>
                <c:pt idx="2">
                  <c:v>VE</c:v>
                </c:pt>
                <c:pt idx="3">
                  <c:v>PS</c:v>
                </c:pt>
                <c:pt idx="4">
                  <c:v>WSC</c:v>
                </c:pt>
                <c:pt idx="5">
                  <c:v>SW</c:v>
                </c:pt>
                <c:pt idx="6">
                  <c:v>SE</c:v>
                </c:pt>
                <c:pt idx="7">
                  <c:v>AvI</c:v>
                </c:pt>
                <c:pt idx="8">
                  <c:v>AW</c:v>
                </c:pt>
                <c:pt idx="9">
                  <c:v>FS</c:v>
                </c:pt>
              </c:strCache>
            </c:strRef>
          </c:cat>
          <c:val>
            <c:numRef>
              <c:f>PIE!$B$2:$B$11</c:f>
              <c:numCache>
                <c:formatCode>General</c:formatCode>
                <c:ptCount val="10"/>
                <c:pt idx="0">
                  <c:v>1590.5</c:v>
                </c:pt>
                <c:pt idx="1">
                  <c:v>308.20000000000005</c:v>
                </c:pt>
                <c:pt idx="2">
                  <c:v>72</c:v>
                </c:pt>
                <c:pt idx="3">
                  <c:v>415.40000000000009</c:v>
                </c:pt>
                <c:pt idx="4">
                  <c:v>392.7999999999999</c:v>
                </c:pt>
                <c:pt idx="5">
                  <c:v>103.99999999999996</c:v>
                </c:pt>
                <c:pt idx="6">
                  <c:v>909.9</c:v>
                </c:pt>
                <c:pt idx="7">
                  <c:v>17.700000000000003</c:v>
                </c:pt>
                <c:pt idx="8">
                  <c:v>2</c:v>
                </c:pt>
                <c:pt idx="9">
                  <c:v>1.5</c:v>
                </c:pt>
              </c:numCache>
            </c:numRef>
          </c:val>
          <c:extLst>
            <c:ext xmlns:c16="http://schemas.microsoft.com/office/drawing/2014/chart" uri="{C3380CC4-5D6E-409C-BE32-E72D297353CC}">
              <c16:uniqueId val="{00000000-57EE-40EE-AFE9-9F814731AB1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11</xdr:col>
      <xdr:colOff>581025</xdr:colOff>
      <xdr:row>1</xdr:row>
      <xdr:rowOff>9525</xdr:rowOff>
    </xdr:from>
    <xdr:to>
      <xdr:col>15</xdr:col>
      <xdr:colOff>154305</xdr:colOff>
      <xdr:row>7</xdr:row>
      <xdr:rowOff>80010</xdr:rowOff>
    </xdr:to>
    <xdr:grpSp>
      <xdr:nvGrpSpPr>
        <xdr:cNvPr id="8" name="Group 7">
          <a:extLst>
            <a:ext uri="{FF2B5EF4-FFF2-40B4-BE49-F238E27FC236}">
              <a16:creationId xmlns:a16="http://schemas.microsoft.com/office/drawing/2014/main" id="{51F28212-BFFF-160D-B141-96D597775F46}"/>
            </a:ext>
          </a:extLst>
        </xdr:cNvPr>
        <xdr:cNvGrpSpPr/>
      </xdr:nvGrpSpPr>
      <xdr:grpSpPr>
        <a:xfrm>
          <a:off x="11582400" y="200025"/>
          <a:ext cx="2011680" cy="1213485"/>
          <a:chOff x="11582400" y="200025"/>
          <a:chExt cx="2011680" cy="1213485"/>
        </a:xfrm>
      </xdr:grpSpPr>
      <xdr:sp macro="[0]!Run_All_Reports" textlink="">
        <xdr:nvSpPr>
          <xdr:cNvPr id="2" name="Rectangle: Rounded Corners 1">
            <a:extLst>
              <a:ext uri="{FF2B5EF4-FFF2-40B4-BE49-F238E27FC236}">
                <a16:creationId xmlns:a16="http://schemas.microsoft.com/office/drawing/2014/main" id="{2D055921-6485-B371-8FDA-C7752462A191}"/>
              </a:ext>
            </a:extLst>
          </xdr:cNvPr>
          <xdr:cNvSpPr/>
        </xdr:nvSpPr>
        <xdr:spPr>
          <a:xfrm>
            <a:off x="11582400" y="200025"/>
            <a:ext cx="2011680" cy="365760"/>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Update Tables</a:t>
            </a:r>
          </a:p>
          <a:p>
            <a:pPr algn="ctr"/>
            <a:endParaRPr lang="en-US" sz="1100" b="1"/>
          </a:p>
          <a:p>
            <a:pPr algn="ctr"/>
            <a:endParaRPr lang="en-US" sz="1100" b="1"/>
          </a:p>
        </xdr:txBody>
      </xdr:sp>
      <xdr:sp macro="[0]!RunAllExecutiveVisualizations" textlink="">
        <xdr:nvSpPr>
          <xdr:cNvPr id="5" name="Rectangle: Rounded Corners 4">
            <a:extLst>
              <a:ext uri="{FF2B5EF4-FFF2-40B4-BE49-F238E27FC236}">
                <a16:creationId xmlns:a16="http://schemas.microsoft.com/office/drawing/2014/main" id="{23C28341-A0BC-3621-DAF7-F6A1B46DE795}"/>
              </a:ext>
            </a:extLst>
          </xdr:cNvPr>
          <xdr:cNvSpPr/>
        </xdr:nvSpPr>
        <xdr:spPr>
          <a:xfrm>
            <a:off x="11582400" y="623888"/>
            <a:ext cx="2011680" cy="365760"/>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Update Charts</a:t>
            </a:r>
          </a:p>
        </xdr:txBody>
      </xdr:sp>
      <xdr:sp macro="[0]!Email_SuppCodes_Table_and_Charts_WithMerges" textlink="">
        <xdr:nvSpPr>
          <xdr:cNvPr id="7" name="Rectangle: Rounded Corners 6">
            <a:extLst>
              <a:ext uri="{FF2B5EF4-FFF2-40B4-BE49-F238E27FC236}">
                <a16:creationId xmlns:a16="http://schemas.microsoft.com/office/drawing/2014/main" id="{7A8BADE0-61C1-4E59-58D0-3639D18481A8}"/>
              </a:ext>
            </a:extLst>
          </xdr:cNvPr>
          <xdr:cNvSpPr/>
        </xdr:nvSpPr>
        <xdr:spPr>
          <a:xfrm>
            <a:off x="11582400" y="1047750"/>
            <a:ext cx="2011680" cy="365760"/>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Email Jamie</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1</xdr:row>
      <xdr:rowOff>0</xdr:rowOff>
    </xdr:from>
    <xdr:to>
      <xdr:col>18</xdr:col>
      <xdr:colOff>508000</xdr:colOff>
      <xdr:row>22</xdr:row>
      <xdr:rowOff>63500</xdr:rowOff>
    </xdr:to>
    <xdr:graphicFrame macro="">
      <xdr:nvGraphicFramePr>
        <xdr:cNvPr id="17" name="Chart 16">
          <a:extLst>
            <a:ext uri="{FF2B5EF4-FFF2-40B4-BE49-F238E27FC236}">
              <a16:creationId xmlns:a16="http://schemas.microsoft.com/office/drawing/2014/main" id="{54C82D41-1D42-15D3-7DB0-BB807DCDE9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3</xdr:col>
      <xdr:colOff>774700</xdr:colOff>
      <xdr:row>21</xdr:row>
      <xdr:rowOff>63500</xdr:rowOff>
    </xdr:to>
    <xdr:graphicFrame macro="">
      <xdr:nvGraphicFramePr>
        <xdr:cNvPr id="176" name="Chart 175">
          <a:extLst>
            <a:ext uri="{FF2B5EF4-FFF2-40B4-BE49-F238E27FC236}">
              <a16:creationId xmlns:a16="http://schemas.microsoft.com/office/drawing/2014/main" id="{064A3A74-6351-C58A-9B1A-7360189BD7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171450</xdr:rowOff>
    </xdr:from>
    <xdr:to>
      <xdr:col>3</xdr:col>
      <xdr:colOff>1092200</xdr:colOff>
      <xdr:row>39</xdr:row>
      <xdr:rowOff>44450</xdr:rowOff>
    </xdr:to>
    <xdr:graphicFrame macro="">
      <xdr:nvGraphicFramePr>
        <xdr:cNvPr id="177" name="Chart 176">
          <a:extLst>
            <a:ext uri="{FF2B5EF4-FFF2-40B4-BE49-F238E27FC236}">
              <a16:creationId xmlns:a16="http://schemas.microsoft.com/office/drawing/2014/main" id="{C5F919A7-63A7-1ED9-8F63-11C749EA97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771525</xdr:colOff>
      <xdr:row>3</xdr:row>
      <xdr:rowOff>171450</xdr:rowOff>
    </xdr:from>
    <xdr:to>
      <xdr:col>6</xdr:col>
      <xdr:colOff>1625600</xdr:colOff>
      <xdr:row>21</xdr:row>
      <xdr:rowOff>44450</xdr:rowOff>
    </xdr:to>
    <xdr:graphicFrame macro="">
      <xdr:nvGraphicFramePr>
        <xdr:cNvPr id="178" name="Chart 177">
          <a:extLst>
            <a:ext uri="{FF2B5EF4-FFF2-40B4-BE49-F238E27FC236}">
              <a16:creationId xmlns:a16="http://schemas.microsoft.com/office/drawing/2014/main" id="{2D3199B6-CD49-9DC7-F806-3A769D904A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1152525</xdr:colOff>
      <xdr:row>22</xdr:row>
      <xdr:rowOff>0</xdr:rowOff>
    </xdr:from>
    <xdr:to>
      <xdr:col>6</xdr:col>
      <xdr:colOff>1625600</xdr:colOff>
      <xdr:row>36</xdr:row>
      <xdr:rowOff>127000</xdr:rowOff>
    </xdr:to>
    <xdr:graphicFrame macro="">
      <xdr:nvGraphicFramePr>
        <xdr:cNvPr id="179" name="Chart 178">
          <a:extLst>
            <a:ext uri="{FF2B5EF4-FFF2-40B4-BE49-F238E27FC236}">
              <a16:creationId xmlns:a16="http://schemas.microsoft.com/office/drawing/2014/main" id="{B308BA27-0A9C-C2DA-98CE-1A566DA8D3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10</xdr:row>
      <xdr:rowOff>0</xdr:rowOff>
    </xdr:from>
    <xdr:to>
      <xdr:col>21</xdr:col>
      <xdr:colOff>561975</xdr:colOff>
      <xdr:row>39</xdr:row>
      <xdr:rowOff>63500</xdr:rowOff>
    </xdr:to>
    <xdr:graphicFrame macro="">
      <xdr:nvGraphicFramePr>
        <xdr:cNvPr id="21" name="Chart 20">
          <a:extLst>
            <a:ext uri="{FF2B5EF4-FFF2-40B4-BE49-F238E27FC236}">
              <a16:creationId xmlns:a16="http://schemas.microsoft.com/office/drawing/2014/main" id="{A126D0C6-EC6B-6A4B-85F2-42F9F745FC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406400</xdr:colOff>
      <xdr:row>1</xdr:row>
      <xdr:rowOff>63500</xdr:rowOff>
    </xdr:from>
    <xdr:to>
      <xdr:col>15</xdr:col>
      <xdr:colOff>508000</xdr:colOff>
      <xdr:row>24</xdr:row>
      <xdr:rowOff>127000</xdr:rowOff>
    </xdr:to>
    <xdr:graphicFrame macro="">
      <xdr:nvGraphicFramePr>
        <xdr:cNvPr id="70" name="Chart 69">
          <a:extLst>
            <a:ext uri="{FF2B5EF4-FFF2-40B4-BE49-F238E27FC236}">
              <a16:creationId xmlns:a16="http://schemas.microsoft.com/office/drawing/2014/main" id="{A35A0888-B675-1DD3-DFD7-8EFFD74B23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24FE446-014B-4393-AA97-0D82AF05A2EA}" name="MFC" displayName="MFC" ref="A1:B61" totalsRowShown="0" headerRowDxfId="3" dataDxfId="2">
  <autoFilter ref="A1:B61" xr:uid="{00000000-0009-0000-0100-000003000000}"/>
  <tableColumns count="2">
    <tableColumn id="1" xr3:uid="{B72EE18F-F873-494E-AACF-6291D931D8D0}" name="Month" dataDxfId="1" dataCellStyle="Normal 2"/>
    <tableColumn id="2" xr3:uid="{4D0A8FA8-3DCD-4732-9287-1ADAA0BE0CF9}" name="MFC" dataDxfId="0" dataCellStyle="Normal 2"/>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98F37-FCD5-4170-A390-DB3EF2162F10}">
  <sheetPr codeName="Sheet2">
    <tabColor rgb="FF00B050"/>
  </sheetPr>
  <dimension ref="A1:K680"/>
  <sheetViews>
    <sheetView tabSelected="1" workbookViewId="0">
      <selection activeCell="T18" sqref="T18"/>
    </sheetView>
  </sheetViews>
  <sheetFormatPr defaultRowHeight="15"/>
  <cols>
    <col min="1" max="1" width="10.5703125" bestFit="1" customWidth="1"/>
    <col min="2" max="2" width="13.5703125" bestFit="1" customWidth="1"/>
    <col min="3" max="3" width="12.28515625" bestFit="1" customWidth="1"/>
    <col min="4" max="4" width="22.28515625" bestFit="1" customWidth="1"/>
    <col min="5" max="5" width="16.7109375" bestFit="1" customWidth="1"/>
    <col min="6" max="6" width="23.140625" bestFit="1" customWidth="1"/>
    <col min="7" max="7" width="16" bestFit="1" customWidth="1"/>
    <col min="8" max="10" width="14.7109375" bestFit="1" customWidth="1"/>
    <col min="11" max="11" width="6.28515625" bestFit="1" customWidth="1"/>
  </cols>
  <sheetData>
    <row r="1" spans="1:11">
      <c r="A1" t="s">
        <v>0</v>
      </c>
      <c r="B1" t="s">
        <v>1</v>
      </c>
      <c r="C1" t="s">
        <v>2</v>
      </c>
      <c r="D1" t="s">
        <v>3</v>
      </c>
      <c r="E1" t="s">
        <v>4</v>
      </c>
      <c r="F1" t="s">
        <v>5</v>
      </c>
      <c r="G1" t="s">
        <v>6</v>
      </c>
      <c r="H1" t="s">
        <v>7</v>
      </c>
      <c r="I1" t="s">
        <v>8</v>
      </c>
      <c r="J1" t="s">
        <v>9</v>
      </c>
      <c r="K1" t="s">
        <v>10</v>
      </c>
    </row>
    <row r="2" spans="1:11">
      <c r="A2">
        <v>2025</v>
      </c>
      <c r="B2">
        <v>1</v>
      </c>
      <c r="C2">
        <v>1</v>
      </c>
      <c r="D2" s="5">
        <v>45667</v>
      </c>
      <c r="E2" s="5">
        <v>45660</v>
      </c>
      <c r="F2" t="s">
        <v>11</v>
      </c>
      <c r="G2" t="s">
        <v>12</v>
      </c>
      <c r="H2" t="s">
        <v>13</v>
      </c>
      <c r="I2" t="s">
        <v>14</v>
      </c>
      <c r="J2" t="s">
        <v>15</v>
      </c>
      <c r="K2">
        <v>2</v>
      </c>
    </row>
    <row r="3" spans="1:11">
      <c r="A3">
        <v>2025</v>
      </c>
      <c r="B3">
        <v>1</v>
      </c>
      <c r="C3">
        <v>1</v>
      </c>
      <c r="D3" s="5">
        <v>45667</v>
      </c>
      <c r="E3" s="5">
        <v>45660</v>
      </c>
      <c r="F3" t="s">
        <v>11</v>
      </c>
      <c r="G3" t="s">
        <v>12</v>
      </c>
      <c r="H3" t="s">
        <v>13</v>
      </c>
      <c r="I3" t="s">
        <v>16</v>
      </c>
      <c r="J3" t="s">
        <v>17</v>
      </c>
      <c r="K3">
        <v>2</v>
      </c>
    </row>
    <row r="4" spans="1:11">
      <c r="A4">
        <v>2025</v>
      </c>
      <c r="B4">
        <v>1</v>
      </c>
      <c r="C4">
        <v>1</v>
      </c>
      <c r="D4" s="5">
        <v>45667</v>
      </c>
      <c r="E4" s="5">
        <v>45660</v>
      </c>
      <c r="F4" t="s">
        <v>11</v>
      </c>
      <c r="G4" t="s">
        <v>12</v>
      </c>
      <c r="H4" t="s">
        <v>13</v>
      </c>
      <c r="I4" t="s">
        <v>16</v>
      </c>
      <c r="J4" t="s">
        <v>18</v>
      </c>
      <c r="K4">
        <v>1.2</v>
      </c>
    </row>
    <row r="5" spans="1:11">
      <c r="A5">
        <v>2025</v>
      </c>
      <c r="B5">
        <v>1</v>
      </c>
      <c r="C5">
        <v>1</v>
      </c>
      <c r="D5" s="5">
        <v>45667</v>
      </c>
      <c r="E5" s="5">
        <v>45660</v>
      </c>
      <c r="F5" t="s">
        <v>11</v>
      </c>
      <c r="G5" t="s">
        <v>12</v>
      </c>
      <c r="H5" t="s">
        <v>13</v>
      </c>
      <c r="I5" t="s">
        <v>19</v>
      </c>
      <c r="J5" t="s">
        <v>20</v>
      </c>
      <c r="K5">
        <v>0.3</v>
      </c>
    </row>
    <row r="6" spans="1:11">
      <c r="A6">
        <v>2025</v>
      </c>
      <c r="B6">
        <v>1</v>
      </c>
      <c r="C6">
        <v>1</v>
      </c>
      <c r="D6" s="5">
        <v>45667</v>
      </c>
      <c r="E6" s="5">
        <v>45660</v>
      </c>
      <c r="F6" t="s">
        <v>21</v>
      </c>
      <c r="G6" t="s">
        <v>22</v>
      </c>
      <c r="H6" t="s">
        <v>13</v>
      </c>
      <c r="I6" t="s">
        <v>14</v>
      </c>
      <c r="J6" t="s">
        <v>23</v>
      </c>
      <c r="K6">
        <v>4.5999999999999996</v>
      </c>
    </row>
    <row r="7" spans="1:11">
      <c r="A7">
        <v>2025</v>
      </c>
      <c r="B7">
        <v>1</v>
      </c>
      <c r="C7">
        <v>1</v>
      </c>
      <c r="D7" s="5">
        <v>45667</v>
      </c>
      <c r="E7" s="5">
        <v>45660</v>
      </c>
      <c r="F7" t="s">
        <v>21</v>
      </c>
      <c r="G7" t="s">
        <v>12</v>
      </c>
      <c r="H7" t="s">
        <v>13</v>
      </c>
      <c r="I7" t="s">
        <v>14</v>
      </c>
      <c r="J7" t="s">
        <v>24</v>
      </c>
      <c r="K7">
        <v>1.3</v>
      </c>
    </row>
    <row r="8" spans="1:11">
      <c r="A8">
        <v>2025</v>
      </c>
      <c r="B8">
        <v>1</v>
      </c>
      <c r="C8">
        <v>1</v>
      </c>
      <c r="D8" s="5">
        <v>45667</v>
      </c>
      <c r="E8" s="5">
        <v>45660</v>
      </c>
      <c r="F8" t="s">
        <v>21</v>
      </c>
      <c r="G8" t="s">
        <v>12</v>
      </c>
      <c r="H8" t="s">
        <v>13</v>
      </c>
      <c r="I8" t="s">
        <v>14</v>
      </c>
      <c r="J8" t="s">
        <v>23</v>
      </c>
      <c r="K8">
        <v>13.6</v>
      </c>
    </row>
    <row r="9" spans="1:11">
      <c r="A9">
        <v>2025</v>
      </c>
      <c r="B9">
        <v>1</v>
      </c>
      <c r="C9">
        <v>1</v>
      </c>
      <c r="D9" s="5">
        <v>45667</v>
      </c>
      <c r="E9" s="5">
        <v>45660</v>
      </c>
      <c r="F9" t="s">
        <v>25</v>
      </c>
      <c r="G9" t="s">
        <v>12</v>
      </c>
      <c r="H9" t="s">
        <v>13</v>
      </c>
      <c r="I9" t="s">
        <v>14</v>
      </c>
      <c r="J9" t="s">
        <v>26</v>
      </c>
      <c r="K9">
        <v>0.5</v>
      </c>
    </row>
    <row r="10" spans="1:11">
      <c r="A10">
        <v>2025</v>
      </c>
      <c r="B10">
        <v>1</v>
      </c>
      <c r="C10">
        <v>1</v>
      </c>
      <c r="D10" s="5">
        <v>45667</v>
      </c>
      <c r="E10" s="5">
        <v>45660</v>
      </c>
      <c r="F10" t="s">
        <v>25</v>
      </c>
      <c r="G10" t="s">
        <v>12</v>
      </c>
      <c r="H10" t="s">
        <v>13</v>
      </c>
      <c r="I10" t="s">
        <v>14</v>
      </c>
      <c r="J10" t="s">
        <v>27</v>
      </c>
      <c r="K10">
        <v>1.5</v>
      </c>
    </row>
    <row r="11" spans="1:11">
      <c r="A11">
        <v>2025</v>
      </c>
      <c r="B11">
        <v>1</v>
      </c>
      <c r="C11">
        <v>1</v>
      </c>
      <c r="D11" s="5">
        <v>45667</v>
      </c>
      <c r="E11" s="5">
        <v>45660</v>
      </c>
      <c r="F11" t="s">
        <v>25</v>
      </c>
      <c r="G11" t="s">
        <v>12</v>
      </c>
      <c r="H11" t="s">
        <v>13</v>
      </c>
      <c r="I11" t="s">
        <v>28</v>
      </c>
      <c r="J11" t="s">
        <v>29</v>
      </c>
      <c r="K11">
        <v>0.5</v>
      </c>
    </row>
    <row r="12" spans="1:11">
      <c r="A12">
        <v>2025</v>
      </c>
      <c r="B12">
        <v>1</v>
      </c>
      <c r="C12">
        <v>1</v>
      </c>
      <c r="D12" s="5">
        <v>45667</v>
      </c>
      <c r="E12" s="5">
        <v>45660</v>
      </c>
      <c r="F12" t="s">
        <v>25</v>
      </c>
      <c r="G12" t="s">
        <v>12</v>
      </c>
      <c r="H12" t="s">
        <v>13</v>
      </c>
      <c r="I12" t="s">
        <v>30</v>
      </c>
      <c r="J12" t="s">
        <v>31</v>
      </c>
      <c r="K12">
        <v>0.5</v>
      </c>
    </row>
    <row r="13" spans="1:11">
      <c r="A13">
        <v>2025</v>
      </c>
      <c r="B13">
        <v>1</v>
      </c>
      <c r="C13">
        <v>1</v>
      </c>
      <c r="D13" s="5">
        <v>45667</v>
      </c>
      <c r="E13" s="5">
        <v>45667</v>
      </c>
      <c r="F13" t="s">
        <v>32</v>
      </c>
      <c r="G13" t="s">
        <v>12</v>
      </c>
      <c r="H13" t="s">
        <v>13</v>
      </c>
      <c r="I13" t="s">
        <v>14</v>
      </c>
      <c r="J13" t="s">
        <v>33</v>
      </c>
      <c r="K13">
        <v>3</v>
      </c>
    </row>
    <row r="14" spans="1:11">
      <c r="A14">
        <v>2025</v>
      </c>
      <c r="B14">
        <v>1</v>
      </c>
      <c r="C14">
        <v>1</v>
      </c>
      <c r="D14" s="5">
        <v>45667</v>
      </c>
      <c r="E14" s="5">
        <v>45667</v>
      </c>
      <c r="F14" t="s">
        <v>32</v>
      </c>
      <c r="G14" t="s">
        <v>12</v>
      </c>
      <c r="H14" t="s">
        <v>13</v>
      </c>
      <c r="I14" t="s">
        <v>14</v>
      </c>
      <c r="J14" t="s">
        <v>34</v>
      </c>
      <c r="K14">
        <v>17</v>
      </c>
    </row>
    <row r="15" spans="1:11">
      <c r="A15">
        <v>2025</v>
      </c>
      <c r="B15">
        <v>1</v>
      </c>
      <c r="C15">
        <v>1</v>
      </c>
      <c r="D15" s="5">
        <v>45667</v>
      </c>
      <c r="E15" s="5">
        <v>45667</v>
      </c>
      <c r="F15" t="s">
        <v>32</v>
      </c>
      <c r="G15" t="s">
        <v>12</v>
      </c>
      <c r="H15" t="s">
        <v>13</v>
      </c>
      <c r="I15" t="s">
        <v>19</v>
      </c>
      <c r="J15" t="s">
        <v>35</v>
      </c>
      <c r="K15">
        <v>24</v>
      </c>
    </row>
    <row r="16" spans="1:11">
      <c r="A16">
        <v>2025</v>
      </c>
      <c r="B16">
        <v>1</v>
      </c>
      <c r="C16">
        <v>1</v>
      </c>
      <c r="D16" s="5">
        <v>45667</v>
      </c>
      <c r="E16" s="5">
        <v>45667</v>
      </c>
      <c r="F16" t="s">
        <v>11</v>
      </c>
      <c r="G16" t="s">
        <v>12</v>
      </c>
      <c r="H16" t="s">
        <v>13</v>
      </c>
      <c r="I16" t="s">
        <v>14</v>
      </c>
      <c r="J16" t="s">
        <v>36</v>
      </c>
      <c r="K16">
        <v>0.7</v>
      </c>
    </row>
    <row r="17" spans="1:11">
      <c r="A17">
        <v>2025</v>
      </c>
      <c r="B17">
        <v>1</v>
      </c>
      <c r="C17">
        <v>1</v>
      </c>
      <c r="D17" s="5">
        <v>45667</v>
      </c>
      <c r="E17" s="5">
        <v>45667</v>
      </c>
      <c r="F17" t="s">
        <v>11</v>
      </c>
      <c r="G17" t="s">
        <v>12</v>
      </c>
      <c r="H17" t="s">
        <v>13</v>
      </c>
      <c r="I17" t="s">
        <v>14</v>
      </c>
      <c r="J17" t="s">
        <v>37</v>
      </c>
      <c r="K17">
        <v>1.1000000000000001</v>
      </c>
    </row>
    <row r="18" spans="1:11">
      <c r="A18">
        <v>2025</v>
      </c>
      <c r="B18">
        <v>1</v>
      </c>
      <c r="C18">
        <v>1</v>
      </c>
      <c r="D18" s="5">
        <v>45667</v>
      </c>
      <c r="E18" s="5">
        <v>45667</v>
      </c>
      <c r="F18" t="s">
        <v>11</v>
      </c>
      <c r="G18" t="s">
        <v>12</v>
      </c>
      <c r="H18" t="s">
        <v>13</v>
      </c>
      <c r="I18" t="s">
        <v>14</v>
      </c>
      <c r="J18" t="s">
        <v>15</v>
      </c>
      <c r="K18">
        <v>18.3</v>
      </c>
    </row>
    <row r="19" spans="1:11">
      <c r="A19">
        <v>2025</v>
      </c>
      <c r="B19">
        <v>1</v>
      </c>
      <c r="C19">
        <v>1</v>
      </c>
      <c r="D19" s="5">
        <v>45667</v>
      </c>
      <c r="E19" s="5">
        <v>45667</v>
      </c>
      <c r="F19" t="s">
        <v>11</v>
      </c>
      <c r="G19" t="s">
        <v>12</v>
      </c>
      <c r="H19" t="s">
        <v>13</v>
      </c>
      <c r="I19" t="s">
        <v>38</v>
      </c>
      <c r="J19" t="s">
        <v>39</v>
      </c>
      <c r="K19">
        <v>0.4</v>
      </c>
    </row>
    <row r="20" spans="1:11">
      <c r="A20">
        <v>2025</v>
      </c>
      <c r="B20">
        <v>1</v>
      </c>
      <c r="C20">
        <v>1</v>
      </c>
      <c r="D20" s="5">
        <v>45667</v>
      </c>
      <c r="E20" s="5">
        <v>45667</v>
      </c>
      <c r="F20" t="s">
        <v>11</v>
      </c>
      <c r="G20" t="s">
        <v>12</v>
      </c>
      <c r="H20" t="s">
        <v>13</v>
      </c>
      <c r="I20" t="s">
        <v>16</v>
      </c>
      <c r="J20" t="s">
        <v>17</v>
      </c>
      <c r="K20">
        <v>10.8</v>
      </c>
    </row>
    <row r="21" spans="1:11">
      <c r="A21">
        <v>2025</v>
      </c>
      <c r="B21">
        <v>1</v>
      </c>
      <c r="C21">
        <v>1</v>
      </c>
      <c r="D21" s="5">
        <v>45667</v>
      </c>
      <c r="E21" s="5">
        <v>45667</v>
      </c>
      <c r="F21" t="s">
        <v>11</v>
      </c>
      <c r="G21" t="s">
        <v>12</v>
      </c>
      <c r="H21" t="s">
        <v>13</v>
      </c>
      <c r="I21" t="s">
        <v>16</v>
      </c>
      <c r="J21" t="s">
        <v>40</v>
      </c>
      <c r="K21">
        <v>3.5</v>
      </c>
    </row>
    <row r="22" spans="1:11">
      <c r="A22">
        <v>2025</v>
      </c>
      <c r="B22">
        <v>1</v>
      </c>
      <c r="C22">
        <v>1</v>
      </c>
      <c r="D22" s="5">
        <v>45667</v>
      </c>
      <c r="E22" s="5">
        <v>45667</v>
      </c>
      <c r="F22" t="s">
        <v>11</v>
      </c>
      <c r="G22" t="s">
        <v>12</v>
      </c>
      <c r="H22" t="s">
        <v>13</v>
      </c>
      <c r="I22" t="s">
        <v>19</v>
      </c>
      <c r="J22" t="s">
        <v>20</v>
      </c>
      <c r="K22">
        <v>2</v>
      </c>
    </row>
    <row r="23" spans="1:11">
      <c r="A23">
        <v>2025</v>
      </c>
      <c r="B23">
        <v>1</v>
      </c>
      <c r="C23">
        <v>1</v>
      </c>
      <c r="D23" s="5">
        <v>45667</v>
      </c>
      <c r="E23" s="5">
        <v>45667</v>
      </c>
      <c r="F23" t="s">
        <v>41</v>
      </c>
      <c r="G23" t="s">
        <v>12</v>
      </c>
      <c r="H23" t="s">
        <v>13</v>
      </c>
      <c r="I23" t="s">
        <v>19</v>
      </c>
      <c r="J23" t="s">
        <v>20</v>
      </c>
      <c r="K23">
        <v>0.5</v>
      </c>
    </row>
    <row r="24" spans="1:11">
      <c r="A24">
        <v>2025</v>
      </c>
      <c r="B24">
        <v>1</v>
      </c>
      <c r="C24">
        <v>1</v>
      </c>
      <c r="D24" s="5">
        <v>45667</v>
      </c>
      <c r="E24" s="5">
        <v>45667</v>
      </c>
      <c r="F24" t="s">
        <v>21</v>
      </c>
      <c r="G24" t="s">
        <v>12</v>
      </c>
      <c r="H24" t="s">
        <v>13</v>
      </c>
      <c r="I24" t="s">
        <v>14</v>
      </c>
      <c r="J24" t="s">
        <v>24</v>
      </c>
      <c r="K24">
        <v>8.1</v>
      </c>
    </row>
    <row r="25" spans="1:11">
      <c r="A25">
        <v>2025</v>
      </c>
      <c r="B25">
        <v>1</v>
      </c>
      <c r="C25">
        <v>1</v>
      </c>
      <c r="D25" s="5">
        <v>45667</v>
      </c>
      <c r="E25" s="5">
        <v>45667</v>
      </c>
      <c r="F25" t="s">
        <v>21</v>
      </c>
      <c r="G25" t="s">
        <v>12</v>
      </c>
      <c r="H25" t="s">
        <v>13</v>
      </c>
      <c r="I25" t="s">
        <v>14</v>
      </c>
      <c r="J25" t="s">
        <v>23</v>
      </c>
      <c r="K25">
        <v>16.7</v>
      </c>
    </row>
    <row r="26" spans="1:11">
      <c r="A26">
        <v>2025</v>
      </c>
      <c r="B26">
        <v>1</v>
      </c>
      <c r="C26">
        <v>1</v>
      </c>
      <c r="D26" s="5">
        <v>45667</v>
      </c>
      <c r="E26" s="5">
        <v>45667</v>
      </c>
      <c r="F26" t="s">
        <v>21</v>
      </c>
      <c r="G26" t="s">
        <v>12</v>
      </c>
      <c r="H26" t="s">
        <v>13</v>
      </c>
      <c r="I26" t="s">
        <v>14</v>
      </c>
      <c r="J26" t="s">
        <v>42</v>
      </c>
      <c r="K26">
        <v>12.2</v>
      </c>
    </row>
    <row r="27" spans="1:11">
      <c r="A27">
        <v>2025</v>
      </c>
      <c r="B27">
        <v>1</v>
      </c>
      <c r="C27">
        <v>1</v>
      </c>
      <c r="D27" s="5">
        <v>45667</v>
      </c>
      <c r="E27" s="5">
        <v>45667</v>
      </c>
      <c r="F27" t="s">
        <v>21</v>
      </c>
      <c r="G27" t="s">
        <v>12</v>
      </c>
      <c r="H27" t="s">
        <v>13</v>
      </c>
      <c r="I27" t="s">
        <v>28</v>
      </c>
      <c r="J27" t="s">
        <v>43</v>
      </c>
      <c r="K27">
        <v>0.9</v>
      </c>
    </row>
    <row r="28" spans="1:11">
      <c r="A28">
        <v>2025</v>
      </c>
      <c r="B28">
        <v>1</v>
      </c>
      <c r="C28">
        <v>1</v>
      </c>
      <c r="D28" s="5">
        <v>45667</v>
      </c>
      <c r="E28" s="5">
        <v>45667</v>
      </c>
      <c r="F28" t="s">
        <v>21</v>
      </c>
      <c r="G28" t="s">
        <v>12</v>
      </c>
      <c r="H28" t="s">
        <v>13</v>
      </c>
      <c r="I28" t="s">
        <v>28</v>
      </c>
      <c r="J28" t="s">
        <v>29</v>
      </c>
      <c r="K28">
        <v>5.9</v>
      </c>
    </row>
    <row r="29" spans="1:11">
      <c r="A29">
        <v>2025</v>
      </c>
      <c r="B29">
        <v>1</v>
      </c>
      <c r="C29">
        <v>1</v>
      </c>
      <c r="D29" s="5">
        <v>45667</v>
      </c>
      <c r="E29" s="5">
        <v>45667</v>
      </c>
      <c r="F29" t="s">
        <v>25</v>
      </c>
      <c r="G29" t="s">
        <v>12</v>
      </c>
      <c r="H29" t="s">
        <v>13</v>
      </c>
      <c r="I29" t="s">
        <v>14</v>
      </c>
      <c r="J29" t="s">
        <v>27</v>
      </c>
      <c r="K29">
        <v>0.5</v>
      </c>
    </row>
    <row r="30" spans="1:11">
      <c r="A30">
        <v>2025</v>
      </c>
      <c r="B30">
        <v>1</v>
      </c>
      <c r="C30">
        <v>1</v>
      </c>
      <c r="D30" s="5">
        <v>45667</v>
      </c>
      <c r="E30" s="5">
        <v>45667</v>
      </c>
      <c r="F30" t="s">
        <v>25</v>
      </c>
      <c r="G30" t="s">
        <v>12</v>
      </c>
      <c r="H30" t="s">
        <v>13</v>
      </c>
      <c r="I30" t="s">
        <v>28</v>
      </c>
      <c r="J30" t="s">
        <v>29</v>
      </c>
      <c r="K30">
        <v>1.5</v>
      </c>
    </row>
    <row r="31" spans="1:11">
      <c r="A31">
        <v>2025</v>
      </c>
      <c r="B31">
        <v>1</v>
      </c>
      <c r="C31">
        <v>1</v>
      </c>
      <c r="D31" s="5">
        <v>45667</v>
      </c>
      <c r="E31" s="5">
        <v>45667</v>
      </c>
      <c r="F31" t="s">
        <v>25</v>
      </c>
      <c r="G31" t="s">
        <v>12</v>
      </c>
      <c r="H31" t="s">
        <v>13</v>
      </c>
      <c r="I31" t="s">
        <v>44</v>
      </c>
      <c r="J31" t="s">
        <v>45</v>
      </c>
      <c r="K31">
        <v>4</v>
      </c>
    </row>
    <row r="32" spans="1:11">
      <c r="A32">
        <v>2025</v>
      </c>
      <c r="B32">
        <v>1</v>
      </c>
      <c r="C32">
        <v>1</v>
      </c>
      <c r="D32" s="5">
        <v>45667</v>
      </c>
      <c r="E32" s="5">
        <v>45667</v>
      </c>
      <c r="F32" t="s">
        <v>25</v>
      </c>
      <c r="G32" t="s">
        <v>12</v>
      </c>
      <c r="H32" t="s">
        <v>13</v>
      </c>
      <c r="I32" t="s">
        <v>38</v>
      </c>
      <c r="J32" t="s">
        <v>46</v>
      </c>
      <c r="K32">
        <v>0.5</v>
      </c>
    </row>
    <row r="33" spans="1:11">
      <c r="A33">
        <v>2025</v>
      </c>
      <c r="B33">
        <v>1</v>
      </c>
      <c r="C33">
        <v>1</v>
      </c>
      <c r="D33" s="5">
        <v>45667</v>
      </c>
      <c r="E33" s="5">
        <v>45667</v>
      </c>
      <c r="F33" t="s">
        <v>25</v>
      </c>
      <c r="G33" t="s">
        <v>12</v>
      </c>
      <c r="H33" t="s">
        <v>13</v>
      </c>
      <c r="I33" t="s">
        <v>30</v>
      </c>
      <c r="J33" t="s">
        <v>31</v>
      </c>
      <c r="K33">
        <v>1.6</v>
      </c>
    </row>
    <row r="34" spans="1:11">
      <c r="A34">
        <v>2025</v>
      </c>
      <c r="B34">
        <v>1</v>
      </c>
      <c r="C34">
        <v>1</v>
      </c>
      <c r="D34" s="5">
        <v>45681</v>
      </c>
      <c r="E34" s="5">
        <v>45674</v>
      </c>
      <c r="F34" t="s">
        <v>32</v>
      </c>
      <c r="G34" t="s">
        <v>12</v>
      </c>
      <c r="H34" t="s">
        <v>13</v>
      </c>
      <c r="I34" t="s">
        <v>14</v>
      </c>
      <c r="J34" t="s">
        <v>33</v>
      </c>
      <c r="K34">
        <v>2</v>
      </c>
    </row>
    <row r="35" spans="1:11">
      <c r="A35">
        <v>2025</v>
      </c>
      <c r="B35">
        <v>1</v>
      </c>
      <c r="C35">
        <v>1</v>
      </c>
      <c r="D35" s="5">
        <v>45681</v>
      </c>
      <c r="E35" s="5">
        <v>45674</v>
      </c>
      <c r="F35" t="s">
        <v>32</v>
      </c>
      <c r="G35" t="s">
        <v>12</v>
      </c>
      <c r="H35" t="s">
        <v>13</v>
      </c>
      <c r="I35" t="s">
        <v>14</v>
      </c>
      <c r="J35" t="s">
        <v>34</v>
      </c>
      <c r="K35">
        <v>10</v>
      </c>
    </row>
    <row r="36" spans="1:11">
      <c r="A36">
        <v>2025</v>
      </c>
      <c r="B36">
        <v>1</v>
      </c>
      <c r="C36">
        <v>1</v>
      </c>
      <c r="D36" s="5">
        <v>45681</v>
      </c>
      <c r="E36" s="5">
        <v>45674</v>
      </c>
      <c r="F36" t="s">
        <v>32</v>
      </c>
      <c r="G36" t="s">
        <v>12</v>
      </c>
      <c r="H36" t="s">
        <v>13</v>
      </c>
      <c r="I36" t="s">
        <v>44</v>
      </c>
      <c r="J36" t="s">
        <v>47</v>
      </c>
      <c r="K36">
        <v>1</v>
      </c>
    </row>
    <row r="37" spans="1:11">
      <c r="A37">
        <v>2025</v>
      </c>
      <c r="B37">
        <v>1</v>
      </c>
      <c r="C37">
        <v>1</v>
      </c>
      <c r="D37" s="5">
        <v>45681</v>
      </c>
      <c r="E37" s="5">
        <v>45674</v>
      </c>
      <c r="F37" t="s">
        <v>32</v>
      </c>
      <c r="G37" t="s">
        <v>12</v>
      </c>
      <c r="H37" t="s">
        <v>13</v>
      </c>
      <c r="I37" t="s">
        <v>44</v>
      </c>
      <c r="J37" t="s">
        <v>48</v>
      </c>
      <c r="K37">
        <v>7</v>
      </c>
    </row>
    <row r="38" spans="1:11">
      <c r="A38">
        <v>2025</v>
      </c>
      <c r="B38">
        <v>1</v>
      </c>
      <c r="C38">
        <v>1</v>
      </c>
      <c r="D38" s="5">
        <v>45681</v>
      </c>
      <c r="E38" s="5">
        <v>45674</v>
      </c>
      <c r="F38" t="s">
        <v>32</v>
      </c>
      <c r="G38" t="s">
        <v>12</v>
      </c>
      <c r="H38" t="s">
        <v>13</v>
      </c>
      <c r="I38" t="s">
        <v>19</v>
      </c>
      <c r="J38" t="s">
        <v>35</v>
      </c>
      <c r="K38">
        <v>16</v>
      </c>
    </row>
    <row r="39" spans="1:11">
      <c r="A39">
        <v>2025</v>
      </c>
      <c r="B39">
        <v>1</v>
      </c>
      <c r="C39">
        <v>1</v>
      </c>
      <c r="D39" s="5">
        <v>45681</v>
      </c>
      <c r="E39" s="5">
        <v>45674</v>
      </c>
      <c r="F39" t="s">
        <v>11</v>
      </c>
      <c r="G39" t="s">
        <v>12</v>
      </c>
      <c r="H39" t="s">
        <v>13</v>
      </c>
      <c r="I39" t="s">
        <v>14</v>
      </c>
      <c r="J39" t="s">
        <v>37</v>
      </c>
      <c r="K39">
        <v>1.2</v>
      </c>
    </row>
    <row r="40" spans="1:11">
      <c r="A40">
        <v>2025</v>
      </c>
      <c r="B40">
        <v>1</v>
      </c>
      <c r="C40">
        <v>1</v>
      </c>
      <c r="D40" s="5">
        <v>45681</v>
      </c>
      <c r="E40" s="5">
        <v>45674</v>
      </c>
      <c r="F40" t="s">
        <v>11</v>
      </c>
      <c r="G40" t="s">
        <v>12</v>
      </c>
      <c r="H40" t="s">
        <v>13</v>
      </c>
      <c r="I40" t="s">
        <v>14</v>
      </c>
      <c r="J40" t="s">
        <v>15</v>
      </c>
      <c r="K40">
        <v>5.9</v>
      </c>
    </row>
    <row r="41" spans="1:11">
      <c r="A41">
        <v>2025</v>
      </c>
      <c r="B41">
        <v>1</v>
      </c>
      <c r="C41">
        <v>1</v>
      </c>
      <c r="D41" s="5">
        <v>45681</v>
      </c>
      <c r="E41" s="5">
        <v>45674</v>
      </c>
      <c r="F41" t="s">
        <v>11</v>
      </c>
      <c r="G41" t="s">
        <v>12</v>
      </c>
      <c r="H41" t="s">
        <v>13</v>
      </c>
      <c r="I41" t="s">
        <v>16</v>
      </c>
      <c r="J41" t="s">
        <v>17</v>
      </c>
      <c r="K41">
        <v>25.7</v>
      </c>
    </row>
    <row r="42" spans="1:11">
      <c r="A42">
        <v>2025</v>
      </c>
      <c r="B42">
        <v>1</v>
      </c>
      <c r="C42">
        <v>1</v>
      </c>
      <c r="D42" s="5">
        <v>45681</v>
      </c>
      <c r="E42" s="5">
        <v>45674</v>
      </c>
      <c r="F42" t="s">
        <v>11</v>
      </c>
      <c r="G42" t="s">
        <v>12</v>
      </c>
      <c r="H42" t="s">
        <v>13</v>
      </c>
      <c r="I42" t="s">
        <v>19</v>
      </c>
      <c r="J42" t="s">
        <v>20</v>
      </c>
      <c r="K42">
        <v>3.6</v>
      </c>
    </row>
    <row r="43" spans="1:11">
      <c r="A43">
        <v>2025</v>
      </c>
      <c r="B43">
        <v>1</v>
      </c>
      <c r="C43">
        <v>1</v>
      </c>
      <c r="D43" s="5">
        <v>45681</v>
      </c>
      <c r="E43" s="5">
        <v>45674</v>
      </c>
      <c r="F43" t="s">
        <v>11</v>
      </c>
      <c r="G43" t="s">
        <v>12</v>
      </c>
      <c r="H43" t="s">
        <v>13</v>
      </c>
      <c r="I43" t="s">
        <v>19</v>
      </c>
      <c r="J43" t="s">
        <v>49</v>
      </c>
      <c r="K43">
        <v>2.5</v>
      </c>
    </row>
    <row r="44" spans="1:11">
      <c r="A44">
        <v>2025</v>
      </c>
      <c r="B44">
        <v>1</v>
      </c>
      <c r="C44">
        <v>1</v>
      </c>
      <c r="D44" s="5">
        <v>45681</v>
      </c>
      <c r="E44" s="5">
        <v>45674</v>
      </c>
      <c r="F44" t="s">
        <v>21</v>
      </c>
      <c r="G44" t="s">
        <v>12</v>
      </c>
      <c r="H44" t="s">
        <v>13</v>
      </c>
      <c r="I44" t="s">
        <v>14</v>
      </c>
      <c r="J44" t="s">
        <v>24</v>
      </c>
      <c r="K44">
        <v>15</v>
      </c>
    </row>
    <row r="45" spans="1:11">
      <c r="A45">
        <v>2025</v>
      </c>
      <c r="B45">
        <v>1</v>
      </c>
      <c r="C45">
        <v>1</v>
      </c>
      <c r="D45" s="5">
        <v>45681</v>
      </c>
      <c r="E45" s="5">
        <v>45674</v>
      </c>
      <c r="F45" t="s">
        <v>21</v>
      </c>
      <c r="G45" t="s">
        <v>12</v>
      </c>
      <c r="H45" t="s">
        <v>13</v>
      </c>
      <c r="I45" t="s">
        <v>14</v>
      </c>
      <c r="J45" t="s">
        <v>23</v>
      </c>
      <c r="K45">
        <v>3.2</v>
      </c>
    </row>
    <row r="46" spans="1:11">
      <c r="A46">
        <v>2025</v>
      </c>
      <c r="B46">
        <v>1</v>
      </c>
      <c r="C46">
        <v>1</v>
      </c>
      <c r="D46" s="5">
        <v>45681</v>
      </c>
      <c r="E46" s="5">
        <v>45674</v>
      </c>
      <c r="F46" t="s">
        <v>21</v>
      </c>
      <c r="G46" t="s">
        <v>12</v>
      </c>
      <c r="H46" t="s">
        <v>13</v>
      </c>
      <c r="I46" t="s">
        <v>14</v>
      </c>
      <c r="J46" t="s">
        <v>42</v>
      </c>
      <c r="K46">
        <v>8.8000000000000007</v>
      </c>
    </row>
    <row r="47" spans="1:11">
      <c r="A47">
        <v>2025</v>
      </c>
      <c r="B47">
        <v>1</v>
      </c>
      <c r="C47">
        <v>1</v>
      </c>
      <c r="D47" s="5">
        <v>45681</v>
      </c>
      <c r="E47" s="5">
        <v>45674</v>
      </c>
      <c r="F47" t="s">
        <v>21</v>
      </c>
      <c r="G47" t="s">
        <v>12</v>
      </c>
      <c r="H47" t="s">
        <v>13</v>
      </c>
      <c r="I47" t="s">
        <v>28</v>
      </c>
      <c r="J47" t="s">
        <v>29</v>
      </c>
      <c r="K47">
        <v>10.9</v>
      </c>
    </row>
    <row r="48" spans="1:11">
      <c r="A48">
        <v>2025</v>
      </c>
      <c r="B48">
        <v>1</v>
      </c>
      <c r="C48">
        <v>1</v>
      </c>
      <c r="D48" s="5">
        <v>45681</v>
      </c>
      <c r="E48" s="5">
        <v>45674</v>
      </c>
      <c r="F48" t="s">
        <v>25</v>
      </c>
      <c r="G48" t="s">
        <v>12</v>
      </c>
      <c r="H48" t="s">
        <v>13</v>
      </c>
      <c r="I48" t="s">
        <v>14</v>
      </c>
      <c r="J48" t="s">
        <v>26</v>
      </c>
      <c r="K48">
        <v>0.8</v>
      </c>
    </row>
    <row r="49" spans="1:11">
      <c r="A49">
        <v>2025</v>
      </c>
      <c r="B49">
        <v>1</v>
      </c>
      <c r="C49">
        <v>1</v>
      </c>
      <c r="D49" s="5">
        <v>45681</v>
      </c>
      <c r="E49" s="5">
        <v>45674</v>
      </c>
      <c r="F49" t="s">
        <v>25</v>
      </c>
      <c r="G49" t="s">
        <v>12</v>
      </c>
      <c r="H49" t="s">
        <v>13</v>
      </c>
      <c r="I49" t="s">
        <v>14</v>
      </c>
      <c r="J49" t="s">
        <v>50</v>
      </c>
      <c r="K49">
        <v>0.5</v>
      </c>
    </row>
    <row r="50" spans="1:11">
      <c r="A50">
        <v>2025</v>
      </c>
      <c r="B50">
        <v>1</v>
      </c>
      <c r="C50">
        <v>1</v>
      </c>
      <c r="D50" s="5">
        <v>45681</v>
      </c>
      <c r="E50" s="5">
        <v>45674</v>
      </c>
      <c r="F50" t="s">
        <v>25</v>
      </c>
      <c r="G50" t="s">
        <v>12</v>
      </c>
      <c r="H50" t="s">
        <v>13</v>
      </c>
      <c r="I50" t="s">
        <v>14</v>
      </c>
      <c r="J50" t="s">
        <v>37</v>
      </c>
      <c r="K50">
        <v>0.5</v>
      </c>
    </row>
    <row r="51" spans="1:11">
      <c r="A51">
        <v>2025</v>
      </c>
      <c r="B51">
        <v>1</v>
      </c>
      <c r="C51">
        <v>1</v>
      </c>
      <c r="D51" s="5">
        <v>45681</v>
      </c>
      <c r="E51" s="5">
        <v>45674</v>
      </c>
      <c r="F51" t="s">
        <v>25</v>
      </c>
      <c r="G51" t="s">
        <v>12</v>
      </c>
      <c r="H51" t="s">
        <v>13</v>
      </c>
      <c r="I51" t="s">
        <v>28</v>
      </c>
      <c r="J51" t="s">
        <v>29</v>
      </c>
      <c r="K51">
        <v>6.5</v>
      </c>
    </row>
    <row r="52" spans="1:11">
      <c r="A52">
        <v>2025</v>
      </c>
      <c r="B52">
        <v>1</v>
      </c>
      <c r="C52">
        <v>1</v>
      </c>
      <c r="D52" s="5">
        <v>45681</v>
      </c>
      <c r="E52" s="5">
        <v>45674</v>
      </c>
      <c r="F52" t="s">
        <v>25</v>
      </c>
      <c r="G52" t="s">
        <v>12</v>
      </c>
      <c r="H52" t="s">
        <v>13</v>
      </c>
      <c r="I52" t="s">
        <v>44</v>
      </c>
      <c r="J52" t="s">
        <v>45</v>
      </c>
      <c r="K52">
        <v>16.7</v>
      </c>
    </row>
    <row r="53" spans="1:11">
      <c r="A53">
        <v>2025</v>
      </c>
      <c r="B53">
        <v>1</v>
      </c>
      <c r="C53">
        <v>1</v>
      </c>
      <c r="D53" s="5">
        <v>45681</v>
      </c>
      <c r="E53" s="5">
        <v>45674</v>
      </c>
      <c r="F53" t="s">
        <v>25</v>
      </c>
      <c r="G53" t="s">
        <v>12</v>
      </c>
      <c r="H53" t="s">
        <v>13</v>
      </c>
      <c r="I53" t="s">
        <v>38</v>
      </c>
      <c r="J53" t="s">
        <v>46</v>
      </c>
      <c r="K53">
        <v>3.5</v>
      </c>
    </row>
    <row r="54" spans="1:11">
      <c r="A54">
        <v>2025</v>
      </c>
      <c r="B54">
        <v>1</v>
      </c>
      <c r="C54">
        <v>1</v>
      </c>
      <c r="D54" s="5">
        <v>45681</v>
      </c>
      <c r="E54" s="5">
        <v>45674</v>
      </c>
      <c r="F54" t="s">
        <v>25</v>
      </c>
      <c r="G54" t="s">
        <v>12</v>
      </c>
      <c r="H54" t="s">
        <v>13</v>
      </c>
      <c r="I54" t="s">
        <v>38</v>
      </c>
      <c r="J54" t="s">
        <v>51</v>
      </c>
      <c r="K54">
        <v>1</v>
      </c>
    </row>
    <row r="55" spans="1:11">
      <c r="A55">
        <v>2025</v>
      </c>
      <c r="B55">
        <v>1</v>
      </c>
      <c r="C55">
        <v>1</v>
      </c>
      <c r="D55" s="5">
        <v>45681</v>
      </c>
      <c r="E55" s="5">
        <v>45674</v>
      </c>
      <c r="F55" t="s">
        <v>25</v>
      </c>
      <c r="G55" t="s">
        <v>12</v>
      </c>
      <c r="H55" t="s">
        <v>13</v>
      </c>
      <c r="I55" t="s">
        <v>38</v>
      </c>
      <c r="J55" t="s">
        <v>52</v>
      </c>
      <c r="K55">
        <v>0.5</v>
      </c>
    </row>
    <row r="56" spans="1:11">
      <c r="A56">
        <v>2025</v>
      </c>
      <c r="B56">
        <v>1</v>
      </c>
      <c r="C56">
        <v>1</v>
      </c>
      <c r="D56" s="5">
        <v>45681</v>
      </c>
      <c r="E56" s="5">
        <v>45674</v>
      </c>
      <c r="F56" t="s">
        <v>25</v>
      </c>
      <c r="G56" t="s">
        <v>12</v>
      </c>
      <c r="H56" t="s">
        <v>13</v>
      </c>
      <c r="I56" t="s">
        <v>30</v>
      </c>
      <c r="J56" t="s">
        <v>53</v>
      </c>
      <c r="K56">
        <v>0.5</v>
      </c>
    </row>
    <row r="57" spans="1:11">
      <c r="A57">
        <v>2025</v>
      </c>
      <c r="B57">
        <v>1</v>
      </c>
      <c r="C57">
        <v>1</v>
      </c>
      <c r="D57" s="5">
        <v>45681</v>
      </c>
      <c r="E57" s="5">
        <v>45674</v>
      </c>
      <c r="F57" t="s">
        <v>25</v>
      </c>
      <c r="G57" t="s">
        <v>12</v>
      </c>
      <c r="H57" t="s">
        <v>13</v>
      </c>
      <c r="I57" t="s">
        <v>30</v>
      </c>
      <c r="J57" t="s">
        <v>31</v>
      </c>
      <c r="K57">
        <v>10.5</v>
      </c>
    </row>
    <row r="58" spans="1:11">
      <c r="A58">
        <v>2025</v>
      </c>
      <c r="B58">
        <v>1</v>
      </c>
      <c r="C58">
        <v>1</v>
      </c>
      <c r="D58" s="5">
        <v>45681</v>
      </c>
      <c r="E58" s="5">
        <v>45681</v>
      </c>
      <c r="F58" t="s">
        <v>32</v>
      </c>
      <c r="G58" t="s">
        <v>12</v>
      </c>
      <c r="H58" t="s">
        <v>13</v>
      </c>
      <c r="I58" t="s">
        <v>14</v>
      </c>
      <c r="J58" t="s">
        <v>33</v>
      </c>
      <c r="K58">
        <v>1</v>
      </c>
    </row>
    <row r="59" spans="1:11">
      <c r="A59">
        <v>2025</v>
      </c>
      <c r="B59">
        <v>1</v>
      </c>
      <c r="C59">
        <v>1</v>
      </c>
      <c r="D59" s="5">
        <v>45681</v>
      </c>
      <c r="E59" s="5">
        <v>45681</v>
      </c>
      <c r="F59" t="s">
        <v>32</v>
      </c>
      <c r="G59" t="s">
        <v>12</v>
      </c>
      <c r="H59" t="s">
        <v>13</v>
      </c>
      <c r="I59" t="s">
        <v>14</v>
      </c>
      <c r="J59" t="s">
        <v>54</v>
      </c>
      <c r="K59">
        <v>8</v>
      </c>
    </row>
    <row r="60" spans="1:11">
      <c r="A60">
        <v>2025</v>
      </c>
      <c r="B60">
        <v>1</v>
      </c>
      <c r="C60">
        <v>1</v>
      </c>
      <c r="D60" s="5">
        <v>45681</v>
      </c>
      <c r="E60" s="5">
        <v>45681</v>
      </c>
      <c r="F60" t="s">
        <v>32</v>
      </c>
      <c r="G60" t="s">
        <v>12</v>
      </c>
      <c r="H60" t="s">
        <v>13</v>
      </c>
      <c r="I60" t="s">
        <v>14</v>
      </c>
      <c r="J60" t="s">
        <v>34</v>
      </c>
      <c r="K60">
        <v>24</v>
      </c>
    </row>
    <row r="61" spans="1:11">
      <c r="A61">
        <v>2025</v>
      </c>
      <c r="B61">
        <v>1</v>
      </c>
      <c r="C61">
        <v>1</v>
      </c>
      <c r="D61" s="5">
        <v>45681</v>
      </c>
      <c r="E61" s="5">
        <v>45681</v>
      </c>
      <c r="F61" t="s">
        <v>32</v>
      </c>
      <c r="G61" t="s">
        <v>12</v>
      </c>
      <c r="H61" t="s">
        <v>13</v>
      </c>
      <c r="I61" t="s">
        <v>44</v>
      </c>
      <c r="J61" t="s">
        <v>48</v>
      </c>
      <c r="K61">
        <v>8</v>
      </c>
    </row>
    <row r="62" spans="1:11">
      <c r="A62">
        <v>2025</v>
      </c>
      <c r="B62">
        <v>1</v>
      </c>
      <c r="C62">
        <v>1</v>
      </c>
      <c r="D62" s="5">
        <v>45681</v>
      </c>
      <c r="E62" s="5">
        <v>45681</v>
      </c>
      <c r="F62" t="s">
        <v>32</v>
      </c>
      <c r="G62" t="s">
        <v>12</v>
      </c>
      <c r="H62" t="s">
        <v>13</v>
      </c>
      <c r="I62" t="s">
        <v>19</v>
      </c>
      <c r="J62" t="s">
        <v>35</v>
      </c>
      <c r="K62">
        <v>3</v>
      </c>
    </row>
    <row r="63" spans="1:11">
      <c r="A63">
        <v>2025</v>
      </c>
      <c r="B63">
        <v>1</v>
      </c>
      <c r="C63">
        <v>1</v>
      </c>
      <c r="D63" s="5">
        <v>45681</v>
      </c>
      <c r="E63" s="5">
        <v>45681</v>
      </c>
      <c r="F63" t="s">
        <v>11</v>
      </c>
      <c r="G63" t="s">
        <v>55</v>
      </c>
      <c r="H63" t="s">
        <v>13</v>
      </c>
      <c r="I63" t="s">
        <v>14</v>
      </c>
      <c r="J63" t="s">
        <v>15</v>
      </c>
      <c r="K63">
        <v>2</v>
      </c>
    </row>
    <row r="64" spans="1:11">
      <c r="A64">
        <v>2025</v>
      </c>
      <c r="B64">
        <v>1</v>
      </c>
      <c r="C64">
        <v>1</v>
      </c>
      <c r="D64" s="5">
        <v>45681</v>
      </c>
      <c r="E64" s="5">
        <v>45681</v>
      </c>
      <c r="F64" t="s">
        <v>11</v>
      </c>
      <c r="G64" t="s">
        <v>55</v>
      </c>
      <c r="H64" t="s">
        <v>13</v>
      </c>
      <c r="I64" t="s">
        <v>16</v>
      </c>
      <c r="J64" t="s">
        <v>17</v>
      </c>
      <c r="K64">
        <v>4</v>
      </c>
    </row>
    <row r="65" spans="1:11">
      <c r="A65">
        <v>2025</v>
      </c>
      <c r="B65">
        <v>1</v>
      </c>
      <c r="C65">
        <v>1</v>
      </c>
      <c r="D65" s="5">
        <v>45681</v>
      </c>
      <c r="E65" s="5">
        <v>45681</v>
      </c>
      <c r="F65" t="s">
        <v>11</v>
      </c>
      <c r="G65" t="s">
        <v>55</v>
      </c>
      <c r="H65" t="s">
        <v>13</v>
      </c>
      <c r="I65" t="s">
        <v>19</v>
      </c>
      <c r="J65" t="s">
        <v>20</v>
      </c>
      <c r="K65">
        <v>1.8</v>
      </c>
    </row>
    <row r="66" spans="1:11">
      <c r="A66">
        <v>2025</v>
      </c>
      <c r="B66">
        <v>1</v>
      </c>
      <c r="C66">
        <v>1</v>
      </c>
      <c r="D66" s="5">
        <v>45681</v>
      </c>
      <c r="E66" s="5">
        <v>45681</v>
      </c>
      <c r="F66" t="s">
        <v>11</v>
      </c>
      <c r="G66" t="s">
        <v>12</v>
      </c>
      <c r="H66" t="s">
        <v>13</v>
      </c>
      <c r="I66" t="s">
        <v>14</v>
      </c>
      <c r="J66" t="s">
        <v>56</v>
      </c>
      <c r="K66">
        <v>3.5</v>
      </c>
    </row>
    <row r="67" spans="1:11">
      <c r="A67">
        <v>2025</v>
      </c>
      <c r="B67">
        <v>1</v>
      </c>
      <c r="C67">
        <v>1</v>
      </c>
      <c r="D67" s="5">
        <v>45681</v>
      </c>
      <c r="E67" s="5">
        <v>45681</v>
      </c>
      <c r="F67" t="s">
        <v>11</v>
      </c>
      <c r="G67" t="s">
        <v>12</v>
      </c>
      <c r="H67" t="s">
        <v>13</v>
      </c>
      <c r="I67" t="s">
        <v>14</v>
      </c>
      <c r="J67" t="s">
        <v>37</v>
      </c>
      <c r="K67">
        <v>1</v>
      </c>
    </row>
    <row r="68" spans="1:11">
      <c r="A68">
        <v>2025</v>
      </c>
      <c r="B68">
        <v>1</v>
      </c>
      <c r="C68">
        <v>1</v>
      </c>
      <c r="D68" s="5">
        <v>45681</v>
      </c>
      <c r="E68" s="5">
        <v>45681</v>
      </c>
      <c r="F68" t="s">
        <v>11</v>
      </c>
      <c r="G68" t="s">
        <v>12</v>
      </c>
      <c r="H68" t="s">
        <v>13</v>
      </c>
      <c r="I68" t="s">
        <v>14</v>
      </c>
      <c r="J68" t="s">
        <v>15</v>
      </c>
      <c r="K68">
        <v>6</v>
      </c>
    </row>
    <row r="69" spans="1:11">
      <c r="A69">
        <v>2025</v>
      </c>
      <c r="B69">
        <v>1</v>
      </c>
      <c r="C69">
        <v>1</v>
      </c>
      <c r="D69" s="5">
        <v>45681</v>
      </c>
      <c r="E69" s="5">
        <v>45681</v>
      </c>
      <c r="F69" t="s">
        <v>11</v>
      </c>
      <c r="G69" t="s">
        <v>12</v>
      </c>
      <c r="H69" t="s">
        <v>13</v>
      </c>
      <c r="I69" t="s">
        <v>16</v>
      </c>
      <c r="J69" t="s">
        <v>17</v>
      </c>
      <c r="K69">
        <v>14.5</v>
      </c>
    </row>
    <row r="70" spans="1:11">
      <c r="A70">
        <v>2025</v>
      </c>
      <c r="B70">
        <v>1</v>
      </c>
      <c r="C70">
        <v>1</v>
      </c>
      <c r="D70" s="5">
        <v>45681</v>
      </c>
      <c r="E70" s="5">
        <v>45681</v>
      </c>
      <c r="F70" t="s">
        <v>11</v>
      </c>
      <c r="G70" t="s">
        <v>12</v>
      </c>
      <c r="H70" t="s">
        <v>13</v>
      </c>
      <c r="I70" t="s">
        <v>19</v>
      </c>
      <c r="J70" t="s">
        <v>20</v>
      </c>
      <c r="K70">
        <v>9.3000000000000007</v>
      </c>
    </row>
    <row r="71" spans="1:11">
      <c r="A71">
        <v>2025</v>
      </c>
      <c r="B71">
        <v>1</v>
      </c>
      <c r="C71">
        <v>1</v>
      </c>
      <c r="D71" s="5">
        <v>45681</v>
      </c>
      <c r="E71" s="5">
        <v>45681</v>
      </c>
      <c r="F71" t="s">
        <v>21</v>
      </c>
      <c r="G71" t="s">
        <v>12</v>
      </c>
      <c r="H71" t="s">
        <v>13</v>
      </c>
      <c r="I71" t="s">
        <v>14</v>
      </c>
      <c r="J71" t="s">
        <v>24</v>
      </c>
      <c r="K71">
        <v>14.6</v>
      </c>
    </row>
    <row r="72" spans="1:11">
      <c r="A72">
        <v>2025</v>
      </c>
      <c r="B72">
        <v>1</v>
      </c>
      <c r="C72">
        <v>1</v>
      </c>
      <c r="D72" s="5">
        <v>45681</v>
      </c>
      <c r="E72" s="5">
        <v>45681</v>
      </c>
      <c r="F72" t="s">
        <v>21</v>
      </c>
      <c r="G72" t="s">
        <v>12</v>
      </c>
      <c r="H72" t="s">
        <v>13</v>
      </c>
      <c r="I72" t="s">
        <v>14</v>
      </c>
      <c r="J72" t="s">
        <v>23</v>
      </c>
      <c r="K72">
        <v>6.1</v>
      </c>
    </row>
    <row r="73" spans="1:11">
      <c r="A73">
        <v>2025</v>
      </c>
      <c r="B73">
        <v>1</v>
      </c>
      <c r="C73">
        <v>1</v>
      </c>
      <c r="D73" s="5">
        <v>45681</v>
      </c>
      <c r="E73" s="5">
        <v>45681</v>
      </c>
      <c r="F73" t="s">
        <v>21</v>
      </c>
      <c r="G73" t="s">
        <v>12</v>
      </c>
      <c r="H73" t="s">
        <v>13</v>
      </c>
      <c r="I73" t="s">
        <v>14</v>
      </c>
      <c r="J73" t="s">
        <v>57</v>
      </c>
      <c r="K73">
        <v>1</v>
      </c>
    </row>
    <row r="74" spans="1:11">
      <c r="A74">
        <v>2025</v>
      </c>
      <c r="B74">
        <v>1</v>
      </c>
      <c r="C74">
        <v>1</v>
      </c>
      <c r="D74" s="5">
        <v>45681</v>
      </c>
      <c r="E74" s="5">
        <v>45681</v>
      </c>
      <c r="F74" t="s">
        <v>21</v>
      </c>
      <c r="G74" t="s">
        <v>12</v>
      </c>
      <c r="H74" t="s">
        <v>13</v>
      </c>
      <c r="I74" t="s">
        <v>14</v>
      </c>
      <c r="J74" t="s">
        <v>42</v>
      </c>
      <c r="K74">
        <v>7.8</v>
      </c>
    </row>
    <row r="75" spans="1:11">
      <c r="A75">
        <v>2025</v>
      </c>
      <c r="B75">
        <v>1</v>
      </c>
      <c r="C75">
        <v>1</v>
      </c>
      <c r="D75" s="5">
        <v>45681</v>
      </c>
      <c r="E75" s="5">
        <v>45681</v>
      </c>
      <c r="F75" t="s">
        <v>21</v>
      </c>
      <c r="G75" t="s">
        <v>12</v>
      </c>
      <c r="H75" t="s">
        <v>13</v>
      </c>
      <c r="I75" t="s">
        <v>28</v>
      </c>
      <c r="J75" t="s">
        <v>58</v>
      </c>
      <c r="K75">
        <v>4.8</v>
      </c>
    </row>
    <row r="76" spans="1:11">
      <c r="A76">
        <v>2025</v>
      </c>
      <c r="B76">
        <v>1</v>
      </c>
      <c r="C76">
        <v>1</v>
      </c>
      <c r="D76" s="5">
        <v>45681</v>
      </c>
      <c r="E76" s="5">
        <v>45681</v>
      </c>
      <c r="F76" t="s">
        <v>21</v>
      </c>
      <c r="G76" t="s">
        <v>12</v>
      </c>
      <c r="H76" t="s">
        <v>13</v>
      </c>
      <c r="I76" t="s">
        <v>28</v>
      </c>
      <c r="J76" t="s">
        <v>29</v>
      </c>
      <c r="K76">
        <v>9.6999999999999993</v>
      </c>
    </row>
    <row r="77" spans="1:11">
      <c r="A77">
        <v>2025</v>
      </c>
      <c r="B77">
        <v>1</v>
      </c>
      <c r="C77">
        <v>1</v>
      </c>
      <c r="D77" s="5">
        <v>45681</v>
      </c>
      <c r="E77" s="5">
        <v>45681</v>
      </c>
      <c r="F77" t="s">
        <v>25</v>
      </c>
      <c r="G77" t="s">
        <v>12</v>
      </c>
      <c r="H77" t="s">
        <v>13</v>
      </c>
      <c r="I77" t="s">
        <v>14</v>
      </c>
      <c r="J77" t="s">
        <v>37</v>
      </c>
      <c r="K77">
        <v>0.5</v>
      </c>
    </row>
    <row r="78" spans="1:11">
      <c r="A78">
        <v>2025</v>
      </c>
      <c r="B78">
        <v>1</v>
      </c>
      <c r="C78">
        <v>1</v>
      </c>
      <c r="D78" s="5">
        <v>45681</v>
      </c>
      <c r="E78" s="5">
        <v>45681</v>
      </c>
      <c r="F78" t="s">
        <v>25</v>
      </c>
      <c r="G78" t="s">
        <v>12</v>
      </c>
      <c r="H78" t="s">
        <v>13</v>
      </c>
      <c r="I78" t="s">
        <v>28</v>
      </c>
      <c r="J78" t="s">
        <v>29</v>
      </c>
      <c r="K78">
        <v>0.5</v>
      </c>
    </row>
    <row r="79" spans="1:11">
      <c r="A79">
        <v>2025</v>
      </c>
      <c r="B79">
        <v>1</v>
      </c>
      <c r="C79">
        <v>1</v>
      </c>
      <c r="D79" s="5">
        <v>45681</v>
      </c>
      <c r="E79" s="5">
        <v>45681</v>
      </c>
      <c r="F79" t="s">
        <v>25</v>
      </c>
      <c r="G79" t="s">
        <v>12</v>
      </c>
      <c r="H79" t="s">
        <v>13</v>
      </c>
      <c r="I79" t="s">
        <v>44</v>
      </c>
      <c r="J79" t="s">
        <v>45</v>
      </c>
      <c r="K79">
        <v>16.8</v>
      </c>
    </row>
    <row r="80" spans="1:11">
      <c r="A80">
        <v>2025</v>
      </c>
      <c r="B80">
        <v>1</v>
      </c>
      <c r="C80">
        <v>1</v>
      </c>
      <c r="D80" s="5">
        <v>45681</v>
      </c>
      <c r="E80" s="5">
        <v>45681</v>
      </c>
      <c r="F80" t="s">
        <v>25</v>
      </c>
      <c r="G80" t="s">
        <v>12</v>
      </c>
      <c r="H80" t="s">
        <v>13</v>
      </c>
      <c r="I80" t="s">
        <v>38</v>
      </c>
      <c r="J80" t="s">
        <v>46</v>
      </c>
      <c r="K80">
        <v>6.2</v>
      </c>
    </row>
    <row r="81" spans="1:11">
      <c r="A81">
        <v>2025</v>
      </c>
      <c r="B81">
        <v>1</v>
      </c>
      <c r="C81">
        <v>1</v>
      </c>
      <c r="D81" s="5">
        <v>45681</v>
      </c>
      <c r="E81" s="5">
        <v>45681</v>
      </c>
      <c r="F81" t="s">
        <v>25</v>
      </c>
      <c r="G81" t="s">
        <v>12</v>
      </c>
      <c r="H81" t="s">
        <v>13</v>
      </c>
      <c r="I81" t="s">
        <v>30</v>
      </c>
      <c r="J81" t="s">
        <v>53</v>
      </c>
      <c r="K81">
        <v>1</v>
      </c>
    </row>
    <row r="82" spans="1:11">
      <c r="A82">
        <v>2025</v>
      </c>
      <c r="B82">
        <v>1</v>
      </c>
      <c r="C82">
        <v>1</v>
      </c>
      <c r="D82" s="5">
        <v>45681</v>
      </c>
      <c r="E82" s="5">
        <v>45681</v>
      </c>
      <c r="F82" t="s">
        <v>25</v>
      </c>
      <c r="G82" t="s">
        <v>12</v>
      </c>
      <c r="H82" t="s">
        <v>13</v>
      </c>
      <c r="I82" t="s">
        <v>30</v>
      </c>
      <c r="J82" t="s">
        <v>31</v>
      </c>
      <c r="K82">
        <v>5.5</v>
      </c>
    </row>
    <row r="83" spans="1:11">
      <c r="A83">
        <v>2025</v>
      </c>
      <c r="B83">
        <v>1</v>
      </c>
      <c r="C83">
        <v>1</v>
      </c>
      <c r="D83" s="5">
        <v>45681</v>
      </c>
      <c r="E83" s="5">
        <v>45681</v>
      </c>
      <c r="F83" t="s">
        <v>25</v>
      </c>
      <c r="G83" t="s">
        <v>12</v>
      </c>
      <c r="H83" t="s">
        <v>13</v>
      </c>
      <c r="I83" t="s">
        <v>30</v>
      </c>
      <c r="J83" t="s">
        <v>59</v>
      </c>
      <c r="K83">
        <v>2</v>
      </c>
    </row>
    <row r="84" spans="1:11">
      <c r="A84">
        <v>2025</v>
      </c>
      <c r="B84">
        <v>1</v>
      </c>
      <c r="C84">
        <v>2</v>
      </c>
      <c r="D84" s="5">
        <v>45695</v>
      </c>
      <c r="E84" s="5">
        <v>45688</v>
      </c>
      <c r="F84" t="s">
        <v>32</v>
      </c>
      <c r="G84" t="s">
        <v>12</v>
      </c>
      <c r="H84" t="s">
        <v>13</v>
      </c>
      <c r="I84" t="s">
        <v>14</v>
      </c>
      <c r="J84" t="s">
        <v>34</v>
      </c>
      <c r="K84">
        <v>38</v>
      </c>
    </row>
    <row r="85" spans="1:11">
      <c r="A85">
        <v>2025</v>
      </c>
      <c r="B85">
        <v>1</v>
      </c>
      <c r="C85">
        <v>2</v>
      </c>
      <c r="D85" s="5">
        <v>45695</v>
      </c>
      <c r="E85" s="5">
        <v>45688</v>
      </c>
      <c r="F85" t="s">
        <v>11</v>
      </c>
      <c r="G85" t="s">
        <v>12</v>
      </c>
      <c r="H85" t="s">
        <v>13</v>
      </c>
      <c r="I85" t="s">
        <v>14</v>
      </c>
      <c r="J85" t="s">
        <v>27</v>
      </c>
      <c r="K85">
        <v>0.7</v>
      </c>
    </row>
    <row r="86" spans="1:11">
      <c r="A86">
        <v>2025</v>
      </c>
      <c r="B86">
        <v>1</v>
      </c>
      <c r="C86">
        <v>2</v>
      </c>
      <c r="D86" s="5">
        <v>45695</v>
      </c>
      <c r="E86" s="5">
        <v>45688</v>
      </c>
      <c r="F86" t="s">
        <v>11</v>
      </c>
      <c r="G86" t="s">
        <v>12</v>
      </c>
      <c r="H86" t="s">
        <v>13</v>
      </c>
      <c r="I86" t="s">
        <v>14</v>
      </c>
      <c r="J86" t="s">
        <v>56</v>
      </c>
      <c r="K86">
        <v>1.1000000000000001</v>
      </c>
    </row>
    <row r="87" spans="1:11">
      <c r="A87">
        <v>2025</v>
      </c>
      <c r="B87">
        <v>1</v>
      </c>
      <c r="C87">
        <v>2</v>
      </c>
      <c r="D87" s="5">
        <v>45695</v>
      </c>
      <c r="E87" s="5">
        <v>45688</v>
      </c>
      <c r="F87" t="s">
        <v>11</v>
      </c>
      <c r="G87" t="s">
        <v>12</v>
      </c>
      <c r="H87" t="s">
        <v>13</v>
      </c>
      <c r="I87" t="s">
        <v>14</v>
      </c>
      <c r="J87" t="s">
        <v>37</v>
      </c>
      <c r="K87">
        <v>6.4</v>
      </c>
    </row>
    <row r="88" spans="1:11">
      <c r="A88">
        <v>2025</v>
      </c>
      <c r="B88">
        <v>1</v>
      </c>
      <c r="C88">
        <v>2</v>
      </c>
      <c r="D88" s="5">
        <v>45695</v>
      </c>
      <c r="E88" s="5">
        <v>45688</v>
      </c>
      <c r="F88" t="s">
        <v>11</v>
      </c>
      <c r="G88" t="s">
        <v>12</v>
      </c>
      <c r="H88" t="s">
        <v>13</v>
      </c>
      <c r="I88" t="s">
        <v>14</v>
      </c>
      <c r="J88" t="s">
        <v>15</v>
      </c>
      <c r="K88">
        <v>4.8</v>
      </c>
    </row>
    <row r="89" spans="1:11">
      <c r="A89">
        <v>2025</v>
      </c>
      <c r="B89">
        <v>1</v>
      </c>
      <c r="C89">
        <v>2</v>
      </c>
      <c r="D89" s="5">
        <v>45695</v>
      </c>
      <c r="E89" s="5">
        <v>45688</v>
      </c>
      <c r="F89" t="s">
        <v>11</v>
      </c>
      <c r="G89" t="s">
        <v>12</v>
      </c>
      <c r="H89" t="s">
        <v>13</v>
      </c>
      <c r="I89" t="s">
        <v>44</v>
      </c>
      <c r="J89" t="s">
        <v>60</v>
      </c>
      <c r="K89">
        <v>2</v>
      </c>
    </row>
    <row r="90" spans="1:11">
      <c r="A90">
        <v>2025</v>
      </c>
      <c r="B90">
        <v>1</v>
      </c>
      <c r="C90">
        <v>2</v>
      </c>
      <c r="D90" s="5">
        <v>45695</v>
      </c>
      <c r="E90" s="5">
        <v>45688</v>
      </c>
      <c r="F90" t="s">
        <v>11</v>
      </c>
      <c r="G90" t="s">
        <v>12</v>
      </c>
      <c r="H90" t="s">
        <v>13</v>
      </c>
      <c r="I90" t="s">
        <v>16</v>
      </c>
      <c r="J90" t="s">
        <v>17</v>
      </c>
      <c r="K90">
        <v>4</v>
      </c>
    </row>
    <row r="91" spans="1:11">
      <c r="A91">
        <v>2025</v>
      </c>
      <c r="B91">
        <v>1</v>
      </c>
      <c r="C91">
        <v>2</v>
      </c>
      <c r="D91" s="5">
        <v>45695</v>
      </c>
      <c r="E91" s="5">
        <v>45688</v>
      </c>
      <c r="F91" t="s">
        <v>11</v>
      </c>
      <c r="G91" t="s">
        <v>12</v>
      </c>
      <c r="H91" t="s">
        <v>13</v>
      </c>
      <c r="I91" t="s">
        <v>16</v>
      </c>
      <c r="J91" t="s">
        <v>61</v>
      </c>
      <c r="K91">
        <v>5.3</v>
      </c>
    </row>
    <row r="92" spans="1:11">
      <c r="A92">
        <v>2025</v>
      </c>
      <c r="B92">
        <v>1</v>
      </c>
      <c r="C92">
        <v>2</v>
      </c>
      <c r="D92" s="5">
        <v>45695</v>
      </c>
      <c r="E92" s="5">
        <v>45688</v>
      </c>
      <c r="F92" t="s">
        <v>21</v>
      </c>
      <c r="G92" t="s">
        <v>12</v>
      </c>
      <c r="H92" t="s">
        <v>13</v>
      </c>
      <c r="I92" t="s">
        <v>14</v>
      </c>
      <c r="J92" t="s">
        <v>24</v>
      </c>
      <c r="K92">
        <v>5.6</v>
      </c>
    </row>
    <row r="93" spans="1:11">
      <c r="A93">
        <v>2025</v>
      </c>
      <c r="B93">
        <v>1</v>
      </c>
      <c r="C93">
        <v>2</v>
      </c>
      <c r="D93" s="5">
        <v>45695</v>
      </c>
      <c r="E93" s="5">
        <v>45688</v>
      </c>
      <c r="F93" t="s">
        <v>21</v>
      </c>
      <c r="G93" t="s">
        <v>12</v>
      </c>
      <c r="H93" t="s">
        <v>13</v>
      </c>
      <c r="I93" t="s">
        <v>14</v>
      </c>
      <c r="J93" t="s">
        <v>42</v>
      </c>
      <c r="K93">
        <v>17.100000000000001</v>
      </c>
    </row>
    <row r="94" spans="1:11">
      <c r="A94">
        <v>2025</v>
      </c>
      <c r="B94">
        <v>1</v>
      </c>
      <c r="C94">
        <v>2</v>
      </c>
      <c r="D94" s="5">
        <v>45695</v>
      </c>
      <c r="E94" s="5">
        <v>45688</v>
      </c>
      <c r="F94" t="s">
        <v>21</v>
      </c>
      <c r="G94" t="s">
        <v>12</v>
      </c>
      <c r="H94" t="s">
        <v>13</v>
      </c>
      <c r="I94" t="s">
        <v>28</v>
      </c>
      <c r="J94" t="s">
        <v>58</v>
      </c>
      <c r="K94">
        <v>8.6</v>
      </c>
    </row>
    <row r="95" spans="1:11">
      <c r="A95">
        <v>2025</v>
      </c>
      <c r="B95">
        <v>1</v>
      </c>
      <c r="C95">
        <v>2</v>
      </c>
      <c r="D95" s="5">
        <v>45695</v>
      </c>
      <c r="E95" s="5">
        <v>45688</v>
      </c>
      <c r="F95" t="s">
        <v>21</v>
      </c>
      <c r="G95" t="s">
        <v>12</v>
      </c>
      <c r="H95" t="s">
        <v>13</v>
      </c>
      <c r="I95" t="s">
        <v>28</v>
      </c>
      <c r="J95" t="s">
        <v>29</v>
      </c>
      <c r="K95">
        <v>12.5</v>
      </c>
    </row>
    <row r="96" spans="1:11">
      <c r="A96">
        <v>2025</v>
      </c>
      <c r="B96">
        <v>1</v>
      </c>
      <c r="C96">
        <v>2</v>
      </c>
      <c r="D96" s="5">
        <v>45695</v>
      </c>
      <c r="E96" s="5">
        <v>45688</v>
      </c>
      <c r="F96" t="s">
        <v>25</v>
      </c>
      <c r="G96" t="s">
        <v>12</v>
      </c>
      <c r="H96" t="s">
        <v>13</v>
      </c>
      <c r="I96" t="s">
        <v>28</v>
      </c>
      <c r="J96" t="s">
        <v>29</v>
      </c>
      <c r="K96">
        <v>0.5</v>
      </c>
    </row>
    <row r="97" spans="1:11">
      <c r="A97">
        <v>2025</v>
      </c>
      <c r="B97">
        <v>1</v>
      </c>
      <c r="C97">
        <v>2</v>
      </c>
      <c r="D97" s="5">
        <v>45695</v>
      </c>
      <c r="E97" s="5">
        <v>45688</v>
      </c>
      <c r="F97" t="s">
        <v>25</v>
      </c>
      <c r="G97" t="s">
        <v>12</v>
      </c>
      <c r="H97" t="s">
        <v>13</v>
      </c>
      <c r="I97" t="s">
        <v>44</v>
      </c>
      <c r="J97" t="s">
        <v>45</v>
      </c>
      <c r="K97">
        <v>5.4</v>
      </c>
    </row>
    <row r="98" spans="1:11">
      <c r="A98">
        <v>2025</v>
      </c>
      <c r="B98">
        <v>1</v>
      </c>
      <c r="C98">
        <v>2</v>
      </c>
      <c r="D98" s="5">
        <v>45695</v>
      </c>
      <c r="E98" s="5">
        <v>45688</v>
      </c>
      <c r="F98" t="s">
        <v>25</v>
      </c>
      <c r="G98" t="s">
        <v>12</v>
      </c>
      <c r="H98" t="s">
        <v>13</v>
      </c>
      <c r="I98" t="s">
        <v>38</v>
      </c>
      <c r="J98" t="s">
        <v>46</v>
      </c>
      <c r="K98">
        <v>1.4</v>
      </c>
    </row>
    <row r="99" spans="1:11">
      <c r="A99">
        <v>2025</v>
      </c>
      <c r="B99">
        <v>1</v>
      </c>
      <c r="C99">
        <v>2</v>
      </c>
      <c r="D99" s="5">
        <v>45695</v>
      </c>
      <c r="E99" s="5">
        <v>45688</v>
      </c>
      <c r="F99" t="s">
        <v>25</v>
      </c>
      <c r="G99" t="s">
        <v>12</v>
      </c>
      <c r="H99" t="s">
        <v>13</v>
      </c>
      <c r="I99" t="s">
        <v>38</v>
      </c>
      <c r="J99" t="s">
        <v>52</v>
      </c>
      <c r="K99">
        <v>0.4</v>
      </c>
    </row>
    <row r="100" spans="1:11">
      <c r="A100">
        <v>2025</v>
      </c>
      <c r="B100">
        <v>1</v>
      </c>
      <c r="C100">
        <v>2</v>
      </c>
      <c r="D100" s="5">
        <v>45695</v>
      </c>
      <c r="E100" s="5">
        <v>45688</v>
      </c>
      <c r="F100" t="s">
        <v>25</v>
      </c>
      <c r="G100" t="s">
        <v>12</v>
      </c>
      <c r="H100" t="s">
        <v>13</v>
      </c>
      <c r="I100" t="s">
        <v>30</v>
      </c>
      <c r="J100" t="s">
        <v>31</v>
      </c>
      <c r="K100">
        <v>12</v>
      </c>
    </row>
    <row r="101" spans="1:11">
      <c r="A101">
        <v>2025</v>
      </c>
      <c r="B101">
        <v>1</v>
      </c>
      <c r="C101">
        <v>2</v>
      </c>
      <c r="D101" s="5">
        <v>45695</v>
      </c>
      <c r="E101" s="5">
        <v>45695</v>
      </c>
      <c r="F101" t="s">
        <v>32</v>
      </c>
      <c r="G101" t="s">
        <v>12</v>
      </c>
      <c r="H101" t="s">
        <v>13</v>
      </c>
      <c r="I101" t="s">
        <v>14</v>
      </c>
      <c r="J101" t="s">
        <v>54</v>
      </c>
      <c r="K101">
        <v>33</v>
      </c>
    </row>
    <row r="102" spans="1:11">
      <c r="A102">
        <v>2025</v>
      </c>
      <c r="B102">
        <v>1</v>
      </c>
      <c r="C102">
        <v>2</v>
      </c>
      <c r="D102" s="5">
        <v>45695</v>
      </c>
      <c r="E102" s="5">
        <v>45695</v>
      </c>
      <c r="F102" t="s">
        <v>32</v>
      </c>
      <c r="G102" t="s">
        <v>12</v>
      </c>
      <c r="H102" t="s">
        <v>13</v>
      </c>
      <c r="I102" t="s">
        <v>44</v>
      </c>
      <c r="J102" t="s">
        <v>47</v>
      </c>
      <c r="K102">
        <v>7</v>
      </c>
    </row>
    <row r="103" spans="1:11">
      <c r="A103">
        <v>2025</v>
      </c>
      <c r="B103">
        <v>1</v>
      </c>
      <c r="C103">
        <v>2</v>
      </c>
      <c r="D103" s="5">
        <v>45695</v>
      </c>
      <c r="E103" s="5">
        <v>45695</v>
      </c>
      <c r="F103" t="s">
        <v>32</v>
      </c>
      <c r="G103" t="s">
        <v>12</v>
      </c>
      <c r="H103" t="s">
        <v>13</v>
      </c>
      <c r="I103" t="s">
        <v>44</v>
      </c>
      <c r="J103" t="s">
        <v>48</v>
      </c>
      <c r="K103">
        <v>2</v>
      </c>
    </row>
    <row r="104" spans="1:11">
      <c r="A104">
        <v>2025</v>
      </c>
      <c r="B104">
        <v>1</v>
      </c>
      <c r="C104">
        <v>2</v>
      </c>
      <c r="D104" s="5">
        <v>45695</v>
      </c>
      <c r="E104" s="5">
        <v>45695</v>
      </c>
      <c r="F104" t="s">
        <v>11</v>
      </c>
      <c r="G104" t="s">
        <v>12</v>
      </c>
      <c r="H104" t="s">
        <v>13</v>
      </c>
      <c r="I104" t="s">
        <v>14</v>
      </c>
      <c r="J104" t="s">
        <v>56</v>
      </c>
      <c r="K104">
        <v>1.3</v>
      </c>
    </row>
    <row r="105" spans="1:11">
      <c r="A105">
        <v>2025</v>
      </c>
      <c r="B105">
        <v>1</v>
      </c>
      <c r="C105">
        <v>2</v>
      </c>
      <c r="D105" s="5">
        <v>45695</v>
      </c>
      <c r="E105" s="5">
        <v>45695</v>
      </c>
      <c r="F105" t="s">
        <v>11</v>
      </c>
      <c r="G105" t="s">
        <v>12</v>
      </c>
      <c r="H105" t="s">
        <v>13</v>
      </c>
      <c r="I105" t="s">
        <v>14</v>
      </c>
      <c r="J105" t="s">
        <v>37</v>
      </c>
      <c r="K105">
        <v>1</v>
      </c>
    </row>
    <row r="106" spans="1:11">
      <c r="A106">
        <v>2025</v>
      </c>
      <c r="B106">
        <v>1</v>
      </c>
      <c r="C106">
        <v>2</v>
      </c>
      <c r="D106" s="5">
        <v>45695</v>
      </c>
      <c r="E106" s="5">
        <v>45695</v>
      </c>
      <c r="F106" t="s">
        <v>11</v>
      </c>
      <c r="G106" t="s">
        <v>12</v>
      </c>
      <c r="H106" t="s">
        <v>13</v>
      </c>
      <c r="I106" t="s">
        <v>14</v>
      </c>
      <c r="J106" t="s">
        <v>15</v>
      </c>
      <c r="K106">
        <v>3.5</v>
      </c>
    </row>
    <row r="107" spans="1:11">
      <c r="A107">
        <v>2025</v>
      </c>
      <c r="B107">
        <v>1</v>
      </c>
      <c r="C107">
        <v>2</v>
      </c>
      <c r="D107" s="5">
        <v>45695</v>
      </c>
      <c r="E107" s="5">
        <v>45695</v>
      </c>
      <c r="F107" t="s">
        <v>11</v>
      </c>
      <c r="G107" t="s">
        <v>12</v>
      </c>
      <c r="H107" t="s">
        <v>13</v>
      </c>
      <c r="I107" t="s">
        <v>44</v>
      </c>
      <c r="J107" t="s">
        <v>45</v>
      </c>
      <c r="K107">
        <v>0.6</v>
      </c>
    </row>
    <row r="108" spans="1:11">
      <c r="A108">
        <v>2025</v>
      </c>
      <c r="B108">
        <v>1</v>
      </c>
      <c r="C108">
        <v>2</v>
      </c>
      <c r="D108" s="5">
        <v>45695</v>
      </c>
      <c r="E108" s="5">
        <v>45695</v>
      </c>
      <c r="F108" t="s">
        <v>11</v>
      </c>
      <c r="G108" t="s">
        <v>12</v>
      </c>
      <c r="H108" t="s">
        <v>13</v>
      </c>
      <c r="I108" t="s">
        <v>16</v>
      </c>
      <c r="J108" t="s">
        <v>17</v>
      </c>
      <c r="K108">
        <v>34.200000000000003</v>
      </c>
    </row>
    <row r="109" spans="1:11">
      <c r="A109">
        <v>2025</v>
      </c>
      <c r="B109">
        <v>1</v>
      </c>
      <c r="C109">
        <v>2</v>
      </c>
      <c r="D109" s="5">
        <v>45695</v>
      </c>
      <c r="E109" s="5">
        <v>45695</v>
      </c>
      <c r="F109" t="s">
        <v>21</v>
      </c>
      <c r="G109" t="s">
        <v>12</v>
      </c>
      <c r="H109" t="s">
        <v>13</v>
      </c>
      <c r="I109" t="s">
        <v>14</v>
      </c>
      <c r="J109" t="s">
        <v>24</v>
      </c>
      <c r="K109">
        <v>16.7</v>
      </c>
    </row>
    <row r="110" spans="1:11">
      <c r="A110">
        <v>2025</v>
      </c>
      <c r="B110">
        <v>1</v>
      </c>
      <c r="C110">
        <v>2</v>
      </c>
      <c r="D110" s="5">
        <v>45695</v>
      </c>
      <c r="E110" s="5">
        <v>45695</v>
      </c>
      <c r="F110" t="s">
        <v>21</v>
      </c>
      <c r="G110" t="s">
        <v>12</v>
      </c>
      <c r="H110" t="s">
        <v>13</v>
      </c>
      <c r="I110" t="s">
        <v>14</v>
      </c>
      <c r="J110" t="s">
        <v>57</v>
      </c>
      <c r="K110">
        <v>1.5</v>
      </c>
    </row>
    <row r="111" spans="1:11">
      <c r="A111">
        <v>2025</v>
      </c>
      <c r="B111">
        <v>1</v>
      </c>
      <c r="C111">
        <v>2</v>
      </c>
      <c r="D111" s="5">
        <v>45695</v>
      </c>
      <c r="E111" s="5">
        <v>45695</v>
      </c>
      <c r="F111" t="s">
        <v>21</v>
      </c>
      <c r="G111" t="s">
        <v>12</v>
      </c>
      <c r="H111" t="s">
        <v>13</v>
      </c>
      <c r="I111" t="s">
        <v>14</v>
      </c>
      <c r="J111" t="s">
        <v>42</v>
      </c>
      <c r="K111">
        <v>11.8</v>
      </c>
    </row>
    <row r="112" spans="1:11">
      <c r="A112">
        <v>2025</v>
      </c>
      <c r="B112">
        <v>1</v>
      </c>
      <c r="C112">
        <v>2</v>
      </c>
      <c r="D112" s="5">
        <v>45695</v>
      </c>
      <c r="E112" s="5">
        <v>45695</v>
      </c>
      <c r="F112" t="s">
        <v>21</v>
      </c>
      <c r="G112" t="s">
        <v>12</v>
      </c>
      <c r="H112" t="s">
        <v>13</v>
      </c>
      <c r="I112" t="s">
        <v>28</v>
      </c>
      <c r="J112" t="s">
        <v>58</v>
      </c>
      <c r="K112">
        <v>3.8</v>
      </c>
    </row>
    <row r="113" spans="1:11">
      <c r="A113">
        <v>2025</v>
      </c>
      <c r="B113">
        <v>1</v>
      </c>
      <c r="C113">
        <v>2</v>
      </c>
      <c r="D113" s="5">
        <v>45695</v>
      </c>
      <c r="E113" s="5">
        <v>45695</v>
      </c>
      <c r="F113" t="s">
        <v>21</v>
      </c>
      <c r="G113" t="s">
        <v>12</v>
      </c>
      <c r="H113" t="s">
        <v>13</v>
      </c>
      <c r="I113" t="s">
        <v>28</v>
      </c>
      <c r="J113" t="s">
        <v>29</v>
      </c>
      <c r="K113">
        <v>5.4</v>
      </c>
    </row>
    <row r="114" spans="1:11">
      <c r="A114">
        <v>2025</v>
      </c>
      <c r="B114">
        <v>1</v>
      </c>
      <c r="C114">
        <v>2</v>
      </c>
      <c r="D114" s="5">
        <v>45695</v>
      </c>
      <c r="E114" s="5">
        <v>45695</v>
      </c>
      <c r="F114" t="s">
        <v>25</v>
      </c>
      <c r="G114" t="s">
        <v>12</v>
      </c>
      <c r="H114" t="s">
        <v>13</v>
      </c>
      <c r="I114" t="s">
        <v>14</v>
      </c>
      <c r="J114" t="s">
        <v>37</v>
      </c>
      <c r="K114">
        <v>0.4</v>
      </c>
    </row>
    <row r="115" spans="1:11">
      <c r="A115">
        <v>2025</v>
      </c>
      <c r="B115">
        <v>1</v>
      </c>
      <c r="C115">
        <v>2</v>
      </c>
      <c r="D115" s="5">
        <v>45695</v>
      </c>
      <c r="E115" s="5">
        <v>45695</v>
      </c>
      <c r="F115" t="s">
        <v>25</v>
      </c>
      <c r="G115" t="s">
        <v>12</v>
      </c>
      <c r="H115" t="s">
        <v>13</v>
      </c>
      <c r="I115" t="s">
        <v>28</v>
      </c>
      <c r="J115" t="s">
        <v>29</v>
      </c>
      <c r="K115">
        <v>1.5</v>
      </c>
    </row>
    <row r="116" spans="1:11">
      <c r="A116">
        <v>2025</v>
      </c>
      <c r="B116">
        <v>1</v>
      </c>
      <c r="C116">
        <v>2</v>
      </c>
      <c r="D116" s="5">
        <v>45695</v>
      </c>
      <c r="E116" s="5">
        <v>45695</v>
      </c>
      <c r="F116" t="s">
        <v>25</v>
      </c>
      <c r="G116" t="s">
        <v>12</v>
      </c>
      <c r="H116" t="s">
        <v>13</v>
      </c>
      <c r="I116" t="s">
        <v>44</v>
      </c>
      <c r="J116" t="s">
        <v>45</v>
      </c>
      <c r="K116">
        <v>16.7</v>
      </c>
    </row>
    <row r="117" spans="1:11">
      <c r="A117">
        <v>2025</v>
      </c>
      <c r="B117">
        <v>1</v>
      </c>
      <c r="C117">
        <v>2</v>
      </c>
      <c r="D117" s="5">
        <v>45695</v>
      </c>
      <c r="E117" s="5">
        <v>45695</v>
      </c>
      <c r="F117" t="s">
        <v>25</v>
      </c>
      <c r="G117" t="s">
        <v>12</v>
      </c>
      <c r="H117" t="s">
        <v>13</v>
      </c>
      <c r="I117" t="s">
        <v>38</v>
      </c>
      <c r="J117" t="s">
        <v>46</v>
      </c>
      <c r="K117">
        <v>7.6</v>
      </c>
    </row>
    <row r="118" spans="1:11">
      <c r="A118">
        <v>2025</v>
      </c>
      <c r="B118">
        <v>1</v>
      </c>
      <c r="C118">
        <v>2</v>
      </c>
      <c r="D118" s="5">
        <v>45695</v>
      </c>
      <c r="E118" s="5">
        <v>45695</v>
      </c>
      <c r="F118" t="s">
        <v>25</v>
      </c>
      <c r="G118" t="s">
        <v>12</v>
      </c>
      <c r="H118" t="s">
        <v>13</v>
      </c>
      <c r="I118" t="s">
        <v>38</v>
      </c>
      <c r="J118" t="s">
        <v>51</v>
      </c>
      <c r="K118">
        <v>0.8</v>
      </c>
    </row>
    <row r="119" spans="1:11">
      <c r="A119">
        <v>2025</v>
      </c>
      <c r="B119">
        <v>1</v>
      </c>
      <c r="C119">
        <v>2</v>
      </c>
      <c r="D119" s="5">
        <v>45695</v>
      </c>
      <c r="E119" s="5">
        <v>45695</v>
      </c>
      <c r="F119" t="s">
        <v>25</v>
      </c>
      <c r="G119" t="s">
        <v>12</v>
      </c>
      <c r="H119" t="s">
        <v>13</v>
      </c>
      <c r="I119" t="s">
        <v>38</v>
      </c>
      <c r="J119" t="s">
        <v>52</v>
      </c>
      <c r="K119">
        <v>3.4</v>
      </c>
    </row>
    <row r="120" spans="1:11">
      <c r="A120">
        <v>2025</v>
      </c>
      <c r="B120">
        <v>1</v>
      </c>
      <c r="C120">
        <v>2</v>
      </c>
      <c r="D120" s="5">
        <v>45695</v>
      </c>
      <c r="E120" s="5">
        <v>45695</v>
      </c>
      <c r="F120" t="s">
        <v>25</v>
      </c>
      <c r="G120" t="s">
        <v>12</v>
      </c>
      <c r="H120" t="s">
        <v>13</v>
      </c>
      <c r="I120" t="s">
        <v>30</v>
      </c>
      <c r="J120" t="s">
        <v>31</v>
      </c>
      <c r="K120">
        <v>21.1</v>
      </c>
    </row>
    <row r="121" spans="1:11">
      <c r="A121">
        <v>2025</v>
      </c>
      <c r="B121">
        <v>1</v>
      </c>
      <c r="C121">
        <v>2</v>
      </c>
      <c r="D121" s="5">
        <v>45695</v>
      </c>
      <c r="E121" s="5">
        <v>45695</v>
      </c>
      <c r="F121" t="s">
        <v>25</v>
      </c>
      <c r="G121" t="s">
        <v>12</v>
      </c>
      <c r="H121" t="s">
        <v>13</v>
      </c>
      <c r="I121" t="s">
        <v>30</v>
      </c>
      <c r="J121" t="s">
        <v>62</v>
      </c>
      <c r="K121">
        <v>2</v>
      </c>
    </row>
    <row r="122" spans="1:11">
      <c r="A122">
        <v>2025</v>
      </c>
      <c r="B122">
        <v>1</v>
      </c>
      <c r="C122">
        <v>2</v>
      </c>
      <c r="D122" s="5">
        <v>45709</v>
      </c>
      <c r="E122" s="5">
        <v>45702</v>
      </c>
      <c r="F122" t="s">
        <v>32</v>
      </c>
      <c r="G122" t="s">
        <v>12</v>
      </c>
      <c r="H122" t="s">
        <v>13</v>
      </c>
      <c r="I122" t="s">
        <v>14</v>
      </c>
      <c r="J122" t="s">
        <v>33</v>
      </c>
      <c r="K122">
        <v>1</v>
      </c>
    </row>
    <row r="123" spans="1:11">
      <c r="A123">
        <v>2025</v>
      </c>
      <c r="B123">
        <v>1</v>
      </c>
      <c r="C123">
        <v>2</v>
      </c>
      <c r="D123" s="5">
        <v>45709</v>
      </c>
      <c r="E123" s="5">
        <v>45702</v>
      </c>
      <c r="F123" t="s">
        <v>32</v>
      </c>
      <c r="G123" t="s">
        <v>12</v>
      </c>
      <c r="H123" t="s">
        <v>13</v>
      </c>
      <c r="I123" t="s">
        <v>14</v>
      </c>
      <c r="J123" t="s">
        <v>54</v>
      </c>
      <c r="K123">
        <v>9</v>
      </c>
    </row>
    <row r="124" spans="1:11">
      <c r="A124">
        <v>2025</v>
      </c>
      <c r="B124">
        <v>1</v>
      </c>
      <c r="C124">
        <v>2</v>
      </c>
      <c r="D124" s="5">
        <v>45709</v>
      </c>
      <c r="E124" s="5">
        <v>45702</v>
      </c>
      <c r="F124" t="s">
        <v>32</v>
      </c>
      <c r="G124" t="s">
        <v>12</v>
      </c>
      <c r="H124" t="s">
        <v>13</v>
      </c>
      <c r="I124" t="s">
        <v>44</v>
      </c>
      <c r="J124" t="s">
        <v>47</v>
      </c>
      <c r="K124">
        <v>1</v>
      </c>
    </row>
    <row r="125" spans="1:11">
      <c r="A125">
        <v>2025</v>
      </c>
      <c r="B125">
        <v>1</v>
      </c>
      <c r="C125">
        <v>2</v>
      </c>
      <c r="D125" s="5">
        <v>45709</v>
      </c>
      <c r="E125" s="5">
        <v>45702</v>
      </c>
      <c r="F125" t="s">
        <v>11</v>
      </c>
      <c r="G125" t="s">
        <v>12</v>
      </c>
      <c r="H125" t="s">
        <v>13</v>
      </c>
      <c r="I125" t="s">
        <v>14</v>
      </c>
      <c r="J125" t="s">
        <v>37</v>
      </c>
      <c r="K125">
        <v>0.6</v>
      </c>
    </row>
    <row r="126" spans="1:11">
      <c r="A126">
        <v>2025</v>
      </c>
      <c r="B126">
        <v>1</v>
      </c>
      <c r="C126">
        <v>2</v>
      </c>
      <c r="D126" s="5">
        <v>45709</v>
      </c>
      <c r="E126" s="5">
        <v>45702</v>
      </c>
      <c r="F126" t="s">
        <v>11</v>
      </c>
      <c r="G126" t="s">
        <v>12</v>
      </c>
      <c r="H126" t="s">
        <v>13</v>
      </c>
      <c r="I126" t="s">
        <v>14</v>
      </c>
      <c r="J126" t="s">
        <v>15</v>
      </c>
      <c r="K126">
        <v>7.7</v>
      </c>
    </row>
    <row r="127" spans="1:11">
      <c r="A127">
        <v>2025</v>
      </c>
      <c r="B127">
        <v>1</v>
      </c>
      <c r="C127">
        <v>2</v>
      </c>
      <c r="D127" s="5">
        <v>45709</v>
      </c>
      <c r="E127" s="5">
        <v>45702</v>
      </c>
      <c r="F127" t="s">
        <v>11</v>
      </c>
      <c r="G127" t="s">
        <v>12</v>
      </c>
      <c r="H127" t="s">
        <v>13</v>
      </c>
      <c r="I127" t="s">
        <v>28</v>
      </c>
      <c r="J127" t="s">
        <v>63</v>
      </c>
      <c r="K127">
        <v>3</v>
      </c>
    </row>
    <row r="128" spans="1:11">
      <c r="A128">
        <v>2025</v>
      </c>
      <c r="B128">
        <v>1</v>
      </c>
      <c r="C128">
        <v>2</v>
      </c>
      <c r="D128" s="5">
        <v>45709</v>
      </c>
      <c r="E128" s="5">
        <v>45702</v>
      </c>
      <c r="F128" t="s">
        <v>11</v>
      </c>
      <c r="G128" t="s">
        <v>12</v>
      </c>
      <c r="H128" t="s">
        <v>13</v>
      </c>
      <c r="I128" t="s">
        <v>44</v>
      </c>
      <c r="J128" t="s">
        <v>64</v>
      </c>
      <c r="K128">
        <v>1.4</v>
      </c>
    </row>
    <row r="129" spans="1:11">
      <c r="A129">
        <v>2025</v>
      </c>
      <c r="B129">
        <v>1</v>
      </c>
      <c r="C129">
        <v>2</v>
      </c>
      <c r="D129" s="5">
        <v>45709</v>
      </c>
      <c r="E129" s="5">
        <v>45702</v>
      </c>
      <c r="F129" t="s">
        <v>11</v>
      </c>
      <c r="G129" t="s">
        <v>12</v>
      </c>
      <c r="H129" t="s">
        <v>13</v>
      </c>
      <c r="I129" t="s">
        <v>16</v>
      </c>
      <c r="J129" t="s">
        <v>17</v>
      </c>
      <c r="K129">
        <v>16.5</v>
      </c>
    </row>
    <row r="130" spans="1:11">
      <c r="A130">
        <v>2025</v>
      </c>
      <c r="B130">
        <v>1</v>
      </c>
      <c r="C130">
        <v>2</v>
      </c>
      <c r="D130" s="5">
        <v>45709</v>
      </c>
      <c r="E130" s="5">
        <v>45702</v>
      </c>
      <c r="F130" t="s">
        <v>41</v>
      </c>
      <c r="G130" t="s">
        <v>12</v>
      </c>
      <c r="H130" t="s">
        <v>13</v>
      </c>
      <c r="I130" t="s">
        <v>16</v>
      </c>
      <c r="J130" t="s">
        <v>17</v>
      </c>
      <c r="K130">
        <v>3</v>
      </c>
    </row>
    <row r="131" spans="1:11">
      <c r="A131">
        <v>2025</v>
      </c>
      <c r="B131">
        <v>1</v>
      </c>
      <c r="C131">
        <v>2</v>
      </c>
      <c r="D131" s="5">
        <v>45709</v>
      </c>
      <c r="E131" s="5">
        <v>45702</v>
      </c>
      <c r="F131" t="s">
        <v>21</v>
      </c>
      <c r="G131" t="s">
        <v>12</v>
      </c>
      <c r="H131" t="s">
        <v>13</v>
      </c>
      <c r="I131" t="s">
        <v>14</v>
      </c>
      <c r="J131" t="s">
        <v>24</v>
      </c>
      <c r="K131">
        <v>10.5</v>
      </c>
    </row>
    <row r="132" spans="1:11">
      <c r="A132">
        <v>2025</v>
      </c>
      <c r="B132">
        <v>1</v>
      </c>
      <c r="C132">
        <v>2</v>
      </c>
      <c r="D132" s="5">
        <v>45709</v>
      </c>
      <c r="E132" s="5">
        <v>45702</v>
      </c>
      <c r="F132" t="s">
        <v>21</v>
      </c>
      <c r="G132" t="s">
        <v>12</v>
      </c>
      <c r="H132" t="s">
        <v>13</v>
      </c>
      <c r="I132" t="s">
        <v>14</v>
      </c>
      <c r="J132" t="s">
        <v>42</v>
      </c>
      <c r="K132">
        <v>18.100000000000001</v>
      </c>
    </row>
    <row r="133" spans="1:11">
      <c r="A133">
        <v>2025</v>
      </c>
      <c r="B133">
        <v>1</v>
      </c>
      <c r="C133">
        <v>2</v>
      </c>
      <c r="D133" s="5">
        <v>45709</v>
      </c>
      <c r="E133" s="5">
        <v>45702</v>
      </c>
      <c r="F133" t="s">
        <v>21</v>
      </c>
      <c r="G133" t="s">
        <v>12</v>
      </c>
      <c r="H133" t="s">
        <v>13</v>
      </c>
      <c r="I133" t="s">
        <v>28</v>
      </c>
      <c r="J133" t="s">
        <v>58</v>
      </c>
      <c r="K133">
        <v>12.6</v>
      </c>
    </row>
    <row r="134" spans="1:11">
      <c r="A134">
        <v>2025</v>
      </c>
      <c r="B134">
        <v>1</v>
      </c>
      <c r="C134">
        <v>2</v>
      </c>
      <c r="D134" s="5">
        <v>45709</v>
      </c>
      <c r="E134" s="5">
        <v>45702</v>
      </c>
      <c r="F134" t="s">
        <v>25</v>
      </c>
      <c r="G134" t="s">
        <v>12</v>
      </c>
      <c r="H134" t="s">
        <v>13</v>
      </c>
      <c r="I134" t="s">
        <v>14</v>
      </c>
      <c r="J134" t="s">
        <v>37</v>
      </c>
      <c r="K134">
        <v>0.4</v>
      </c>
    </row>
    <row r="135" spans="1:11">
      <c r="A135">
        <v>2025</v>
      </c>
      <c r="B135">
        <v>1</v>
      </c>
      <c r="C135">
        <v>2</v>
      </c>
      <c r="D135" s="5">
        <v>45709</v>
      </c>
      <c r="E135" s="5">
        <v>45702</v>
      </c>
      <c r="F135" t="s">
        <v>25</v>
      </c>
      <c r="G135" t="s">
        <v>12</v>
      </c>
      <c r="H135" t="s">
        <v>13</v>
      </c>
      <c r="I135" t="s">
        <v>28</v>
      </c>
      <c r="J135" t="s">
        <v>29</v>
      </c>
      <c r="K135">
        <v>0.5</v>
      </c>
    </row>
    <row r="136" spans="1:11">
      <c r="A136">
        <v>2025</v>
      </c>
      <c r="B136">
        <v>1</v>
      </c>
      <c r="C136">
        <v>2</v>
      </c>
      <c r="D136" s="5">
        <v>45709</v>
      </c>
      <c r="E136" s="5">
        <v>45702</v>
      </c>
      <c r="F136" t="s">
        <v>25</v>
      </c>
      <c r="G136" t="s">
        <v>12</v>
      </c>
      <c r="H136" t="s">
        <v>13</v>
      </c>
      <c r="I136" t="s">
        <v>44</v>
      </c>
      <c r="J136" t="s">
        <v>45</v>
      </c>
      <c r="K136">
        <v>4.4000000000000004</v>
      </c>
    </row>
    <row r="137" spans="1:11">
      <c r="A137">
        <v>2025</v>
      </c>
      <c r="B137">
        <v>1</v>
      </c>
      <c r="C137">
        <v>2</v>
      </c>
      <c r="D137" s="5">
        <v>45709</v>
      </c>
      <c r="E137" s="5">
        <v>45702</v>
      </c>
      <c r="F137" t="s">
        <v>25</v>
      </c>
      <c r="G137" t="s">
        <v>12</v>
      </c>
      <c r="H137" t="s">
        <v>13</v>
      </c>
      <c r="I137" t="s">
        <v>38</v>
      </c>
      <c r="J137" t="s">
        <v>46</v>
      </c>
      <c r="K137">
        <v>2.5</v>
      </c>
    </row>
    <row r="138" spans="1:11">
      <c r="A138">
        <v>2025</v>
      </c>
      <c r="B138">
        <v>1</v>
      </c>
      <c r="C138">
        <v>2</v>
      </c>
      <c r="D138" s="5">
        <v>45709</v>
      </c>
      <c r="E138" s="5">
        <v>45702</v>
      </c>
      <c r="F138" t="s">
        <v>25</v>
      </c>
      <c r="G138" t="s">
        <v>12</v>
      </c>
      <c r="H138" t="s">
        <v>13</v>
      </c>
      <c r="I138" t="s">
        <v>38</v>
      </c>
      <c r="J138" t="s">
        <v>51</v>
      </c>
      <c r="K138">
        <v>0.8</v>
      </c>
    </row>
    <row r="139" spans="1:11">
      <c r="A139">
        <v>2025</v>
      </c>
      <c r="B139">
        <v>1</v>
      </c>
      <c r="C139">
        <v>2</v>
      </c>
      <c r="D139" s="5">
        <v>45709</v>
      </c>
      <c r="E139" s="5">
        <v>45702</v>
      </c>
      <c r="F139" t="s">
        <v>25</v>
      </c>
      <c r="G139" t="s">
        <v>12</v>
      </c>
      <c r="H139" t="s">
        <v>13</v>
      </c>
      <c r="I139" t="s">
        <v>38</v>
      </c>
      <c r="J139" t="s">
        <v>52</v>
      </c>
      <c r="K139">
        <v>2.7</v>
      </c>
    </row>
    <row r="140" spans="1:11">
      <c r="A140">
        <v>2025</v>
      </c>
      <c r="B140">
        <v>1</v>
      </c>
      <c r="C140">
        <v>2</v>
      </c>
      <c r="D140" s="5">
        <v>45709</v>
      </c>
      <c r="E140" s="5">
        <v>45702</v>
      </c>
      <c r="F140" t="s">
        <v>25</v>
      </c>
      <c r="G140" t="s">
        <v>12</v>
      </c>
      <c r="H140" t="s">
        <v>13</v>
      </c>
      <c r="I140" t="s">
        <v>30</v>
      </c>
      <c r="J140" t="s">
        <v>31</v>
      </c>
      <c r="K140">
        <v>4</v>
      </c>
    </row>
    <row r="141" spans="1:11">
      <c r="A141">
        <v>2025</v>
      </c>
      <c r="B141">
        <v>1</v>
      </c>
      <c r="C141">
        <v>2</v>
      </c>
      <c r="D141" s="5">
        <v>45709</v>
      </c>
      <c r="E141" s="5">
        <v>45702</v>
      </c>
      <c r="F141" t="s">
        <v>25</v>
      </c>
      <c r="G141" t="s">
        <v>12</v>
      </c>
      <c r="H141" t="s">
        <v>13</v>
      </c>
      <c r="I141" t="s">
        <v>30</v>
      </c>
      <c r="J141" t="s">
        <v>62</v>
      </c>
      <c r="K141">
        <v>2.5</v>
      </c>
    </row>
    <row r="142" spans="1:11">
      <c r="A142">
        <v>2025</v>
      </c>
      <c r="B142">
        <v>1</v>
      </c>
      <c r="C142">
        <v>2</v>
      </c>
      <c r="D142" s="5">
        <v>45709</v>
      </c>
      <c r="E142" s="5">
        <v>45709</v>
      </c>
      <c r="F142" t="s">
        <v>32</v>
      </c>
      <c r="G142" t="s">
        <v>12</v>
      </c>
      <c r="H142" t="s">
        <v>13</v>
      </c>
      <c r="I142" t="s">
        <v>14</v>
      </c>
      <c r="J142" t="s">
        <v>54</v>
      </c>
      <c r="K142">
        <v>17.5</v>
      </c>
    </row>
    <row r="143" spans="1:11">
      <c r="A143">
        <v>2025</v>
      </c>
      <c r="B143">
        <v>1</v>
      </c>
      <c r="C143">
        <v>2</v>
      </c>
      <c r="D143" s="5">
        <v>45709</v>
      </c>
      <c r="E143" s="5">
        <v>45709</v>
      </c>
      <c r="F143" t="s">
        <v>32</v>
      </c>
      <c r="G143" t="s">
        <v>12</v>
      </c>
      <c r="H143" t="s">
        <v>13</v>
      </c>
      <c r="I143" t="s">
        <v>44</v>
      </c>
      <c r="J143" t="s">
        <v>47</v>
      </c>
      <c r="K143">
        <v>21.5</v>
      </c>
    </row>
    <row r="144" spans="1:11">
      <c r="A144">
        <v>2025</v>
      </c>
      <c r="B144">
        <v>1</v>
      </c>
      <c r="C144">
        <v>2</v>
      </c>
      <c r="D144" s="5">
        <v>45709</v>
      </c>
      <c r="E144" s="5">
        <v>45709</v>
      </c>
      <c r="F144" t="s">
        <v>32</v>
      </c>
      <c r="G144" t="s">
        <v>12</v>
      </c>
      <c r="H144" t="s">
        <v>13</v>
      </c>
      <c r="I144" t="s">
        <v>44</v>
      </c>
      <c r="J144" t="s">
        <v>48</v>
      </c>
      <c r="K144">
        <v>2.5</v>
      </c>
    </row>
    <row r="145" spans="1:11">
      <c r="A145">
        <v>2025</v>
      </c>
      <c r="B145">
        <v>1</v>
      </c>
      <c r="C145">
        <v>2</v>
      </c>
      <c r="D145" s="5">
        <v>45709</v>
      </c>
      <c r="E145" s="5">
        <v>45709</v>
      </c>
      <c r="F145" t="s">
        <v>32</v>
      </c>
      <c r="G145" t="s">
        <v>12</v>
      </c>
      <c r="H145" t="s">
        <v>13</v>
      </c>
      <c r="I145" t="s">
        <v>16</v>
      </c>
      <c r="J145" t="s">
        <v>17</v>
      </c>
      <c r="K145">
        <v>2.5</v>
      </c>
    </row>
    <row r="146" spans="1:11">
      <c r="A146">
        <v>2025</v>
      </c>
      <c r="B146">
        <v>1</v>
      </c>
      <c r="C146">
        <v>2</v>
      </c>
      <c r="D146" s="5">
        <v>45709</v>
      </c>
      <c r="E146" s="5">
        <v>45709</v>
      </c>
      <c r="F146" t="s">
        <v>11</v>
      </c>
      <c r="G146" t="s">
        <v>12</v>
      </c>
      <c r="H146" t="s">
        <v>13</v>
      </c>
      <c r="I146" t="s">
        <v>14</v>
      </c>
      <c r="J146" t="s">
        <v>37</v>
      </c>
      <c r="K146">
        <v>1</v>
      </c>
    </row>
    <row r="147" spans="1:11">
      <c r="A147">
        <v>2025</v>
      </c>
      <c r="B147">
        <v>1</v>
      </c>
      <c r="C147">
        <v>2</v>
      </c>
      <c r="D147" s="5">
        <v>45709</v>
      </c>
      <c r="E147" s="5">
        <v>45709</v>
      </c>
      <c r="F147" t="s">
        <v>11</v>
      </c>
      <c r="G147" t="s">
        <v>12</v>
      </c>
      <c r="H147" t="s">
        <v>13</v>
      </c>
      <c r="I147" t="s">
        <v>14</v>
      </c>
      <c r="J147" t="s">
        <v>15</v>
      </c>
      <c r="K147">
        <v>1.6</v>
      </c>
    </row>
    <row r="148" spans="1:11">
      <c r="A148">
        <v>2025</v>
      </c>
      <c r="B148">
        <v>1</v>
      </c>
      <c r="C148">
        <v>2</v>
      </c>
      <c r="D148" s="5">
        <v>45709</v>
      </c>
      <c r="E148" s="5">
        <v>45709</v>
      </c>
      <c r="F148" t="s">
        <v>11</v>
      </c>
      <c r="G148" t="s">
        <v>12</v>
      </c>
      <c r="H148" t="s">
        <v>13</v>
      </c>
      <c r="I148" t="s">
        <v>44</v>
      </c>
      <c r="J148" t="s">
        <v>64</v>
      </c>
      <c r="K148">
        <v>1.7</v>
      </c>
    </row>
    <row r="149" spans="1:11">
      <c r="A149">
        <v>2025</v>
      </c>
      <c r="B149">
        <v>1</v>
      </c>
      <c r="C149">
        <v>2</v>
      </c>
      <c r="D149" s="5">
        <v>45709</v>
      </c>
      <c r="E149" s="5">
        <v>45709</v>
      </c>
      <c r="F149" t="s">
        <v>11</v>
      </c>
      <c r="G149" t="s">
        <v>12</v>
      </c>
      <c r="H149" t="s">
        <v>13</v>
      </c>
      <c r="I149" t="s">
        <v>16</v>
      </c>
      <c r="J149" t="s">
        <v>17</v>
      </c>
      <c r="K149">
        <v>6.2</v>
      </c>
    </row>
    <row r="150" spans="1:11">
      <c r="A150">
        <v>2025</v>
      </c>
      <c r="B150">
        <v>1</v>
      </c>
      <c r="C150">
        <v>2</v>
      </c>
      <c r="D150" s="5">
        <v>45709</v>
      </c>
      <c r="E150" s="5">
        <v>45709</v>
      </c>
      <c r="F150" t="s">
        <v>11</v>
      </c>
      <c r="G150" t="s">
        <v>12</v>
      </c>
      <c r="H150" t="s">
        <v>13</v>
      </c>
      <c r="I150" t="s">
        <v>16</v>
      </c>
      <c r="J150" t="s">
        <v>61</v>
      </c>
      <c r="K150">
        <v>3.8</v>
      </c>
    </row>
    <row r="151" spans="1:11">
      <c r="A151">
        <v>2025</v>
      </c>
      <c r="B151">
        <v>1</v>
      </c>
      <c r="C151">
        <v>2</v>
      </c>
      <c r="D151" s="5">
        <v>45709</v>
      </c>
      <c r="E151" s="5">
        <v>45709</v>
      </c>
      <c r="F151" t="s">
        <v>21</v>
      </c>
      <c r="G151" t="s">
        <v>12</v>
      </c>
      <c r="H151" t="s">
        <v>13</v>
      </c>
      <c r="I151" t="s">
        <v>14</v>
      </c>
      <c r="J151" t="s">
        <v>24</v>
      </c>
      <c r="K151">
        <v>16</v>
      </c>
    </row>
    <row r="152" spans="1:11">
      <c r="A152">
        <v>2025</v>
      </c>
      <c r="B152">
        <v>1</v>
      </c>
      <c r="C152">
        <v>2</v>
      </c>
      <c r="D152" s="5">
        <v>45709</v>
      </c>
      <c r="E152" s="5">
        <v>45709</v>
      </c>
      <c r="F152" t="s">
        <v>21</v>
      </c>
      <c r="G152" t="s">
        <v>12</v>
      </c>
      <c r="H152" t="s">
        <v>13</v>
      </c>
      <c r="I152" t="s">
        <v>14</v>
      </c>
      <c r="J152" t="s">
        <v>42</v>
      </c>
      <c r="K152">
        <v>8.1</v>
      </c>
    </row>
    <row r="153" spans="1:11">
      <c r="A153">
        <v>2025</v>
      </c>
      <c r="B153">
        <v>1</v>
      </c>
      <c r="C153">
        <v>2</v>
      </c>
      <c r="D153" s="5">
        <v>45709</v>
      </c>
      <c r="E153" s="5">
        <v>45709</v>
      </c>
      <c r="F153" t="s">
        <v>21</v>
      </c>
      <c r="G153" t="s">
        <v>12</v>
      </c>
      <c r="H153" t="s">
        <v>13</v>
      </c>
      <c r="I153" t="s">
        <v>28</v>
      </c>
      <c r="J153" t="s">
        <v>58</v>
      </c>
      <c r="K153">
        <v>5.6</v>
      </c>
    </row>
    <row r="154" spans="1:11">
      <c r="A154">
        <v>2025</v>
      </c>
      <c r="B154">
        <v>1</v>
      </c>
      <c r="C154">
        <v>2</v>
      </c>
      <c r="D154" s="5">
        <v>45709</v>
      </c>
      <c r="E154" s="5">
        <v>45709</v>
      </c>
      <c r="F154" t="s">
        <v>21</v>
      </c>
      <c r="G154" t="s">
        <v>12</v>
      </c>
      <c r="H154" t="s">
        <v>13</v>
      </c>
      <c r="I154" t="s">
        <v>28</v>
      </c>
      <c r="J154" t="s">
        <v>29</v>
      </c>
      <c r="K154">
        <v>4.7</v>
      </c>
    </row>
    <row r="155" spans="1:11">
      <c r="A155">
        <v>2025</v>
      </c>
      <c r="B155">
        <v>1</v>
      </c>
      <c r="C155">
        <v>2</v>
      </c>
      <c r="D155" s="5">
        <v>45709</v>
      </c>
      <c r="E155" s="5">
        <v>45709</v>
      </c>
      <c r="F155" t="s">
        <v>25</v>
      </c>
      <c r="G155" t="s">
        <v>12</v>
      </c>
      <c r="H155" t="s">
        <v>13</v>
      </c>
      <c r="I155" t="s">
        <v>14</v>
      </c>
      <c r="J155" t="s">
        <v>37</v>
      </c>
      <c r="K155">
        <v>0.3</v>
      </c>
    </row>
    <row r="156" spans="1:11">
      <c r="A156">
        <v>2025</v>
      </c>
      <c r="B156">
        <v>1</v>
      </c>
      <c r="C156">
        <v>2</v>
      </c>
      <c r="D156" s="5">
        <v>45709</v>
      </c>
      <c r="E156" s="5">
        <v>45709</v>
      </c>
      <c r="F156" t="s">
        <v>25</v>
      </c>
      <c r="G156" t="s">
        <v>12</v>
      </c>
      <c r="H156" t="s">
        <v>13</v>
      </c>
      <c r="I156" t="s">
        <v>28</v>
      </c>
      <c r="J156" t="s">
        <v>29</v>
      </c>
      <c r="K156">
        <v>0.7</v>
      </c>
    </row>
    <row r="157" spans="1:11">
      <c r="A157">
        <v>2025</v>
      </c>
      <c r="B157">
        <v>1</v>
      </c>
      <c r="C157">
        <v>2</v>
      </c>
      <c r="D157" s="5">
        <v>45709</v>
      </c>
      <c r="E157" s="5">
        <v>45709</v>
      </c>
      <c r="F157" t="s">
        <v>25</v>
      </c>
      <c r="G157" t="s">
        <v>12</v>
      </c>
      <c r="H157" t="s">
        <v>13</v>
      </c>
      <c r="I157" t="s">
        <v>44</v>
      </c>
      <c r="J157" t="s">
        <v>45</v>
      </c>
      <c r="K157">
        <v>12</v>
      </c>
    </row>
    <row r="158" spans="1:11">
      <c r="A158">
        <v>2025</v>
      </c>
      <c r="B158">
        <v>1</v>
      </c>
      <c r="C158">
        <v>2</v>
      </c>
      <c r="D158" s="5">
        <v>45709</v>
      </c>
      <c r="E158" s="5">
        <v>45709</v>
      </c>
      <c r="F158" t="s">
        <v>25</v>
      </c>
      <c r="G158" t="s">
        <v>12</v>
      </c>
      <c r="H158" t="s">
        <v>13</v>
      </c>
      <c r="I158" t="s">
        <v>38</v>
      </c>
      <c r="J158" t="s">
        <v>46</v>
      </c>
      <c r="K158">
        <v>1.9</v>
      </c>
    </row>
    <row r="159" spans="1:11">
      <c r="A159">
        <v>2025</v>
      </c>
      <c r="B159">
        <v>1</v>
      </c>
      <c r="C159">
        <v>2</v>
      </c>
      <c r="D159" s="5">
        <v>45709</v>
      </c>
      <c r="E159" s="5">
        <v>45709</v>
      </c>
      <c r="F159" t="s">
        <v>25</v>
      </c>
      <c r="G159" t="s">
        <v>12</v>
      </c>
      <c r="H159" t="s">
        <v>13</v>
      </c>
      <c r="I159" t="s">
        <v>38</v>
      </c>
      <c r="J159" t="s">
        <v>51</v>
      </c>
      <c r="K159">
        <v>0.5</v>
      </c>
    </row>
    <row r="160" spans="1:11">
      <c r="A160">
        <v>2025</v>
      </c>
      <c r="B160">
        <v>1</v>
      </c>
      <c r="C160">
        <v>2</v>
      </c>
      <c r="D160" s="5">
        <v>45709</v>
      </c>
      <c r="E160" s="5">
        <v>45709</v>
      </c>
      <c r="F160" t="s">
        <v>25</v>
      </c>
      <c r="G160" t="s">
        <v>12</v>
      </c>
      <c r="H160" t="s">
        <v>13</v>
      </c>
      <c r="I160" t="s">
        <v>38</v>
      </c>
      <c r="J160" t="s">
        <v>52</v>
      </c>
      <c r="K160">
        <v>1.8</v>
      </c>
    </row>
    <row r="161" spans="1:11">
      <c r="A161">
        <v>2025</v>
      </c>
      <c r="B161">
        <v>1</v>
      </c>
      <c r="C161">
        <v>2</v>
      </c>
      <c r="D161" s="5">
        <v>45709</v>
      </c>
      <c r="E161" s="5">
        <v>45709</v>
      </c>
      <c r="F161" t="s">
        <v>25</v>
      </c>
      <c r="G161" t="s">
        <v>12</v>
      </c>
      <c r="H161" t="s">
        <v>13</v>
      </c>
      <c r="I161" t="s">
        <v>30</v>
      </c>
      <c r="J161" t="s">
        <v>31</v>
      </c>
      <c r="K161">
        <v>25.7</v>
      </c>
    </row>
    <row r="162" spans="1:11">
      <c r="A162">
        <v>2025</v>
      </c>
      <c r="B162">
        <v>1</v>
      </c>
      <c r="C162">
        <v>2</v>
      </c>
      <c r="D162" s="5">
        <v>45709</v>
      </c>
      <c r="E162" s="5">
        <v>45709</v>
      </c>
      <c r="F162" t="s">
        <v>25</v>
      </c>
      <c r="G162" t="s">
        <v>12</v>
      </c>
      <c r="H162" t="s">
        <v>13</v>
      </c>
      <c r="I162" t="s">
        <v>30</v>
      </c>
      <c r="J162" t="s">
        <v>62</v>
      </c>
      <c r="K162">
        <v>2.6</v>
      </c>
    </row>
    <row r="163" spans="1:11">
      <c r="A163">
        <v>2025</v>
      </c>
      <c r="B163">
        <v>1</v>
      </c>
      <c r="C163">
        <v>3</v>
      </c>
      <c r="D163" s="5">
        <v>45723</v>
      </c>
      <c r="E163" s="5">
        <v>45716</v>
      </c>
      <c r="F163" t="s">
        <v>32</v>
      </c>
      <c r="G163" t="s">
        <v>12</v>
      </c>
      <c r="H163" t="s">
        <v>13</v>
      </c>
      <c r="I163" t="s">
        <v>14</v>
      </c>
      <c r="J163" t="s">
        <v>54</v>
      </c>
      <c r="K163">
        <v>26</v>
      </c>
    </row>
    <row r="164" spans="1:11">
      <c r="A164">
        <v>2025</v>
      </c>
      <c r="B164">
        <v>1</v>
      </c>
      <c r="C164">
        <v>3</v>
      </c>
      <c r="D164" s="5">
        <v>45723</v>
      </c>
      <c r="E164" s="5">
        <v>45716</v>
      </c>
      <c r="F164" t="s">
        <v>32</v>
      </c>
      <c r="G164" t="s">
        <v>12</v>
      </c>
      <c r="H164" t="s">
        <v>13</v>
      </c>
      <c r="I164" t="s">
        <v>44</v>
      </c>
      <c r="J164" t="s">
        <v>47</v>
      </c>
      <c r="K164">
        <v>10</v>
      </c>
    </row>
    <row r="165" spans="1:11">
      <c r="A165">
        <v>2025</v>
      </c>
      <c r="B165">
        <v>1</v>
      </c>
      <c r="C165">
        <v>3</v>
      </c>
      <c r="D165" s="5">
        <v>45723</v>
      </c>
      <c r="E165" s="5">
        <v>45716</v>
      </c>
      <c r="F165" t="s">
        <v>32</v>
      </c>
      <c r="G165" t="s">
        <v>12</v>
      </c>
      <c r="H165" t="s">
        <v>13</v>
      </c>
      <c r="I165" t="s">
        <v>44</v>
      </c>
      <c r="J165" t="s">
        <v>48</v>
      </c>
      <c r="K165">
        <v>2</v>
      </c>
    </row>
    <row r="166" spans="1:11">
      <c r="A166">
        <v>2025</v>
      </c>
      <c r="B166">
        <v>1</v>
      </c>
      <c r="C166">
        <v>3</v>
      </c>
      <c r="D166" s="5">
        <v>45723</v>
      </c>
      <c r="E166" s="5">
        <v>45716</v>
      </c>
      <c r="F166" t="s">
        <v>32</v>
      </c>
      <c r="G166" t="s">
        <v>12</v>
      </c>
      <c r="H166" t="s">
        <v>13</v>
      </c>
      <c r="I166" t="s">
        <v>30</v>
      </c>
      <c r="J166" t="s">
        <v>31</v>
      </c>
      <c r="K166">
        <v>2</v>
      </c>
    </row>
    <row r="167" spans="1:11">
      <c r="A167">
        <v>2025</v>
      </c>
      <c r="B167">
        <v>1</v>
      </c>
      <c r="C167">
        <v>3</v>
      </c>
      <c r="D167" s="5">
        <v>45723</v>
      </c>
      <c r="E167" s="5">
        <v>45716</v>
      </c>
      <c r="F167" t="s">
        <v>11</v>
      </c>
      <c r="G167" t="s">
        <v>12</v>
      </c>
      <c r="H167" t="s">
        <v>13</v>
      </c>
      <c r="I167" t="s">
        <v>14</v>
      </c>
      <c r="J167" t="s">
        <v>15</v>
      </c>
      <c r="K167">
        <v>2.5</v>
      </c>
    </row>
    <row r="168" spans="1:11">
      <c r="A168">
        <v>2025</v>
      </c>
      <c r="B168">
        <v>1</v>
      </c>
      <c r="C168">
        <v>3</v>
      </c>
      <c r="D168" s="5">
        <v>45723</v>
      </c>
      <c r="E168" s="5">
        <v>45716</v>
      </c>
      <c r="F168" t="s">
        <v>11</v>
      </c>
      <c r="G168" t="s">
        <v>12</v>
      </c>
      <c r="H168" t="s">
        <v>13</v>
      </c>
      <c r="I168" t="s">
        <v>44</v>
      </c>
      <c r="J168" t="s">
        <v>47</v>
      </c>
      <c r="K168">
        <v>2.4</v>
      </c>
    </row>
    <row r="169" spans="1:11">
      <c r="A169">
        <v>2025</v>
      </c>
      <c r="B169">
        <v>1</v>
      </c>
      <c r="C169">
        <v>3</v>
      </c>
      <c r="D169" s="5">
        <v>45723</v>
      </c>
      <c r="E169" s="5">
        <v>45716</v>
      </c>
      <c r="F169" t="s">
        <v>11</v>
      </c>
      <c r="G169" t="s">
        <v>12</v>
      </c>
      <c r="H169" t="s">
        <v>13</v>
      </c>
      <c r="I169" t="s">
        <v>16</v>
      </c>
      <c r="J169" t="s">
        <v>17</v>
      </c>
      <c r="K169">
        <v>4</v>
      </c>
    </row>
    <row r="170" spans="1:11">
      <c r="A170">
        <v>2025</v>
      </c>
      <c r="B170">
        <v>1</v>
      </c>
      <c r="C170">
        <v>3</v>
      </c>
      <c r="D170" s="5">
        <v>45723</v>
      </c>
      <c r="E170" s="5">
        <v>45716</v>
      </c>
      <c r="F170" t="s">
        <v>11</v>
      </c>
      <c r="G170" t="s">
        <v>12</v>
      </c>
      <c r="H170" t="s">
        <v>13</v>
      </c>
      <c r="I170" t="s">
        <v>30</v>
      </c>
      <c r="J170" t="s">
        <v>31</v>
      </c>
      <c r="K170">
        <v>1.9</v>
      </c>
    </row>
    <row r="171" spans="1:11">
      <c r="A171">
        <v>2025</v>
      </c>
      <c r="B171">
        <v>1</v>
      </c>
      <c r="C171">
        <v>3</v>
      </c>
      <c r="D171" s="5">
        <v>45723</v>
      </c>
      <c r="E171" s="5">
        <v>45716</v>
      </c>
      <c r="F171" t="s">
        <v>41</v>
      </c>
      <c r="G171" t="s">
        <v>12</v>
      </c>
      <c r="H171" t="s">
        <v>13</v>
      </c>
      <c r="I171" t="s">
        <v>30</v>
      </c>
      <c r="J171" t="s">
        <v>31</v>
      </c>
      <c r="K171">
        <v>2</v>
      </c>
    </row>
    <row r="172" spans="1:11">
      <c r="A172">
        <v>2025</v>
      </c>
      <c r="B172">
        <v>1</v>
      </c>
      <c r="C172">
        <v>3</v>
      </c>
      <c r="D172" s="5">
        <v>45723</v>
      </c>
      <c r="E172" s="5">
        <v>45716</v>
      </c>
      <c r="F172" t="s">
        <v>21</v>
      </c>
      <c r="G172" t="s">
        <v>12</v>
      </c>
      <c r="H172" t="s">
        <v>13</v>
      </c>
      <c r="I172" t="s">
        <v>14</v>
      </c>
      <c r="J172" t="s">
        <v>24</v>
      </c>
      <c r="K172">
        <v>20.6</v>
      </c>
    </row>
    <row r="173" spans="1:11">
      <c r="A173">
        <v>2025</v>
      </c>
      <c r="B173">
        <v>1</v>
      </c>
      <c r="C173">
        <v>3</v>
      </c>
      <c r="D173" s="5">
        <v>45723</v>
      </c>
      <c r="E173" s="5">
        <v>45716</v>
      </c>
      <c r="F173" t="s">
        <v>21</v>
      </c>
      <c r="G173" t="s">
        <v>12</v>
      </c>
      <c r="H173" t="s">
        <v>13</v>
      </c>
      <c r="I173" t="s">
        <v>14</v>
      </c>
      <c r="J173" t="s">
        <v>23</v>
      </c>
      <c r="K173">
        <v>3.6</v>
      </c>
    </row>
    <row r="174" spans="1:11">
      <c r="A174">
        <v>2025</v>
      </c>
      <c r="B174">
        <v>1</v>
      </c>
      <c r="C174">
        <v>3</v>
      </c>
      <c r="D174" s="5">
        <v>45723</v>
      </c>
      <c r="E174" s="5">
        <v>45716</v>
      </c>
      <c r="F174" t="s">
        <v>21</v>
      </c>
      <c r="G174" t="s">
        <v>12</v>
      </c>
      <c r="H174" t="s">
        <v>13</v>
      </c>
      <c r="I174" t="s">
        <v>14</v>
      </c>
      <c r="J174" t="s">
        <v>42</v>
      </c>
      <c r="K174">
        <v>7.1</v>
      </c>
    </row>
    <row r="175" spans="1:11">
      <c r="A175">
        <v>2025</v>
      </c>
      <c r="B175">
        <v>1</v>
      </c>
      <c r="C175">
        <v>3</v>
      </c>
      <c r="D175" s="5">
        <v>45723</v>
      </c>
      <c r="E175" s="5">
        <v>45716</v>
      </c>
      <c r="F175" t="s">
        <v>21</v>
      </c>
      <c r="G175" t="s">
        <v>12</v>
      </c>
      <c r="H175" t="s">
        <v>13</v>
      </c>
      <c r="I175" t="s">
        <v>28</v>
      </c>
      <c r="J175" t="s">
        <v>58</v>
      </c>
      <c r="K175">
        <v>7.4</v>
      </c>
    </row>
    <row r="176" spans="1:11">
      <c r="A176">
        <v>2025</v>
      </c>
      <c r="B176">
        <v>1</v>
      </c>
      <c r="C176">
        <v>3</v>
      </c>
      <c r="D176" s="5">
        <v>45723</v>
      </c>
      <c r="E176" s="5">
        <v>45716</v>
      </c>
      <c r="F176" t="s">
        <v>25</v>
      </c>
      <c r="G176" t="s">
        <v>12</v>
      </c>
      <c r="H176" t="s">
        <v>13</v>
      </c>
      <c r="I176" t="s">
        <v>28</v>
      </c>
      <c r="J176" t="s">
        <v>29</v>
      </c>
      <c r="K176">
        <v>0.5</v>
      </c>
    </row>
    <row r="177" spans="1:11">
      <c r="A177">
        <v>2025</v>
      </c>
      <c r="B177">
        <v>1</v>
      </c>
      <c r="C177">
        <v>3</v>
      </c>
      <c r="D177" s="5">
        <v>45723</v>
      </c>
      <c r="E177" s="5">
        <v>45716</v>
      </c>
      <c r="F177" t="s">
        <v>25</v>
      </c>
      <c r="G177" t="s">
        <v>12</v>
      </c>
      <c r="H177" t="s">
        <v>13</v>
      </c>
      <c r="I177" t="s">
        <v>44</v>
      </c>
      <c r="J177" t="s">
        <v>45</v>
      </c>
      <c r="K177">
        <v>7.2</v>
      </c>
    </row>
    <row r="178" spans="1:11">
      <c r="A178">
        <v>2025</v>
      </c>
      <c r="B178">
        <v>1</v>
      </c>
      <c r="C178">
        <v>3</v>
      </c>
      <c r="D178" s="5">
        <v>45723</v>
      </c>
      <c r="E178" s="5">
        <v>45716</v>
      </c>
      <c r="F178" t="s">
        <v>25</v>
      </c>
      <c r="G178" t="s">
        <v>12</v>
      </c>
      <c r="H178" t="s">
        <v>13</v>
      </c>
      <c r="I178" t="s">
        <v>38</v>
      </c>
      <c r="J178" t="s">
        <v>46</v>
      </c>
      <c r="K178">
        <v>0.3</v>
      </c>
    </row>
    <row r="179" spans="1:11">
      <c r="A179">
        <v>2025</v>
      </c>
      <c r="B179">
        <v>1</v>
      </c>
      <c r="C179">
        <v>3</v>
      </c>
      <c r="D179" s="5">
        <v>45723</v>
      </c>
      <c r="E179" s="5">
        <v>45716</v>
      </c>
      <c r="F179" t="s">
        <v>25</v>
      </c>
      <c r="G179" t="s">
        <v>12</v>
      </c>
      <c r="H179" t="s">
        <v>13</v>
      </c>
      <c r="I179" t="s">
        <v>38</v>
      </c>
      <c r="J179" t="s">
        <v>52</v>
      </c>
      <c r="K179">
        <v>0.7</v>
      </c>
    </row>
    <row r="180" spans="1:11">
      <c r="A180">
        <v>2025</v>
      </c>
      <c r="B180">
        <v>1</v>
      </c>
      <c r="C180">
        <v>3</v>
      </c>
      <c r="D180" s="5">
        <v>45723</v>
      </c>
      <c r="E180" s="5">
        <v>45716</v>
      </c>
      <c r="F180" t="s">
        <v>25</v>
      </c>
      <c r="G180" t="s">
        <v>12</v>
      </c>
      <c r="H180" t="s">
        <v>13</v>
      </c>
      <c r="I180" t="s">
        <v>30</v>
      </c>
      <c r="J180" t="s">
        <v>31</v>
      </c>
      <c r="K180">
        <v>7.5</v>
      </c>
    </row>
    <row r="181" spans="1:11">
      <c r="A181">
        <v>2025</v>
      </c>
      <c r="B181">
        <v>1</v>
      </c>
      <c r="C181">
        <v>3</v>
      </c>
      <c r="D181" s="5">
        <v>45723</v>
      </c>
      <c r="E181" s="5">
        <v>45723</v>
      </c>
      <c r="F181" t="s">
        <v>32</v>
      </c>
      <c r="G181" t="s">
        <v>12</v>
      </c>
      <c r="H181" t="s">
        <v>13</v>
      </c>
      <c r="I181" t="s">
        <v>14</v>
      </c>
      <c r="J181" t="s">
        <v>54</v>
      </c>
      <c r="K181">
        <v>5</v>
      </c>
    </row>
    <row r="182" spans="1:11">
      <c r="A182">
        <v>2025</v>
      </c>
      <c r="B182">
        <v>1</v>
      </c>
      <c r="C182">
        <v>3</v>
      </c>
      <c r="D182" s="5">
        <v>45723</v>
      </c>
      <c r="E182" s="5">
        <v>45723</v>
      </c>
      <c r="F182" t="s">
        <v>32</v>
      </c>
      <c r="G182" t="s">
        <v>12</v>
      </c>
      <c r="H182" t="s">
        <v>13</v>
      </c>
      <c r="I182" t="s">
        <v>44</v>
      </c>
      <c r="J182" t="s">
        <v>47</v>
      </c>
      <c r="K182">
        <v>27</v>
      </c>
    </row>
    <row r="183" spans="1:11">
      <c r="A183">
        <v>2025</v>
      </c>
      <c r="B183">
        <v>1</v>
      </c>
      <c r="C183">
        <v>3</v>
      </c>
      <c r="D183" s="5">
        <v>45723</v>
      </c>
      <c r="E183" s="5">
        <v>45723</v>
      </c>
      <c r="F183" t="s">
        <v>11</v>
      </c>
      <c r="G183" t="s">
        <v>12</v>
      </c>
      <c r="H183" t="s">
        <v>13</v>
      </c>
      <c r="I183" t="s">
        <v>14</v>
      </c>
      <c r="J183" t="s">
        <v>36</v>
      </c>
      <c r="K183">
        <v>1</v>
      </c>
    </row>
    <row r="184" spans="1:11">
      <c r="A184">
        <v>2025</v>
      </c>
      <c r="B184">
        <v>1</v>
      </c>
      <c r="C184">
        <v>3</v>
      </c>
      <c r="D184" s="5">
        <v>45723</v>
      </c>
      <c r="E184" s="5">
        <v>45723</v>
      </c>
      <c r="F184" t="s">
        <v>11</v>
      </c>
      <c r="G184" t="s">
        <v>12</v>
      </c>
      <c r="H184" t="s">
        <v>13</v>
      </c>
      <c r="I184" t="s">
        <v>14</v>
      </c>
      <c r="J184" t="s">
        <v>37</v>
      </c>
      <c r="K184">
        <v>1.8</v>
      </c>
    </row>
    <row r="185" spans="1:11">
      <c r="A185">
        <v>2025</v>
      </c>
      <c r="B185">
        <v>1</v>
      </c>
      <c r="C185">
        <v>3</v>
      </c>
      <c r="D185" s="5">
        <v>45723</v>
      </c>
      <c r="E185" s="5">
        <v>45723</v>
      </c>
      <c r="F185" t="s">
        <v>11</v>
      </c>
      <c r="G185" t="s">
        <v>12</v>
      </c>
      <c r="H185" t="s">
        <v>13</v>
      </c>
      <c r="I185" t="s">
        <v>14</v>
      </c>
      <c r="J185" t="s">
        <v>15</v>
      </c>
      <c r="K185">
        <v>2.8</v>
      </c>
    </row>
    <row r="186" spans="1:11">
      <c r="A186">
        <v>2025</v>
      </c>
      <c r="B186">
        <v>1</v>
      </c>
      <c r="C186">
        <v>3</v>
      </c>
      <c r="D186" s="5">
        <v>45723</v>
      </c>
      <c r="E186" s="5">
        <v>45723</v>
      </c>
      <c r="F186" t="s">
        <v>11</v>
      </c>
      <c r="G186" t="s">
        <v>12</v>
      </c>
      <c r="H186" t="s">
        <v>13</v>
      </c>
      <c r="I186" t="s">
        <v>44</v>
      </c>
      <c r="J186" t="s">
        <v>47</v>
      </c>
      <c r="K186">
        <v>2.7</v>
      </c>
    </row>
    <row r="187" spans="1:11">
      <c r="A187">
        <v>2025</v>
      </c>
      <c r="B187">
        <v>1</v>
      </c>
      <c r="C187">
        <v>3</v>
      </c>
      <c r="D187" s="5">
        <v>45723</v>
      </c>
      <c r="E187" s="5">
        <v>45723</v>
      </c>
      <c r="F187" t="s">
        <v>11</v>
      </c>
      <c r="G187" t="s">
        <v>12</v>
      </c>
      <c r="H187" t="s">
        <v>13</v>
      </c>
      <c r="I187" t="s">
        <v>16</v>
      </c>
      <c r="J187" t="s">
        <v>17</v>
      </c>
      <c r="K187">
        <v>14.4</v>
      </c>
    </row>
    <row r="188" spans="1:11">
      <c r="A188">
        <v>2025</v>
      </c>
      <c r="B188">
        <v>1</v>
      </c>
      <c r="C188">
        <v>3</v>
      </c>
      <c r="D188" s="5">
        <v>45723</v>
      </c>
      <c r="E188" s="5">
        <v>45723</v>
      </c>
      <c r="F188" t="s">
        <v>11</v>
      </c>
      <c r="G188" t="s">
        <v>12</v>
      </c>
      <c r="H188" t="s">
        <v>13</v>
      </c>
      <c r="I188" t="s">
        <v>16</v>
      </c>
      <c r="J188" t="s">
        <v>61</v>
      </c>
      <c r="K188">
        <v>0.7</v>
      </c>
    </row>
    <row r="189" spans="1:11">
      <c r="A189">
        <v>2025</v>
      </c>
      <c r="B189">
        <v>1</v>
      </c>
      <c r="C189">
        <v>3</v>
      </c>
      <c r="D189" s="5">
        <v>45723</v>
      </c>
      <c r="E189" s="5">
        <v>45723</v>
      </c>
      <c r="F189" t="s">
        <v>11</v>
      </c>
      <c r="G189" t="s">
        <v>12</v>
      </c>
      <c r="H189" t="s">
        <v>13</v>
      </c>
      <c r="I189" t="s">
        <v>30</v>
      </c>
      <c r="J189" t="s">
        <v>31</v>
      </c>
      <c r="K189">
        <v>5.6</v>
      </c>
    </row>
    <row r="190" spans="1:11">
      <c r="A190">
        <v>2025</v>
      </c>
      <c r="B190">
        <v>1</v>
      </c>
      <c r="C190">
        <v>3</v>
      </c>
      <c r="D190" s="5">
        <v>45723</v>
      </c>
      <c r="E190" s="5">
        <v>45723</v>
      </c>
      <c r="F190" t="s">
        <v>21</v>
      </c>
      <c r="G190" t="s">
        <v>12</v>
      </c>
      <c r="H190" t="s">
        <v>13</v>
      </c>
      <c r="I190" t="s">
        <v>14</v>
      </c>
      <c r="J190" t="s">
        <v>24</v>
      </c>
      <c r="K190">
        <v>18.2</v>
      </c>
    </row>
    <row r="191" spans="1:11">
      <c r="A191">
        <v>2025</v>
      </c>
      <c r="B191">
        <v>1</v>
      </c>
      <c r="C191">
        <v>3</v>
      </c>
      <c r="D191" s="5">
        <v>45723</v>
      </c>
      <c r="E191" s="5">
        <v>45723</v>
      </c>
      <c r="F191" t="s">
        <v>21</v>
      </c>
      <c r="G191" t="s">
        <v>12</v>
      </c>
      <c r="H191" t="s">
        <v>13</v>
      </c>
      <c r="I191" t="s">
        <v>14</v>
      </c>
      <c r="J191" t="s">
        <v>23</v>
      </c>
      <c r="K191">
        <v>1.4</v>
      </c>
    </row>
    <row r="192" spans="1:11">
      <c r="A192">
        <v>2025</v>
      </c>
      <c r="B192">
        <v>1</v>
      </c>
      <c r="C192">
        <v>3</v>
      </c>
      <c r="D192" s="5">
        <v>45723</v>
      </c>
      <c r="E192" s="5">
        <v>45723</v>
      </c>
      <c r="F192" t="s">
        <v>21</v>
      </c>
      <c r="G192" t="s">
        <v>12</v>
      </c>
      <c r="H192" t="s">
        <v>13</v>
      </c>
      <c r="I192" t="s">
        <v>14</v>
      </c>
      <c r="J192" t="s">
        <v>42</v>
      </c>
      <c r="K192">
        <v>16.5</v>
      </c>
    </row>
    <row r="193" spans="1:11">
      <c r="A193">
        <v>2025</v>
      </c>
      <c r="B193">
        <v>1</v>
      </c>
      <c r="C193">
        <v>3</v>
      </c>
      <c r="D193" s="5">
        <v>45723</v>
      </c>
      <c r="E193" s="5">
        <v>45723</v>
      </c>
      <c r="F193" t="s">
        <v>21</v>
      </c>
      <c r="G193" t="s">
        <v>12</v>
      </c>
      <c r="H193" t="s">
        <v>13</v>
      </c>
      <c r="I193" t="s">
        <v>28</v>
      </c>
      <c r="J193" t="s">
        <v>58</v>
      </c>
      <c r="K193">
        <v>5.5</v>
      </c>
    </row>
    <row r="194" spans="1:11">
      <c r="A194">
        <v>2025</v>
      </c>
      <c r="B194">
        <v>1</v>
      </c>
      <c r="C194">
        <v>3</v>
      </c>
      <c r="D194" s="5">
        <v>45723</v>
      </c>
      <c r="E194" s="5">
        <v>45723</v>
      </c>
      <c r="F194" t="s">
        <v>21</v>
      </c>
      <c r="G194" t="s">
        <v>12</v>
      </c>
      <c r="H194" t="s">
        <v>13</v>
      </c>
      <c r="I194" t="s">
        <v>28</v>
      </c>
      <c r="J194" t="s">
        <v>29</v>
      </c>
      <c r="K194">
        <v>2.4</v>
      </c>
    </row>
    <row r="195" spans="1:11">
      <c r="A195">
        <v>2025</v>
      </c>
      <c r="B195">
        <v>1</v>
      </c>
      <c r="C195">
        <v>3</v>
      </c>
      <c r="D195" s="5">
        <v>45723</v>
      </c>
      <c r="E195" s="5">
        <v>45723</v>
      </c>
      <c r="F195" t="s">
        <v>25</v>
      </c>
      <c r="G195" t="s">
        <v>12</v>
      </c>
      <c r="H195" t="s">
        <v>13</v>
      </c>
      <c r="I195" t="s">
        <v>14</v>
      </c>
      <c r="J195" t="s">
        <v>37</v>
      </c>
      <c r="K195">
        <v>0.5</v>
      </c>
    </row>
    <row r="196" spans="1:11">
      <c r="A196">
        <v>2025</v>
      </c>
      <c r="B196">
        <v>1</v>
      </c>
      <c r="C196">
        <v>3</v>
      </c>
      <c r="D196" s="5">
        <v>45723</v>
      </c>
      <c r="E196" s="5">
        <v>45723</v>
      </c>
      <c r="F196" t="s">
        <v>25</v>
      </c>
      <c r="G196" t="s">
        <v>12</v>
      </c>
      <c r="H196" t="s">
        <v>13</v>
      </c>
      <c r="I196" t="s">
        <v>44</v>
      </c>
      <c r="J196" t="s">
        <v>45</v>
      </c>
      <c r="K196">
        <v>9.3000000000000007</v>
      </c>
    </row>
    <row r="197" spans="1:11">
      <c r="A197">
        <v>2025</v>
      </c>
      <c r="B197">
        <v>1</v>
      </c>
      <c r="C197">
        <v>3</v>
      </c>
      <c r="D197" s="5">
        <v>45723</v>
      </c>
      <c r="E197" s="5">
        <v>45723</v>
      </c>
      <c r="F197" t="s">
        <v>25</v>
      </c>
      <c r="G197" t="s">
        <v>12</v>
      </c>
      <c r="H197" t="s">
        <v>13</v>
      </c>
      <c r="I197" t="s">
        <v>38</v>
      </c>
      <c r="J197" t="s">
        <v>46</v>
      </c>
      <c r="K197">
        <v>0.4</v>
      </c>
    </row>
    <row r="198" spans="1:11">
      <c r="A198">
        <v>2025</v>
      </c>
      <c r="B198">
        <v>1</v>
      </c>
      <c r="C198">
        <v>3</v>
      </c>
      <c r="D198" s="5">
        <v>45723</v>
      </c>
      <c r="E198" s="5">
        <v>45723</v>
      </c>
      <c r="F198" t="s">
        <v>25</v>
      </c>
      <c r="G198" t="s">
        <v>12</v>
      </c>
      <c r="H198" t="s">
        <v>13</v>
      </c>
      <c r="I198" t="s">
        <v>38</v>
      </c>
      <c r="J198" t="s">
        <v>52</v>
      </c>
      <c r="K198">
        <v>1.1000000000000001</v>
      </c>
    </row>
    <row r="199" spans="1:11">
      <c r="A199">
        <v>2025</v>
      </c>
      <c r="B199">
        <v>1</v>
      </c>
      <c r="C199">
        <v>3</v>
      </c>
      <c r="D199" s="5">
        <v>45723</v>
      </c>
      <c r="E199" s="5">
        <v>45723</v>
      </c>
      <c r="F199" t="s">
        <v>25</v>
      </c>
      <c r="G199" t="s">
        <v>12</v>
      </c>
      <c r="H199" t="s">
        <v>13</v>
      </c>
      <c r="I199" t="s">
        <v>30</v>
      </c>
      <c r="J199" t="s">
        <v>53</v>
      </c>
      <c r="K199">
        <v>1</v>
      </c>
    </row>
    <row r="200" spans="1:11">
      <c r="A200">
        <v>2025</v>
      </c>
      <c r="B200">
        <v>1</v>
      </c>
      <c r="C200">
        <v>3</v>
      </c>
      <c r="D200" s="5">
        <v>45723</v>
      </c>
      <c r="E200" s="5">
        <v>45723</v>
      </c>
      <c r="F200" t="s">
        <v>25</v>
      </c>
      <c r="G200" t="s">
        <v>12</v>
      </c>
      <c r="H200" t="s">
        <v>13</v>
      </c>
      <c r="I200" t="s">
        <v>30</v>
      </c>
      <c r="J200" t="s">
        <v>31</v>
      </c>
      <c r="K200">
        <v>45.5</v>
      </c>
    </row>
    <row r="201" spans="1:11">
      <c r="A201">
        <v>2025</v>
      </c>
      <c r="B201">
        <v>1</v>
      </c>
      <c r="C201">
        <v>3</v>
      </c>
      <c r="D201" s="5">
        <v>45723</v>
      </c>
      <c r="E201" s="5">
        <v>45723</v>
      </c>
      <c r="F201" t="s">
        <v>25</v>
      </c>
      <c r="G201" t="s">
        <v>12</v>
      </c>
      <c r="H201" t="s">
        <v>13</v>
      </c>
      <c r="I201" t="s">
        <v>30</v>
      </c>
      <c r="J201" t="s">
        <v>62</v>
      </c>
      <c r="K201">
        <v>0.5</v>
      </c>
    </row>
    <row r="202" spans="1:11">
      <c r="A202">
        <v>2025</v>
      </c>
      <c r="B202">
        <v>1</v>
      </c>
      <c r="C202">
        <v>3</v>
      </c>
      <c r="D202" s="5">
        <v>45737</v>
      </c>
      <c r="E202" s="5">
        <v>45730</v>
      </c>
      <c r="F202" t="s">
        <v>32</v>
      </c>
      <c r="G202" t="s">
        <v>12</v>
      </c>
      <c r="H202" t="s">
        <v>13</v>
      </c>
      <c r="I202" t="s">
        <v>14</v>
      </c>
      <c r="J202" t="s">
        <v>54</v>
      </c>
      <c r="K202">
        <v>13</v>
      </c>
    </row>
    <row r="203" spans="1:11">
      <c r="A203">
        <v>2025</v>
      </c>
      <c r="B203">
        <v>1</v>
      </c>
      <c r="C203">
        <v>3</v>
      </c>
      <c r="D203" s="5">
        <v>45737</v>
      </c>
      <c r="E203" s="5">
        <v>45730</v>
      </c>
      <c r="F203" t="s">
        <v>32</v>
      </c>
      <c r="G203" t="s">
        <v>12</v>
      </c>
      <c r="H203" t="s">
        <v>13</v>
      </c>
      <c r="I203" t="s">
        <v>44</v>
      </c>
      <c r="J203" t="s">
        <v>47</v>
      </c>
      <c r="K203">
        <v>17</v>
      </c>
    </row>
    <row r="204" spans="1:11">
      <c r="A204">
        <v>2025</v>
      </c>
      <c r="B204">
        <v>1</v>
      </c>
      <c r="C204">
        <v>3</v>
      </c>
      <c r="D204" s="5">
        <v>45737</v>
      </c>
      <c r="E204" s="5">
        <v>45730</v>
      </c>
      <c r="F204" t="s">
        <v>11</v>
      </c>
      <c r="G204" t="s">
        <v>12</v>
      </c>
      <c r="H204" t="s">
        <v>13</v>
      </c>
      <c r="I204" t="s">
        <v>14</v>
      </c>
      <c r="J204" t="s">
        <v>37</v>
      </c>
      <c r="K204">
        <v>1</v>
      </c>
    </row>
    <row r="205" spans="1:11">
      <c r="A205">
        <v>2025</v>
      </c>
      <c r="B205">
        <v>1</v>
      </c>
      <c r="C205">
        <v>3</v>
      </c>
      <c r="D205" s="5">
        <v>45737</v>
      </c>
      <c r="E205" s="5">
        <v>45730</v>
      </c>
      <c r="F205" t="s">
        <v>11</v>
      </c>
      <c r="G205" t="s">
        <v>12</v>
      </c>
      <c r="H205" t="s">
        <v>13</v>
      </c>
      <c r="I205" t="s">
        <v>14</v>
      </c>
      <c r="J205" t="s">
        <v>15</v>
      </c>
      <c r="K205">
        <v>2</v>
      </c>
    </row>
    <row r="206" spans="1:11">
      <c r="A206">
        <v>2025</v>
      </c>
      <c r="B206">
        <v>1</v>
      </c>
      <c r="C206">
        <v>3</v>
      </c>
      <c r="D206" s="5">
        <v>45737</v>
      </c>
      <c r="E206" s="5">
        <v>45730</v>
      </c>
      <c r="F206" t="s">
        <v>11</v>
      </c>
      <c r="G206" t="s">
        <v>12</v>
      </c>
      <c r="H206" t="s">
        <v>13</v>
      </c>
      <c r="I206" t="s">
        <v>28</v>
      </c>
      <c r="J206" t="s">
        <v>63</v>
      </c>
      <c r="K206">
        <v>0.5</v>
      </c>
    </row>
    <row r="207" spans="1:11">
      <c r="A207">
        <v>2025</v>
      </c>
      <c r="B207">
        <v>1</v>
      </c>
      <c r="C207">
        <v>3</v>
      </c>
      <c r="D207" s="5">
        <v>45737</v>
      </c>
      <c r="E207" s="5">
        <v>45730</v>
      </c>
      <c r="F207" t="s">
        <v>11</v>
      </c>
      <c r="G207" t="s">
        <v>12</v>
      </c>
      <c r="H207" t="s">
        <v>13</v>
      </c>
      <c r="I207" t="s">
        <v>44</v>
      </c>
      <c r="J207" t="s">
        <v>47</v>
      </c>
      <c r="K207">
        <v>1</v>
      </c>
    </row>
    <row r="208" spans="1:11">
      <c r="A208">
        <v>2025</v>
      </c>
      <c r="B208">
        <v>1</v>
      </c>
      <c r="C208">
        <v>3</v>
      </c>
      <c r="D208" s="5">
        <v>45737</v>
      </c>
      <c r="E208" s="5">
        <v>45730</v>
      </c>
      <c r="F208" t="s">
        <v>11</v>
      </c>
      <c r="G208" t="s">
        <v>12</v>
      </c>
      <c r="H208" t="s">
        <v>13</v>
      </c>
      <c r="I208" t="s">
        <v>16</v>
      </c>
      <c r="J208" t="s">
        <v>65</v>
      </c>
      <c r="K208">
        <v>1</v>
      </c>
    </row>
    <row r="209" spans="1:11">
      <c r="A209">
        <v>2025</v>
      </c>
      <c r="B209">
        <v>1</v>
      </c>
      <c r="C209">
        <v>3</v>
      </c>
      <c r="D209" s="5">
        <v>45737</v>
      </c>
      <c r="E209" s="5">
        <v>45730</v>
      </c>
      <c r="F209" t="s">
        <v>11</v>
      </c>
      <c r="G209" t="s">
        <v>12</v>
      </c>
      <c r="H209" t="s">
        <v>13</v>
      </c>
      <c r="I209" t="s">
        <v>30</v>
      </c>
      <c r="J209" t="s">
        <v>31</v>
      </c>
      <c r="K209">
        <v>0.7</v>
      </c>
    </row>
    <row r="210" spans="1:11">
      <c r="A210">
        <v>2025</v>
      </c>
      <c r="B210">
        <v>1</v>
      </c>
      <c r="C210">
        <v>3</v>
      </c>
      <c r="D210" s="5">
        <v>45737</v>
      </c>
      <c r="E210" s="5">
        <v>45730</v>
      </c>
      <c r="F210" t="s">
        <v>21</v>
      </c>
      <c r="G210" t="s">
        <v>12</v>
      </c>
      <c r="H210" t="s">
        <v>13</v>
      </c>
      <c r="I210" t="s">
        <v>14</v>
      </c>
      <c r="J210" t="s">
        <v>24</v>
      </c>
      <c r="K210">
        <v>14.5</v>
      </c>
    </row>
    <row r="211" spans="1:11">
      <c r="A211">
        <v>2025</v>
      </c>
      <c r="B211">
        <v>1</v>
      </c>
      <c r="C211">
        <v>3</v>
      </c>
      <c r="D211" s="5">
        <v>45737</v>
      </c>
      <c r="E211" s="5">
        <v>45730</v>
      </c>
      <c r="F211" t="s">
        <v>21</v>
      </c>
      <c r="G211" t="s">
        <v>12</v>
      </c>
      <c r="H211" t="s">
        <v>13</v>
      </c>
      <c r="I211" t="s">
        <v>14</v>
      </c>
      <c r="J211" t="s">
        <v>42</v>
      </c>
      <c r="K211">
        <v>19.100000000000001</v>
      </c>
    </row>
    <row r="212" spans="1:11">
      <c r="A212">
        <v>2025</v>
      </c>
      <c r="B212">
        <v>1</v>
      </c>
      <c r="C212">
        <v>3</v>
      </c>
      <c r="D212" s="5">
        <v>45737</v>
      </c>
      <c r="E212" s="5">
        <v>45730</v>
      </c>
      <c r="F212" t="s">
        <v>21</v>
      </c>
      <c r="G212" t="s">
        <v>12</v>
      </c>
      <c r="H212" t="s">
        <v>13</v>
      </c>
      <c r="I212" t="s">
        <v>28</v>
      </c>
      <c r="J212" t="s">
        <v>58</v>
      </c>
      <c r="K212">
        <v>10</v>
      </c>
    </row>
    <row r="213" spans="1:11">
      <c r="A213">
        <v>2025</v>
      </c>
      <c r="B213">
        <v>1</v>
      </c>
      <c r="C213">
        <v>3</v>
      </c>
      <c r="D213" s="5">
        <v>45737</v>
      </c>
      <c r="E213" s="5">
        <v>45730</v>
      </c>
      <c r="F213" t="s">
        <v>25</v>
      </c>
      <c r="G213" t="s">
        <v>12</v>
      </c>
      <c r="H213" t="s">
        <v>13</v>
      </c>
      <c r="I213" t="s">
        <v>14</v>
      </c>
      <c r="J213" t="s">
        <v>37</v>
      </c>
      <c r="K213">
        <v>0.5</v>
      </c>
    </row>
    <row r="214" spans="1:11">
      <c r="A214">
        <v>2025</v>
      </c>
      <c r="B214">
        <v>1</v>
      </c>
      <c r="C214">
        <v>3</v>
      </c>
      <c r="D214" s="5">
        <v>45737</v>
      </c>
      <c r="E214" s="5">
        <v>45730</v>
      </c>
      <c r="F214" t="s">
        <v>25</v>
      </c>
      <c r="G214" t="s">
        <v>12</v>
      </c>
      <c r="H214" t="s">
        <v>13</v>
      </c>
      <c r="I214" t="s">
        <v>44</v>
      </c>
      <c r="J214" t="s">
        <v>45</v>
      </c>
      <c r="K214">
        <v>8</v>
      </c>
    </row>
    <row r="215" spans="1:11">
      <c r="A215">
        <v>2025</v>
      </c>
      <c r="B215">
        <v>1</v>
      </c>
      <c r="C215">
        <v>3</v>
      </c>
      <c r="D215" s="5">
        <v>45737</v>
      </c>
      <c r="E215" s="5">
        <v>45730</v>
      </c>
      <c r="F215" t="s">
        <v>25</v>
      </c>
      <c r="G215" t="s">
        <v>12</v>
      </c>
      <c r="H215" t="s">
        <v>13</v>
      </c>
      <c r="I215" t="s">
        <v>38</v>
      </c>
      <c r="J215" t="s">
        <v>46</v>
      </c>
      <c r="K215">
        <v>0.7</v>
      </c>
    </row>
    <row r="216" spans="1:11">
      <c r="A216">
        <v>2025</v>
      </c>
      <c r="B216">
        <v>1</v>
      </c>
      <c r="C216">
        <v>3</v>
      </c>
      <c r="D216" s="5">
        <v>45737</v>
      </c>
      <c r="E216" s="5">
        <v>45730</v>
      </c>
      <c r="F216" t="s">
        <v>25</v>
      </c>
      <c r="G216" t="s">
        <v>12</v>
      </c>
      <c r="H216" t="s">
        <v>13</v>
      </c>
      <c r="I216" t="s">
        <v>38</v>
      </c>
      <c r="J216" t="s">
        <v>51</v>
      </c>
      <c r="K216">
        <v>0.3</v>
      </c>
    </row>
    <row r="217" spans="1:11">
      <c r="A217">
        <v>2025</v>
      </c>
      <c r="B217">
        <v>1</v>
      </c>
      <c r="C217">
        <v>3</v>
      </c>
      <c r="D217" s="5">
        <v>45737</v>
      </c>
      <c r="E217" s="5">
        <v>45730</v>
      </c>
      <c r="F217" t="s">
        <v>25</v>
      </c>
      <c r="G217" t="s">
        <v>12</v>
      </c>
      <c r="H217" t="s">
        <v>13</v>
      </c>
      <c r="I217" t="s">
        <v>38</v>
      </c>
      <c r="J217" t="s">
        <v>52</v>
      </c>
      <c r="K217">
        <v>0.7</v>
      </c>
    </row>
    <row r="218" spans="1:11">
      <c r="A218">
        <v>2025</v>
      </c>
      <c r="B218">
        <v>1</v>
      </c>
      <c r="C218">
        <v>3</v>
      </c>
      <c r="D218" s="5">
        <v>45737</v>
      </c>
      <c r="E218" s="5">
        <v>45730</v>
      </c>
      <c r="F218" t="s">
        <v>25</v>
      </c>
      <c r="G218" t="s">
        <v>12</v>
      </c>
      <c r="H218" t="s">
        <v>13</v>
      </c>
      <c r="I218" t="s">
        <v>30</v>
      </c>
      <c r="J218" t="s">
        <v>31</v>
      </c>
      <c r="K218">
        <v>19.5</v>
      </c>
    </row>
    <row r="219" spans="1:11">
      <c r="A219">
        <v>2025</v>
      </c>
      <c r="B219">
        <v>1</v>
      </c>
      <c r="C219">
        <v>3</v>
      </c>
      <c r="D219" s="5">
        <v>45737</v>
      </c>
      <c r="E219" s="5">
        <v>45730</v>
      </c>
      <c r="F219" t="s">
        <v>25</v>
      </c>
      <c r="G219" t="s">
        <v>12</v>
      </c>
      <c r="H219" t="s">
        <v>13</v>
      </c>
      <c r="I219" t="s">
        <v>30</v>
      </c>
      <c r="J219" t="s">
        <v>62</v>
      </c>
      <c r="K219">
        <v>3.5</v>
      </c>
    </row>
    <row r="220" spans="1:11">
      <c r="A220">
        <v>2025</v>
      </c>
      <c r="B220">
        <v>1</v>
      </c>
      <c r="C220">
        <v>3</v>
      </c>
      <c r="D220" s="5">
        <v>45737</v>
      </c>
      <c r="E220" s="5">
        <v>45737</v>
      </c>
      <c r="F220" t="s">
        <v>32</v>
      </c>
      <c r="G220" t="s">
        <v>12</v>
      </c>
      <c r="H220" t="s">
        <v>13</v>
      </c>
      <c r="I220" t="s">
        <v>14</v>
      </c>
      <c r="J220" t="s">
        <v>54</v>
      </c>
      <c r="K220">
        <v>2</v>
      </c>
    </row>
    <row r="221" spans="1:11">
      <c r="A221">
        <v>2025</v>
      </c>
      <c r="B221">
        <v>1</v>
      </c>
      <c r="C221">
        <v>3</v>
      </c>
      <c r="D221" s="5">
        <v>45737</v>
      </c>
      <c r="E221" s="5">
        <v>45737</v>
      </c>
      <c r="F221" t="s">
        <v>32</v>
      </c>
      <c r="G221" t="s">
        <v>12</v>
      </c>
      <c r="H221" t="s">
        <v>13</v>
      </c>
      <c r="I221" t="s">
        <v>14</v>
      </c>
      <c r="J221" t="s">
        <v>42</v>
      </c>
      <c r="K221">
        <v>17.5</v>
      </c>
    </row>
    <row r="222" spans="1:11">
      <c r="A222">
        <v>2025</v>
      </c>
      <c r="B222">
        <v>1</v>
      </c>
      <c r="C222">
        <v>3</v>
      </c>
      <c r="D222" s="5">
        <v>45737</v>
      </c>
      <c r="E222" s="5">
        <v>45737</v>
      </c>
      <c r="F222" t="s">
        <v>32</v>
      </c>
      <c r="G222" t="s">
        <v>12</v>
      </c>
      <c r="H222" t="s">
        <v>13</v>
      </c>
      <c r="I222" t="s">
        <v>44</v>
      </c>
      <c r="J222" t="s">
        <v>47</v>
      </c>
      <c r="K222">
        <v>13</v>
      </c>
    </row>
    <row r="223" spans="1:11">
      <c r="A223">
        <v>2025</v>
      </c>
      <c r="B223">
        <v>1</v>
      </c>
      <c r="C223">
        <v>3</v>
      </c>
      <c r="D223" s="5">
        <v>45737</v>
      </c>
      <c r="E223" s="5">
        <v>45737</v>
      </c>
      <c r="F223" t="s">
        <v>11</v>
      </c>
      <c r="G223" t="s">
        <v>12</v>
      </c>
      <c r="H223" t="s">
        <v>13</v>
      </c>
      <c r="I223" t="s">
        <v>14</v>
      </c>
      <c r="J223" t="s">
        <v>37</v>
      </c>
      <c r="K223">
        <v>1</v>
      </c>
    </row>
    <row r="224" spans="1:11">
      <c r="A224">
        <v>2025</v>
      </c>
      <c r="B224">
        <v>1</v>
      </c>
      <c r="C224">
        <v>3</v>
      </c>
      <c r="D224" s="5">
        <v>45737</v>
      </c>
      <c r="E224" s="5">
        <v>45737</v>
      </c>
      <c r="F224" t="s">
        <v>11</v>
      </c>
      <c r="G224" t="s">
        <v>12</v>
      </c>
      <c r="H224" t="s">
        <v>13</v>
      </c>
      <c r="I224" t="s">
        <v>14</v>
      </c>
      <c r="J224" t="s">
        <v>15</v>
      </c>
      <c r="K224">
        <v>25.6</v>
      </c>
    </row>
    <row r="225" spans="1:11">
      <c r="A225">
        <v>2025</v>
      </c>
      <c r="B225">
        <v>1</v>
      </c>
      <c r="C225">
        <v>3</v>
      </c>
      <c r="D225" s="5">
        <v>45737</v>
      </c>
      <c r="E225" s="5">
        <v>45737</v>
      </c>
      <c r="F225" t="s">
        <v>41</v>
      </c>
      <c r="G225" t="s">
        <v>12</v>
      </c>
      <c r="H225" t="s">
        <v>13</v>
      </c>
      <c r="I225" t="s">
        <v>14</v>
      </c>
      <c r="J225" t="s">
        <v>15</v>
      </c>
      <c r="K225">
        <v>6.5</v>
      </c>
    </row>
    <row r="226" spans="1:11">
      <c r="A226">
        <v>2025</v>
      </c>
      <c r="B226">
        <v>1</v>
      </c>
      <c r="C226">
        <v>3</v>
      </c>
      <c r="D226" s="5">
        <v>45737</v>
      </c>
      <c r="E226" s="5">
        <v>45737</v>
      </c>
      <c r="F226" t="s">
        <v>21</v>
      </c>
      <c r="G226" t="s">
        <v>12</v>
      </c>
      <c r="H226" t="s">
        <v>13</v>
      </c>
      <c r="I226" t="s">
        <v>14</v>
      </c>
      <c r="J226" t="s">
        <v>24</v>
      </c>
      <c r="K226">
        <v>15.4</v>
      </c>
    </row>
    <row r="227" spans="1:11">
      <c r="A227">
        <v>2025</v>
      </c>
      <c r="B227">
        <v>1</v>
      </c>
      <c r="C227">
        <v>3</v>
      </c>
      <c r="D227" s="5">
        <v>45737</v>
      </c>
      <c r="E227" s="5">
        <v>45737</v>
      </c>
      <c r="F227" t="s">
        <v>21</v>
      </c>
      <c r="G227" t="s">
        <v>12</v>
      </c>
      <c r="H227" t="s">
        <v>13</v>
      </c>
      <c r="I227" t="s">
        <v>14</v>
      </c>
      <c r="J227" t="s">
        <v>57</v>
      </c>
      <c r="K227">
        <v>1</v>
      </c>
    </row>
    <row r="228" spans="1:11">
      <c r="A228">
        <v>2025</v>
      </c>
      <c r="B228">
        <v>1</v>
      </c>
      <c r="C228">
        <v>3</v>
      </c>
      <c r="D228" s="5">
        <v>45737</v>
      </c>
      <c r="E228" s="5">
        <v>45737</v>
      </c>
      <c r="F228" t="s">
        <v>21</v>
      </c>
      <c r="G228" t="s">
        <v>12</v>
      </c>
      <c r="H228" t="s">
        <v>13</v>
      </c>
      <c r="I228" t="s">
        <v>14</v>
      </c>
      <c r="J228" t="s">
        <v>42</v>
      </c>
      <c r="K228">
        <v>18.8</v>
      </c>
    </row>
    <row r="229" spans="1:11">
      <c r="A229">
        <v>2025</v>
      </c>
      <c r="B229">
        <v>1</v>
      </c>
      <c r="C229">
        <v>3</v>
      </c>
      <c r="D229" s="5">
        <v>45737</v>
      </c>
      <c r="E229" s="5">
        <v>45737</v>
      </c>
      <c r="F229" t="s">
        <v>21</v>
      </c>
      <c r="G229" t="s">
        <v>12</v>
      </c>
      <c r="H229" t="s">
        <v>13</v>
      </c>
      <c r="I229" t="s">
        <v>28</v>
      </c>
      <c r="J229" t="s">
        <v>58</v>
      </c>
      <c r="K229">
        <v>5.7</v>
      </c>
    </row>
    <row r="230" spans="1:11">
      <c r="A230">
        <v>2025</v>
      </c>
      <c r="B230">
        <v>1</v>
      </c>
      <c r="C230">
        <v>3</v>
      </c>
      <c r="D230" s="5">
        <v>45737</v>
      </c>
      <c r="E230" s="5">
        <v>45737</v>
      </c>
      <c r="F230" t="s">
        <v>21</v>
      </c>
      <c r="G230" t="s">
        <v>12</v>
      </c>
      <c r="H230" t="s">
        <v>13</v>
      </c>
      <c r="I230" t="s">
        <v>28</v>
      </c>
      <c r="J230" t="s">
        <v>43</v>
      </c>
      <c r="K230">
        <v>7.3</v>
      </c>
    </row>
    <row r="231" spans="1:11">
      <c r="A231">
        <v>2025</v>
      </c>
      <c r="B231">
        <v>1</v>
      </c>
      <c r="C231">
        <v>3</v>
      </c>
      <c r="D231" s="5">
        <v>45737</v>
      </c>
      <c r="E231" s="5">
        <v>45737</v>
      </c>
      <c r="F231" t="s">
        <v>25</v>
      </c>
      <c r="G231" t="s">
        <v>12</v>
      </c>
      <c r="H231" t="s">
        <v>13</v>
      </c>
      <c r="I231" t="s">
        <v>14</v>
      </c>
      <c r="J231" t="s">
        <v>37</v>
      </c>
      <c r="K231">
        <v>0.4</v>
      </c>
    </row>
    <row r="232" spans="1:11">
      <c r="A232">
        <v>2025</v>
      </c>
      <c r="B232">
        <v>1</v>
      </c>
      <c r="C232">
        <v>3</v>
      </c>
      <c r="D232" s="5">
        <v>45737</v>
      </c>
      <c r="E232" s="5">
        <v>45737</v>
      </c>
      <c r="F232" t="s">
        <v>25</v>
      </c>
      <c r="G232" t="s">
        <v>12</v>
      </c>
      <c r="H232" t="s">
        <v>13</v>
      </c>
      <c r="I232" t="s">
        <v>14</v>
      </c>
      <c r="J232" t="s">
        <v>15</v>
      </c>
      <c r="K232">
        <v>7.3</v>
      </c>
    </row>
    <row r="233" spans="1:11">
      <c r="A233">
        <v>2025</v>
      </c>
      <c r="B233">
        <v>1</v>
      </c>
      <c r="C233">
        <v>3</v>
      </c>
      <c r="D233" s="5">
        <v>45737</v>
      </c>
      <c r="E233" s="5">
        <v>45737</v>
      </c>
      <c r="F233" t="s">
        <v>25</v>
      </c>
      <c r="G233" t="s">
        <v>12</v>
      </c>
      <c r="H233" t="s">
        <v>13</v>
      </c>
      <c r="I233" t="s">
        <v>44</v>
      </c>
      <c r="J233" t="s">
        <v>45</v>
      </c>
      <c r="K233">
        <v>18</v>
      </c>
    </row>
    <row r="234" spans="1:11">
      <c r="A234">
        <v>2025</v>
      </c>
      <c r="B234">
        <v>1</v>
      </c>
      <c r="C234">
        <v>3</v>
      </c>
      <c r="D234" s="5">
        <v>45737</v>
      </c>
      <c r="E234" s="5">
        <v>45737</v>
      </c>
      <c r="F234" t="s">
        <v>25</v>
      </c>
      <c r="G234" t="s">
        <v>12</v>
      </c>
      <c r="H234" t="s">
        <v>13</v>
      </c>
      <c r="I234" t="s">
        <v>38</v>
      </c>
      <c r="J234" t="s">
        <v>46</v>
      </c>
      <c r="K234">
        <v>3.8</v>
      </c>
    </row>
    <row r="235" spans="1:11">
      <c r="A235">
        <v>2025</v>
      </c>
      <c r="B235">
        <v>1</v>
      </c>
      <c r="C235">
        <v>3</v>
      </c>
      <c r="D235" s="5">
        <v>45737</v>
      </c>
      <c r="E235" s="5">
        <v>45737</v>
      </c>
      <c r="F235" t="s">
        <v>25</v>
      </c>
      <c r="G235" t="s">
        <v>12</v>
      </c>
      <c r="H235" t="s">
        <v>13</v>
      </c>
      <c r="I235" t="s">
        <v>38</v>
      </c>
      <c r="J235" t="s">
        <v>51</v>
      </c>
      <c r="K235">
        <v>0.3</v>
      </c>
    </row>
    <row r="236" spans="1:11">
      <c r="A236">
        <v>2025</v>
      </c>
      <c r="B236">
        <v>1</v>
      </c>
      <c r="C236">
        <v>3</v>
      </c>
      <c r="D236" s="5">
        <v>45737</v>
      </c>
      <c r="E236" s="5">
        <v>45737</v>
      </c>
      <c r="F236" t="s">
        <v>25</v>
      </c>
      <c r="G236" t="s">
        <v>12</v>
      </c>
      <c r="H236" t="s">
        <v>13</v>
      </c>
      <c r="I236" t="s">
        <v>38</v>
      </c>
      <c r="J236" t="s">
        <v>52</v>
      </c>
      <c r="K236">
        <v>0.8</v>
      </c>
    </row>
    <row r="237" spans="1:11">
      <c r="A237">
        <v>2025</v>
      </c>
      <c r="B237">
        <v>1</v>
      </c>
      <c r="C237">
        <v>3</v>
      </c>
      <c r="D237" s="5">
        <v>45737</v>
      </c>
      <c r="E237" s="5">
        <v>45737</v>
      </c>
      <c r="F237" t="s">
        <v>25</v>
      </c>
      <c r="G237" t="s">
        <v>12</v>
      </c>
      <c r="H237" t="s">
        <v>13</v>
      </c>
      <c r="I237" t="s">
        <v>30</v>
      </c>
      <c r="J237" t="s">
        <v>31</v>
      </c>
      <c r="K237">
        <v>4.2</v>
      </c>
    </row>
    <row r="238" spans="1:11">
      <c r="A238">
        <v>2025</v>
      </c>
      <c r="B238">
        <v>1</v>
      </c>
      <c r="C238">
        <v>3</v>
      </c>
      <c r="D238" s="5">
        <v>45737</v>
      </c>
      <c r="E238" s="5">
        <v>45737</v>
      </c>
      <c r="F238" t="s">
        <v>25</v>
      </c>
      <c r="G238" t="s">
        <v>12</v>
      </c>
      <c r="H238" t="s">
        <v>13</v>
      </c>
      <c r="I238" t="s">
        <v>30</v>
      </c>
      <c r="J238" t="s">
        <v>62</v>
      </c>
      <c r="K238">
        <v>6.4</v>
      </c>
    </row>
    <row r="239" spans="1:11">
      <c r="A239">
        <v>2025</v>
      </c>
      <c r="B239">
        <v>1</v>
      </c>
      <c r="C239">
        <v>3</v>
      </c>
      <c r="D239" s="5">
        <v>45751</v>
      </c>
      <c r="E239" s="5">
        <v>45744</v>
      </c>
      <c r="F239" t="s">
        <v>11</v>
      </c>
      <c r="G239" t="s">
        <v>12</v>
      </c>
      <c r="H239" t="s">
        <v>13</v>
      </c>
      <c r="I239" t="s">
        <v>14</v>
      </c>
      <c r="J239" t="s">
        <v>27</v>
      </c>
      <c r="K239">
        <v>1</v>
      </c>
    </row>
    <row r="240" spans="1:11">
      <c r="A240">
        <v>2025</v>
      </c>
      <c r="B240">
        <v>1</v>
      </c>
      <c r="C240">
        <v>3</v>
      </c>
      <c r="D240" s="5">
        <v>45751</v>
      </c>
      <c r="E240" s="5">
        <v>45744</v>
      </c>
      <c r="F240" t="s">
        <v>11</v>
      </c>
      <c r="G240" t="s">
        <v>12</v>
      </c>
      <c r="H240" t="s">
        <v>13</v>
      </c>
      <c r="I240" t="s">
        <v>14</v>
      </c>
      <c r="J240" t="s">
        <v>37</v>
      </c>
      <c r="K240">
        <v>1.3</v>
      </c>
    </row>
    <row r="241" spans="1:11">
      <c r="A241">
        <v>2025</v>
      </c>
      <c r="B241">
        <v>1</v>
      </c>
      <c r="C241">
        <v>3</v>
      </c>
      <c r="D241" s="5">
        <v>45751</v>
      </c>
      <c r="E241" s="5">
        <v>45744</v>
      </c>
      <c r="F241" t="s">
        <v>11</v>
      </c>
      <c r="G241" t="s">
        <v>12</v>
      </c>
      <c r="H241" t="s">
        <v>13</v>
      </c>
      <c r="I241" t="s">
        <v>14</v>
      </c>
      <c r="J241" t="s">
        <v>15</v>
      </c>
      <c r="K241">
        <v>1.8</v>
      </c>
    </row>
    <row r="242" spans="1:11">
      <c r="A242">
        <v>2025</v>
      </c>
      <c r="B242">
        <v>1</v>
      </c>
      <c r="C242">
        <v>3</v>
      </c>
      <c r="D242" s="5">
        <v>45751</v>
      </c>
      <c r="E242" s="5">
        <v>45744</v>
      </c>
      <c r="F242" t="s">
        <v>11</v>
      </c>
      <c r="G242" t="s">
        <v>12</v>
      </c>
      <c r="H242" t="s">
        <v>13</v>
      </c>
      <c r="I242" t="s">
        <v>28</v>
      </c>
      <c r="J242" t="s">
        <v>63</v>
      </c>
      <c r="K242">
        <v>5.2</v>
      </c>
    </row>
    <row r="243" spans="1:11">
      <c r="A243">
        <v>2025</v>
      </c>
      <c r="B243">
        <v>1</v>
      </c>
      <c r="C243">
        <v>3</v>
      </c>
      <c r="D243" s="5">
        <v>45751</v>
      </c>
      <c r="E243" s="5">
        <v>45744</v>
      </c>
      <c r="F243" t="s">
        <v>11</v>
      </c>
      <c r="G243" t="s">
        <v>12</v>
      </c>
      <c r="H243" t="s">
        <v>13</v>
      </c>
      <c r="I243" t="s">
        <v>28</v>
      </c>
      <c r="J243" t="s">
        <v>43</v>
      </c>
      <c r="K243">
        <v>0.5</v>
      </c>
    </row>
    <row r="244" spans="1:11">
      <c r="A244">
        <v>2025</v>
      </c>
      <c r="B244">
        <v>1</v>
      </c>
      <c r="C244">
        <v>3</v>
      </c>
      <c r="D244" s="5">
        <v>45751</v>
      </c>
      <c r="E244" s="5">
        <v>45744</v>
      </c>
      <c r="F244" t="s">
        <v>11</v>
      </c>
      <c r="G244" t="s">
        <v>12</v>
      </c>
      <c r="H244" t="s">
        <v>13</v>
      </c>
      <c r="I244" t="s">
        <v>30</v>
      </c>
      <c r="J244" t="s">
        <v>31</v>
      </c>
      <c r="K244">
        <v>1.2</v>
      </c>
    </row>
    <row r="245" spans="1:11">
      <c r="A245">
        <v>2025</v>
      </c>
      <c r="B245">
        <v>1</v>
      </c>
      <c r="C245">
        <v>3</v>
      </c>
      <c r="D245" s="5">
        <v>45751</v>
      </c>
      <c r="E245" s="5">
        <v>45744</v>
      </c>
      <c r="F245" t="s">
        <v>21</v>
      </c>
      <c r="G245" t="s">
        <v>12</v>
      </c>
      <c r="H245" t="s">
        <v>13</v>
      </c>
      <c r="I245" t="s">
        <v>14</v>
      </c>
      <c r="J245" t="s">
        <v>24</v>
      </c>
      <c r="K245">
        <v>6.7</v>
      </c>
    </row>
    <row r="246" spans="1:11">
      <c r="A246">
        <v>2025</v>
      </c>
      <c r="B246">
        <v>1</v>
      </c>
      <c r="C246">
        <v>3</v>
      </c>
      <c r="D246" s="5">
        <v>45751</v>
      </c>
      <c r="E246" s="5">
        <v>45744</v>
      </c>
      <c r="F246" t="s">
        <v>21</v>
      </c>
      <c r="G246" t="s">
        <v>12</v>
      </c>
      <c r="H246" t="s">
        <v>13</v>
      </c>
      <c r="I246" t="s">
        <v>14</v>
      </c>
      <c r="J246" t="s">
        <v>42</v>
      </c>
      <c r="K246">
        <v>4.0999999999999996</v>
      </c>
    </row>
    <row r="247" spans="1:11">
      <c r="A247">
        <v>2025</v>
      </c>
      <c r="B247">
        <v>1</v>
      </c>
      <c r="C247">
        <v>3</v>
      </c>
      <c r="D247" s="5">
        <v>45751</v>
      </c>
      <c r="E247" s="5">
        <v>45744</v>
      </c>
      <c r="F247" t="s">
        <v>21</v>
      </c>
      <c r="G247" t="s">
        <v>12</v>
      </c>
      <c r="H247" t="s">
        <v>13</v>
      </c>
      <c r="I247" t="s">
        <v>28</v>
      </c>
      <c r="J247" t="s">
        <v>58</v>
      </c>
      <c r="K247">
        <v>27.2</v>
      </c>
    </row>
    <row r="248" spans="1:11">
      <c r="A248">
        <v>2025</v>
      </c>
      <c r="B248">
        <v>1</v>
      </c>
      <c r="C248">
        <v>3</v>
      </c>
      <c r="D248" s="5">
        <v>45751</v>
      </c>
      <c r="E248" s="5">
        <v>45744</v>
      </c>
      <c r="F248" t="s">
        <v>21</v>
      </c>
      <c r="G248" t="s">
        <v>12</v>
      </c>
      <c r="H248" t="s">
        <v>13</v>
      </c>
      <c r="I248" t="s">
        <v>28</v>
      </c>
      <c r="J248" t="s">
        <v>43</v>
      </c>
      <c r="K248">
        <v>2.4</v>
      </c>
    </row>
    <row r="249" spans="1:11">
      <c r="A249">
        <v>2025</v>
      </c>
      <c r="B249">
        <v>1</v>
      </c>
      <c r="C249">
        <v>3</v>
      </c>
      <c r="D249" s="5">
        <v>45751</v>
      </c>
      <c r="E249" s="5">
        <v>45744</v>
      </c>
      <c r="F249" t="s">
        <v>25</v>
      </c>
      <c r="G249" t="s">
        <v>12</v>
      </c>
      <c r="H249" t="s">
        <v>13</v>
      </c>
      <c r="I249" t="s">
        <v>14</v>
      </c>
      <c r="J249" t="s">
        <v>37</v>
      </c>
      <c r="K249">
        <v>1</v>
      </c>
    </row>
    <row r="250" spans="1:11">
      <c r="A250">
        <v>2025</v>
      </c>
      <c r="B250">
        <v>1</v>
      </c>
      <c r="C250">
        <v>3</v>
      </c>
      <c r="D250" s="5">
        <v>45751</v>
      </c>
      <c r="E250" s="5">
        <v>45744</v>
      </c>
      <c r="F250" t="s">
        <v>25</v>
      </c>
      <c r="G250" t="s">
        <v>12</v>
      </c>
      <c r="H250" t="s">
        <v>13</v>
      </c>
      <c r="I250" t="s">
        <v>28</v>
      </c>
      <c r="J250" t="s">
        <v>29</v>
      </c>
      <c r="K250">
        <v>4.5</v>
      </c>
    </row>
    <row r="251" spans="1:11">
      <c r="A251">
        <v>2025</v>
      </c>
      <c r="B251">
        <v>1</v>
      </c>
      <c r="C251">
        <v>3</v>
      </c>
      <c r="D251" s="5">
        <v>45751</v>
      </c>
      <c r="E251" s="5">
        <v>45744</v>
      </c>
      <c r="F251" t="s">
        <v>25</v>
      </c>
      <c r="G251" t="s">
        <v>12</v>
      </c>
      <c r="H251" t="s">
        <v>13</v>
      </c>
      <c r="I251" t="s">
        <v>44</v>
      </c>
      <c r="J251" t="s">
        <v>45</v>
      </c>
      <c r="K251">
        <v>3.7</v>
      </c>
    </row>
    <row r="252" spans="1:11">
      <c r="A252">
        <v>2025</v>
      </c>
      <c r="B252">
        <v>1</v>
      </c>
      <c r="C252">
        <v>3</v>
      </c>
      <c r="D252" s="5">
        <v>45751</v>
      </c>
      <c r="E252" s="5">
        <v>45744</v>
      </c>
      <c r="F252" t="s">
        <v>25</v>
      </c>
      <c r="G252" t="s">
        <v>12</v>
      </c>
      <c r="H252" t="s">
        <v>13</v>
      </c>
      <c r="I252" t="s">
        <v>38</v>
      </c>
      <c r="J252" t="s">
        <v>46</v>
      </c>
      <c r="K252">
        <v>0.2</v>
      </c>
    </row>
    <row r="253" spans="1:11">
      <c r="A253">
        <v>2025</v>
      </c>
      <c r="B253">
        <v>1</v>
      </c>
      <c r="C253">
        <v>3</v>
      </c>
      <c r="D253" s="5">
        <v>45751</v>
      </c>
      <c r="E253" s="5">
        <v>45744</v>
      </c>
      <c r="F253" t="s">
        <v>25</v>
      </c>
      <c r="G253" t="s">
        <v>12</v>
      </c>
      <c r="H253" t="s">
        <v>13</v>
      </c>
      <c r="I253" t="s">
        <v>38</v>
      </c>
      <c r="J253" t="s">
        <v>52</v>
      </c>
      <c r="K253">
        <v>0.3</v>
      </c>
    </row>
    <row r="254" spans="1:11">
      <c r="A254">
        <v>2025</v>
      </c>
      <c r="B254">
        <v>1</v>
      </c>
      <c r="C254">
        <v>3</v>
      </c>
      <c r="D254" s="5">
        <v>45751</v>
      </c>
      <c r="E254" s="5">
        <v>45744</v>
      </c>
      <c r="F254" t="s">
        <v>25</v>
      </c>
      <c r="G254" t="s">
        <v>12</v>
      </c>
      <c r="H254" t="s">
        <v>13</v>
      </c>
      <c r="I254" t="s">
        <v>30</v>
      </c>
      <c r="J254" t="s">
        <v>66</v>
      </c>
      <c r="K254">
        <v>1</v>
      </c>
    </row>
    <row r="255" spans="1:11">
      <c r="A255">
        <v>2025</v>
      </c>
      <c r="B255">
        <v>1</v>
      </c>
      <c r="C255">
        <v>3</v>
      </c>
      <c r="D255" s="5">
        <v>45751</v>
      </c>
      <c r="E255" s="5">
        <v>45744</v>
      </c>
      <c r="F255" t="s">
        <v>25</v>
      </c>
      <c r="G255" t="s">
        <v>12</v>
      </c>
      <c r="H255" t="s">
        <v>13</v>
      </c>
      <c r="I255" t="s">
        <v>30</v>
      </c>
      <c r="J255" t="s">
        <v>67</v>
      </c>
      <c r="K255">
        <v>0.2</v>
      </c>
    </row>
    <row r="256" spans="1:11">
      <c r="A256">
        <v>2025</v>
      </c>
      <c r="B256">
        <v>1</v>
      </c>
      <c r="C256">
        <v>3</v>
      </c>
      <c r="D256" s="5">
        <v>45751</v>
      </c>
      <c r="E256" s="5">
        <v>45744</v>
      </c>
      <c r="F256" t="s">
        <v>25</v>
      </c>
      <c r="G256" t="s">
        <v>12</v>
      </c>
      <c r="H256" t="s">
        <v>13</v>
      </c>
      <c r="I256" t="s">
        <v>30</v>
      </c>
      <c r="J256" t="s">
        <v>31</v>
      </c>
      <c r="K256">
        <v>3.3</v>
      </c>
    </row>
    <row r="257" spans="1:11">
      <c r="A257">
        <v>2025</v>
      </c>
      <c r="B257">
        <v>1</v>
      </c>
      <c r="C257">
        <v>3</v>
      </c>
      <c r="D257" s="5">
        <v>45751</v>
      </c>
      <c r="E257" s="5">
        <v>45744</v>
      </c>
      <c r="F257" t="s">
        <v>25</v>
      </c>
      <c r="G257" t="s">
        <v>12</v>
      </c>
      <c r="H257" t="s">
        <v>13</v>
      </c>
      <c r="I257" t="s">
        <v>30</v>
      </c>
      <c r="J257" t="s">
        <v>62</v>
      </c>
      <c r="K257">
        <v>1</v>
      </c>
    </row>
    <row r="258" spans="1:11">
      <c r="A258">
        <v>2025</v>
      </c>
      <c r="B258">
        <v>1</v>
      </c>
      <c r="C258">
        <v>3</v>
      </c>
      <c r="D258" s="5">
        <v>45751</v>
      </c>
      <c r="E258" s="5">
        <v>45744</v>
      </c>
      <c r="F258" t="s">
        <v>25</v>
      </c>
      <c r="G258" t="s">
        <v>12</v>
      </c>
      <c r="H258" t="s">
        <v>13</v>
      </c>
      <c r="I258" t="s">
        <v>30</v>
      </c>
      <c r="J258" t="s">
        <v>68</v>
      </c>
      <c r="K258">
        <v>0.3</v>
      </c>
    </row>
    <row r="259" spans="1:11">
      <c r="A259">
        <v>2025</v>
      </c>
      <c r="B259">
        <v>1</v>
      </c>
      <c r="C259">
        <v>4</v>
      </c>
      <c r="D259" s="5">
        <v>45751</v>
      </c>
      <c r="E259" s="5">
        <v>45751</v>
      </c>
      <c r="F259" t="s">
        <v>32</v>
      </c>
      <c r="G259" t="s">
        <v>12</v>
      </c>
      <c r="H259" t="s">
        <v>13</v>
      </c>
      <c r="I259" t="s">
        <v>14</v>
      </c>
      <c r="J259" t="s">
        <v>54</v>
      </c>
      <c r="K259">
        <v>2</v>
      </c>
    </row>
    <row r="260" spans="1:11">
      <c r="A260">
        <v>2025</v>
      </c>
      <c r="B260">
        <v>1</v>
      </c>
      <c r="C260">
        <v>4</v>
      </c>
      <c r="D260" s="5">
        <v>45751</v>
      </c>
      <c r="E260" s="5">
        <v>45751</v>
      </c>
      <c r="F260" t="s">
        <v>32</v>
      </c>
      <c r="G260" t="s">
        <v>12</v>
      </c>
      <c r="H260" t="s">
        <v>13</v>
      </c>
      <c r="I260" t="s">
        <v>14</v>
      </c>
      <c r="J260" t="s">
        <v>42</v>
      </c>
      <c r="K260">
        <v>2</v>
      </c>
    </row>
    <row r="261" spans="1:11">
      <c r="A261">
        <v>2025</v>
      </c>
      <c r="B261">
        <v>1</v>
      </c>
      <c r="C261">
        <v>4</v>
      </c>
      <c r="D261" s="5">
        <v>45751</v>
      </c>
      <c r="E261" s="5">
        <v>45751</v>
      </c>
      <c r="F261" t="s">
        <v>32</v>
      </c>
      <c r="G261" t="s">
        <v>12</v>
      </c>
      <c r="H261" t="s">
        <v>13</v>
      </c>
      <c r="I261" t="s">
        <v>44</v>
      </c>
      <c r="J261" t="s">
        <v>47</v>
      </c>
      <c r="K261">
        <v>6</v>
      </c>
    </row>
    <row r="262" spans="1:11">
      <c r="A262">
        <v>2025</v>
      </c>
      <c r="B262">
        <v>1</v>
      </c>
      <c r="C262">
        <v>4</v>
      </c>
      <c r="D262" s="5">
        <v>45751</v>
      </c>
      <c r="E262" s="5">
        <v>45751</v>
      </c>
      <c r="F262" t="s">
        <v>11</v>
      </c>
      <c r="G262" t="s">
        <v>12</v>
      </c>
      <c r="H262" t="s">
        <v>13</v>
      </c>
      <c r="I262" t="s">
        <v>14</v>
      </c>
      <c r="J262" t="s">
        <v>69</v>
      </c>
      <c r="K262">
        <v>1.7</v>
      </c>
    </row>
    <row r="263" spans="1:11">
      <c r="A263">
        <v>2025</v>
      </c>
      <c r="B263">
        <v>1</v>
      </c>
      <c r="C263">
        <v>4</v>
      </c>
      <c r="D263" s="5">
        <v>45751</v>
      </c>
      <c r="E263" s="5">
        <v>45751</v>
      </c>
      <c r="F263" t="s">
        <v>11</v>
      </c>
      <c r="G263" t="s">
        <v>12</v>
      </c>
      <c r="H263" t="s">
        <v>13</v>
      </c>
      <c r="I263" t="s">
        <v>14</v>
      </c>
      <c r="J263" t="s">
        <v>37</v>
      </c>
      <c r="K263">
        <v>0.6</v>
      </c>
    </row>
    <row r="264" spans="1:11">
      <c r="A264">
        <v>2025</v>
      </c>
      <c r="B264">
        <v>1</v>
      </c>
      <c r="C264">
        <v>4</v>
      </c>
      <c r="D264" s="5">
        <v>45751</v>
      </c>
      <c r="E264" s="5">
        <v>45751</v>
      </c>
      <c r="F264" t="s">
        <v>11</v>
      </c>
      <c r="G264" t="s">
        <v>12</v>
      </c>
      <c r="H264" t="s">
        <v>13</v>
      </c>
      <c r="I264" t="s">
        <v>14</v>
      </c>
      <c r="J264" t="s">
        <v>15</v>
      </c>
      <c r="K264">
        <v>2.2999999999999998</v>
      </c>
    </row>
    <row r="265" spans="1:11">
      <c r="A265">
        <v>2025</v>
      </c>
      <c r="B265">
        <v>1</v>
      </c>
      <c r="C265">
        <v>4</v>
      </c>
      <c r="D265" s="5">
        <v>45751</v>
      </c>
      <c r="E265" s="5">
        <v>45751</v>
      </c>
      <c r="F265" t="s">
        <v>11</v>
      </c>
      <c r="G265" t="s">
        <v>12</v>
      </c>
      <c r="H265" t="s">
        <v>13</v>
      </c>
      <c r="I265" t="s">
        <v>44</v>
      </c>
      <c r="J265" t="s">
        <v>64</v>
      </c>
      <c r="K265">
        <v>0.3</v>
      </c>
    </row>
    <row r="266" spans="1:11">
      <c r="A266">
        <v>2025</v>
      </c>
      <c r="B266">
        <v>1</v>
      </c>
      <c r="C266">
        <v>4</v>
      </c>
      <c r="D266" s="5">
        <v>45751</v>
      </c>
      <c r="E266" s="5">
        <v>45751</v>
      </c>
      <c r="F266" t="s">
        <v>21</v>
      </c>
      <c r="G266" t="s">
        <v>12</v>
      </c>
      <c r="H266" t="s">
        <v>13</v>
      </c>
      <c r="I266" t="s">
        <v>14</v>
      </c>
      <c r="J266" t="s">
        <v>42</v>
      </c>
      <c r="K266">
        <v>10</v>
      </c>
    </row>
    <row r="267" spans="1:11">
      <c r="A267">
        <v>2025</v>
      </c>
      <c r="B267">
        <v>1</v>
      </c>
      <c r="C267">
        <v>4</v>
      </c>
      <c r="D267" s="5">
        <v>45751</v>
      </c>
      <c r="E267" s="5">
        <v>45751</v>
      </c>
      <c r="F267" t="s">
        <v>25</v>
      </c>
      <c r="G267" t="s">
        <v>12</v>
      </c>
      <c r="H267" t="s">
        <v>13</v>
      </c>
      <c r="I267" t="s">
        <v>14</v>
      </c>
      <c r="J267" t="s">
        <v>15</v>
      </c>
      <c r="K267">
        <v>2.5</v>
      </c>
    </row>
    <row r="268" spans="1:11">
      <c r="A268">
        <v>2025</v>
      </c>
      <c r="B268">
        <v>1</v>
      </c>
      <c r="C268">
        <v>4</v>
      </c>
      <c r="D268" s="5">
        <v>45751</v>
      </c>
      <c r="E268" s="5">
        <v>45751</v>
      </c>
      <c r="F268" t="s">
        <v>25</v>
      </c>
      <c r="G268" t="s">
        <v>12</v>
      </c>
      <c r="H268" t="s">
        <v>13</v>
      </c>
      <c r="I268" t="s">
        <v>28</v>
      </c>
      <c r="J268" t="s">
        <v>29</v>
      </c>
      <c r="K268">
        <v>5.5</v>
      </c>
    </row>
    <row r="269" spans="1:11">
      <c r="A269">
        <v>2025</v>
      </c>
      <c r="B269">
        <v>1</v>
      </c>
      <c r="C269">
        <v>4</v>
      </c>
      <c r="D269" s="5">
        <v>45751</v>
      </c>
      <c r="E269" s="5">
        <v>45751</v>
      </c>
      <c r="F269" t="s">
        <v>25</v>
      </c>
      <c r="G269" t="s">
        <v>12</v>
      </c>
      <c r="H269" t="s">
        <v>13</v>
      </c>
      <c r="I269" t="s">
        <v>44</v>
      </c>
      <c r="J269" t="s">
        <v>45</v>
      </c>
      <c r="K269">
        <v>4.5</v>
      </c>
    </row>
    <row r="270" spans="1:11">
      <c r="A270">
        <v>2025</v>
      </c>
      <c r="B270">
        <v>1</v>
      </c>
      <c r="C270">
        <v>4</v>
      </c>
      <c r="D270" s="5">
        <v>45751</v>
      </c>
      <c r="E270" s="5">
        <v>45751</v>
      </c>
      <c r="F270" t="s">
        <v>25</v>
      </c>
      <c r="G270" t="s">
        <v>12</v>
      </c>
      <c r="H270" t="s">
        <v>13</v>
      </c>
      <c r="I270" t="s">
        <v>38</v>
      </c>
      <c r="J270" t="s">
        <v>46</v>
      </c>
      <c r="K270">
        <v>1</v>
      </c>
    </row>
    <row r="271" spans="1:11">
      <c r="A271">
        <v>2025</v>
      </c>
      <c r="B271">
        <v>1</v>
      </c>
      <c r="C271">
        <v>4</v>
      </c>
      <c r="D271" s="5">
        <v>45751</v>
      </c>
      <c r="E271" s="5">
        <v>45751</v>
      </c>
      <c r="F271" t="s">
        <v>25</v>
      </c>
      <c r="G271" t="s">
        <v>12</v>
      </c>
      <c r="H271" t="s">
        <v>13</v>
      </c>
      <c r="I271" t="s">
        <v>38</v>
      </c>
      <c r="J271" t="s">
        <v>51</v>
      </c>
      <c r="K271">
        <v>0.5</v>
      </c>
    </row>
    <row r="272" spans="1:11">
      <c r="A272">
        <v>2025</v>
      </c>
      <c r="B272">
        <v>1</v>
      </c>
      <c r="C272">
        <v>4</v>
      </c>
      <c r="D272" s="5">
        <v>45751</v>
      </c>
      <c r="E272" s="5">
        <v>45751</v>
      </c>
      <c r="F272" t="s">
        <v>25</v>
      </c>
      <c r="G272" t="s">
        <v>12</v>
      </c>
      <c r="H272" t="s">
        <v>13</v>
      </c>
      <c r="I272" t="s">
        <v>38</v>
      </c>
      <c r="J272" t="s">
        <v>52</v>
      </c>
      <c r="K272">
        <v>0.5</v>
      </c>
    </row>
    <row r="273" spans="1:11">
      <c r="A273">
        <v>2025</v>
      </c>
      <c r="B273">
        <v>1</v>
      </c>
      <c r="C273">
        <v>4</v>
      </c>
      <c r="D273" s="5">
        <v>45751</v>
      </c>
      <c r="E273" s="5">
        <v>45751</v>
      </c>
      <c r="F273" t="s">
        <v>25</v>
      </c>
      <c r="G273" t="s">
        <v>12</v>
      </c>
      <c r="H273" t="s">
        <v>13</v>
      </c>
      <c r="I273" t="s">
        <v>30</v>
      </c>
      <c r="J273" t="s">
        <v>67</v>
      </c>
      <c r="K273">
        <v>1</v>
      </c>
    </row>
    <row r="274" spans="1:11">
      <c r="A274">
        <v>2025</v>
      </c>
      <c r="B274">
        <v>1</v>
      </c>
      <c r="C274">
        <v>4</v>
      </c>
      <c r="D274" s="5">
        <v>45751</v>
      </c>
      <c r="E274" s="5">
        <v>45751</v>
      </c>
      <c r="F274" t="s">
        <v>25</v>
      </c>
      <c r="G274" t="s">
        <v>12</v>
      </c>
      <c r="H274" t="s">
        <v>13</v>
      </c>
      <c r="I274" t="s">
        <v>30</v>
      </c>
      <c r="J274" t="s">
        <v>62</v>
      </c>
      <c r="K274">
        <v>4</v>
      </c>
    </row>
    <row r="275" spans="1:11">
      <c r="A275">
        <v>2025</v>
      </c>
      <c r="B275">
        <v>1</v>
      </c>
      <c r="C275">
        <v>4</v>
      </c>
      <c r="D275" s="5">
        <v>45751</v>
      </c>
      <c r="E275" s="5">
        <v>45751</v>
      </c>
      <c r="F275" t="s">
        <v>25</v>
      </c>
      <c r="G275" t="s">
        <v>12</v>
      </c>
      <c r="H275" t="s">
        <v>13</v>
      </c>
      <c r="I275" t="s">
        <v>30</v>
      </c>
      <c r="J275" t="s">
        <v>68</v>
      </c>
      <c r="K275">
        <v>1</v>
      </c>
    </row>
    <row r="276" spans="1:11">
      <c r="A276">
        <v>2025</v>
      </c>
      <c r="B276">
        <v>2</v>
      </c>
      <c r="C276">
        <v>4</v>
      </c>
      <c r="D276" s="5">
        <v>45751</v>
      </c>
      <c r="E276" s="5">
        <v>45751</v>
      </c>
      <c r="F276" t="s">
        <v>32</v>
      </c>
      <c r="G276" t="s">
        <v>12</v>
      </c>
      <c r="H276" t="s">
        <v>13</v>
      </c>
      <c r="I276" t="s">
        <v>14</v>
      </c>
      <c r="J276" t="s">
        <v>54</v>
      </c>
      <c r="K276">
        <v>5</v>
      </c>
    </row>
    <row r="277" spans="1:11">
      <c r="A277">
        <v>2025</v>
      </c>
      <c r="B277">
        <v>2</v>
      </c>
      <c r="C277">
        <v>4</v>
      </c>
      <c r="D277" s="5">
        <v>45751</v>
      </c>
      <c r="E277" s="5">
        <v>45751</v>
      </c>
      <c r="F277" t="s">
        <v>32</v>
      </c>
      <c r="G277" t="s">
        <v>12</v>
      </c>
      <c r="H277" t="s">
        <v>13</v>
      </c>
      <c r="I277" t="s">
        <v>14</v>
      </c>
      <c r="J277" t="s">
        <v>42</v>
      </c>
      <c r="K277">
        <v>1</v>
      </c>
    </row>
    <row r="278" spans="1:11">
      <c r="A278">
        <v>2025</v>
      </c>
      <c r="B278">
        <v>2</v>
      </c>
      <c r="C278">
        <v>4</v>
      </c>
      <c r="D278" s="5">
        <v>45751</v>
      </c>
      <c r="E278" s="5">
        <v>45751</v>
      </c>
      <c r="F278" t="s">
        <v>32</v>
      </c>
      <c r="G278" t="s">
        <v>12</v>
      </c>
      <c r="H278" t="s">
        <v>13</v>
      </c>
      <c r="I278" t="s">
        <v>44</v>
      </c>
      <c r="J278" t="s">
        <v>47</v>
      </c>
      <c r="K278">
        <v>27</v>
      </c>
    </row>
    <row r="279" spans="1:11">
      <c r="A279">
        <v>2025</v>
      </c>
      <c r="B279">
        <v>2</v>
      </c>
      <c r="C279">
        <v>4</v>
      </c>
      <c r="D279" s="5">
        <v>45751</v>
      </c>
      <c r="E279" s="5">
        <v>45751</v>
      </c>
      <c r="F279" t="s">
        <v>11</v>
      </c>
      <c r="G279" t="s">
        <v>12</v>
      </c>
      <c r="H279" t="s">
        <v>13</v>
      </c>
      <c r="I279" t="s">
        <v>14</v>
      </c>
      <c r="J279" t="s">
        <v>27</v>
      </c>
      <c r="K279">
        <v>3.2</v>
      </c>
    </row>
    <row r="280" spans="1:11">
      <c r="A280">
        <v>2025</v>
      </c>
      <c r="B280">
        <v>2</v>
      </c>
      <c r="C280">
        <v>4</v>
      </c>
      <c r="D280" s="5">
        <v>45751</v>
      </c>
      <c r="E280" s="5">
        <v>45751</v>
      </c>
      <c r="F280" t="s">
        <v>11</v>
      </c>
      <c r="G280" t="s">
        <v>12</v>
      </c>
      <c r="H280" t="s">
        <v>13</v>
      </c>
      <c r="I280" t="s">
        <v>14</v>
      </c>
      <c r="J280" t="s">
        <v>37</v>
      </c>
      <c r="K280">
        <v>0.5</v>
      </c>
    </row>
    <row r="281" spans="1:11">
      <c r="A281">
        <v>2025</v>
      </c>
      <c r="B281">
        <v>2</v>
      </c>
      <c r="C281">
        <v>4</v>
      </c>
      <c r="D281" s="5">
        <v>45751</v>
      </c>
      <c r="E281" s="5">
        <v>45751</v>
      </c>
      <c r="F281" t="s">
        <v>11</v>
      </c>
      <c r="G281" t="s">
        <v>12</v>
      </c>
      <c r="H281" t="s">
        <v>13</v>
      </c>
      <c r="I281" t="s">
        <v>14</v>
      </c>
      <c r="J281" t="s">
        <v>15</v>
      </c>
      <c r="K281">
        <v>1</v>
      </c>
    </row>
    <row r="282" spans="1:11">
      <c r="A282">
        <v>2025</v>
      </c>
      <c r="B282">
        <v>2</v>
      </c>
      <c r="C282">
        <v>4</v>
      </c>
      <c r="D282" s="5">
        <v>45751</v>
      </c>
      <c r="E282" s="5">
        <v>45751</v>
      </c>
      <c r="F282" t="s">
        <v>11</v>
      </c>
      <c r="G282" t="s">
        <v>12</v>
      </c>
      <c r="H282" t="s">
        <v>13</v>
      </c>
      <c r="I282" t="s">
        <v>16</v>
      </c>
      <c r="J282" t="s">
        <v>17</v>
      </c>
      <c r="K282">
        <v>0.6</v>
      </c>
    </row>
    <row r="283" spans="1:11">
      <c r="A283">
        <v>2025</v>
      </c>
      <c r="B283">
        <v>2</v>
      </c>
      <c r="C283">
        <v>4</v>
      </c>
      <c r="D283" s="5">
        <v>45751</v>
      </c>
      <c r="E283" s="5">
        <v>45751</v>
      </c>
      <c r="F283" t="s">
        <v>11</v>
      </c>
      <c r="G283" t="s">
        <v>12</v>
      </c>
      <c r="H283" t="s">
        <v>13</v>
      </c>
      <c r="I283" t="s">
        <v>16</v>
      </c>
      <c r="J283" t="s">
        <v>70</v>
      </c>
      <c r="K283">
        <v>2.8</v>
      </c>
    </row>
    <row r="284" spans="1:11">
      <c r="A284">
        <v>2025</v>
      </c>
      <c r="B284">
        <v>2</v>
      </c>
      <c r="C284">
        <v>4</v>
      </c>
      <c r="D284" s="5">
        <v>45751</v>
      </c>
      <c r="E284" s="5">
        <v>45751</v>
      </c>
      <c r="F284" t="s">
        <v>41</v>
      </c>
      <c r="G284" t="s">
        <v>12</v>
      </c>
      <c r="H284" t="s">
        <v>13</v>
      </c>
      <c r="I284" t="s">
        <v>44</v>
      </c>
      <c r="J284" t="s">
        <v>45</v>
      </c>
      <c r="K284">
        <v>3</v>
      </c>
    </row>
    <row r="285" spans="1:11">
      <c r="A285">
        <v>2025</v>
      </c>
      <c r="B285">
        <v>2</v>
      </c>
      <c r="C285">
        <v>4</v>
      </c>
      <c r="D285" s="5">
        <v>45751</v>
      </c>
      <c r="E285" s="5">
        <v>45751</v>
      </c>
      <c r="F285" t="s">
        <v>21</v>
      </c>
      <c r="G285" t="s">
        <v>12</v>
      </c>
      <c r="H285" t="s">
        <v>13</v>
      </c>
      <c r="I285" t="s">
        <v>14</v>
      </c>
      <c r="J285" t="s">
        <v>24</v>
      </c>
      <c r="K285">
        <v>3.2</v>
      </c>
    </row>
    <row r="286" spans="1:11">
      <c r="A286">
        <v>2025</v>
      </c>
      <c r="B286">
        <v>2</v>
      </c>
      <c r="C286">
        <v>4</v>
      </c>
      <c r="D286" s="5">
        <v>45751</v>
      </c>
      <c r="E286" s="5">
        <v>45751</v>
      </c>
      <c r="F286" t="s">
        <v>21</v>
      </c>
      <c r="G286" t="s">
        <v>12</v>
      </c>
      <c r="H286" t="s">
        <v>13</v>
      </c>
      <c r="I286" t="s">
        <v>14</v>
      </c>
      <c r="J286" t="s">
        <v>57</v>
      </c>
      <c r="K286">
        <v>0.5</v>
      </c>
    </row>
    <row r="287" spans="1:11">
      <c r="A287">
        <v>2025</v>
      </c>
      <c r="B287">
        <v>2</v>
      </c>
      <c r="C287">
        <v>4</v>
      </c>
      <c r="D287" s="5">
        <v>45751</v>
      </c>
      <c r="E287" s="5">
        <v>45751</v>
      </c>
      <c r="F287" t="s">
        <v>21</v>
      </c>
      <c r="G287" t="s">
        <v>12</v>
      </c>
      <c r="H287" t="s">
        <v>13</v>
      </c>
      <c r="I287" t="s">
        <v>14</v>
      </c>
      <c r="J287" t="s">
        <v>42</v>
      </c>
      <c r="K287">
        <v>17</v>
      </c>
    </row>
    <row r="288" spans="1:11">
      <c r="A288">
        <v>2025</v>
      </c>
      <c r="B288">
        <v>2</v>
      </c>
      <c r="C288">
        <v>4</v>
      </c>
      <c r="D288" s="5">
        <v>45751</v>
      </c>
      <c r="E288" s="5">
        <v>45751</v>
      </c>
      <c r="F288" t="s">
        <v>21</v>
      </c>
      <c r="G288" t="s">
        <v>12</v>
      </c>
      <c r="H288" t="s">
        <v>13</v>
      </c>
      <c r="I288" t="s">
        <v>28</v>
      </c>
      <c r="J288" t="s">
        <v>58</v>
      </c>
      <c r="K288">
        <v>2.1</v>
      </c>
    </row>
    <row r="289" spans="1:11">
      <c r="A289">
        <v>2025</v>
      </c>
      <c r="B289">
        <v>2</v>
      </c>
      <c r="C289">
        <v>4</v>
      </c>
      <c r="D289" s="5">
        <v>45751</v>
      </c>
      <c r="E289" s="5">
        <v>45751</v>
      </c>
      <c r="F289" t="s">
        <v>21</v>
      </c>
      <c r="G289" t="s">
        <v>12</v>
      </c>
      <c r="H289" t="s">
        <v>13</v>
      </c>
      <c r="I289" t="s">
        <v>28</v>
      </c>
      <c r="J289" t="s">
        <v>43</v>
      </c>
      <c r="K289">
        <v>2</v>
      </c>
    </row>
    <row r="290" spans="1:11">
      <c r="A290">
        <v>2025</v>
      </c>
      <c r="B290">
        <v>2</v>
      </c>
      <c r="C290">
        <v>4</v>
      </c>
      <c r="D290" s="5">
        <v>45751</v>
      </c>
      <c r="E290" s="5">
        <v>45751</v>
      </c>
      <c r="F290" t="s">
        <v>21</v>
      </c>
      <c r="G290" t="s">
        <v>12</v>
      </c>
      <c r="H290" t="s">
        <v>13</v>
      </c>
      <c r="I290" t="s">
        <v>28</v>
      </c>
      <c r="J290" t="s">
        <v>29</v>
      </c>
      <c r="K290">
        <v>5.7</v>
      </c>
    </row>
    <row r="291" spans="1:11">
      <c r="A291">
        <v>2025</v>
      </c>
      <c r="B291">
        <v>2</v>
      </c>
      <c r="C291">
        <v>4</v>
      </c>
      <c r="D291" s="5">
        <v>45751</v>
      </c>
      <c r="E291" s="5">
        <v>45751</v>
      </c>
      <c r="F291" t="s">
        <v>25</v>
      </c>
      <c r="G291" t="s">
        <v>12</v>
      </c>
      <c r="H291" t="s">
        <v>13</v>
      </c>
      <c r="I291" t="s">
        <v>14</v>
      </c>
      <c r="J291" t="s">
        <v>37</v>
      </c>
      <c r="K291">
        <v>0.9</v>
      </c>
    </row>
    <row r="292" spans="1:11">
      <c r="A292">
        <v>2025</v>
      </c>
      <c r="B292">
        <v>2</v>
      </c>
      <c r="C292">
        <v>4</v>
      </c>
      <c r="D292" s="5">
        <v>45751</v>
      </c>
      <c r="E292" s="5">
        <v>45751</v>
      </c>
      <c r="F292" t="s">
        <v>25</v>
      </c>
      <c r="G292" t="s">
        <v>12</v>
      </c>
      <c r="H292" t="s">
        <v>13</v>
      </c>
      <c r="I292" t="s">
        <v>14</v>
      </c>
      <c r="J292" t="s">
        <v>15</v>
      </c>
      <c r="K292">
        <v>0.9</v>
      </c>
    </row>
    <row r="293" spans="1:11">
      <c r="A293">
        <v>2025</v>
      </c>
      <c r="B293">
        <v>2</v>
      </c>
      <c r="C293">
        <v>4</v>
      </c>
      <c r="D293" s="5">
        <v>45751</v>
      </c>
      <c r="E293" s="5">
        <v>45751</v>
      </c>
      <c r="F293" t="s">
        <v>25</v>
      </c>
      <c r="G293" t="s">
        <v>12</v>
      </c>
      <c r="H293" t="s">
        <v>13</v>
      </c>
      <c r="I293" t="s">
        <v>28</v>
      </c>
      <c r="J293" t="s">
        <v>29</v>
      </c>
      <c r="K293">
        <v>3.5</v>
      </c>
    </row>
    <row r="294" spans="1:11">
      <c r="A294">
        <v>2025</v>
      </c>
      <c r="B294">
        <v>2</v>
      </c>
      <c r="C294">
        <v>4</v>
      </c>
      <c r="D294" s="5">
        <v>45751</v>
      </c>
      <c r="E294" s="5">
        <v>45751</v>
      </c>
      <c r="F294" t="s">
        <v>25</v>
      </c>
      <c r="G294" t="s">
        <v>12</v>
      </c>
      <c r="H294" t="s">
        <v>13</v>
      </c>
      <c r="I294" t="s">
        <v>44</v>
      </c>
      <c r="J294" t="s">
        <v>45</v>
      </c>
      <c r="K294">
        <v>9.1999999999999993</v>
      </c>
    </row>
    <row r="295" spans="1:11">
      <c r="A295">
        <v>2025</v>
      </c>
      <c r="B295">
        <v>2</v>
      </c>
      <c r="C295">
        <v>4</v>
      </c>
      <c r="D295" s="5">
        <v>45751</v>
      </c>
      <c r="E295" s="5">
        <v>45751</v>
      </c>
      <c r="F295" t="s">
        <v>25</v>
      </c>
      <c r="G295" t="s">
        <v>12</v>
      </c>
      <c r="H295" t="s">
        <v>13</v>
      </c>
      <c r="I295" t="s">
        <v>38</v>
      </c>
      <c r="J295" t="s">
        <v>46</v>
      </c>
      <c r="K295">
        <v>6.6</v>
      </c>
    </row>
    <row r="296" spans="1:11">
      <c r="A296">
        <v>2025</v>
      </c>
      <c r="B296">
        <v>2</v>
      </c>
      <c r="C296">
        <v>4</v>
      </c>
      <c r="D296" s="5">
        <v>45751</v>
      </c>
      <c r="E296" s="5">
        <v>45751</v>
      </c>
      <c r="F296" t="s">
        <v>25</v>
      </c>
      <c r="G296" t="s">
        <v>12</v>
      </c>
      <c r="H296" t="s">
        <v>13</v>
      </c>
      <c r="I296" t="s">
        <v>38</v>
      </c>
      <c r="J296" t="s">
        <v>51</v>
      </c>
      <c r="K296">
        <v>0.2</v>
      </c>
    </row>
    <row r="297" spans="1:11">
      <c r="A297">
        <v>2025</v>
      </c>
      <c r="B297">
        <v>2</v>
      </c>
      <c r="C297">
        <v>4</v>
      </c>
      <c r="D297" s="5">
        <v>45751</v>
      </c>
      <c r="E297" s="5">
        <v>45751</v>
      </c>
      <c r="F297" t="s">
        <v>25</v>
      </c>
      <c r="G297" t="s">
        <v>12</v>
      </c>
      <c r="H297" t="s">
        <v>13</v>
      </c>
      <c r="I297" t="s">
        <v>38</v>
      </c>
      <c r="J297" t="s">
        <v>52</v>
      </c>
      <c r="K297">
        <v>0.7</v>
      </c>
    </row>
    <row r="298" spans="1:11">
      <c r="A298">
        <v>2025</v>
      </c>
      <c r="B298">
        <v>2</v>
      </c>
      <c r="C298">
        <v>4</v>
      </c>
      <c r="D298" s="5">
        <v>45751</v>
      </c>
      <c r="E298" s="5">
        <v>45751</v>
      </c>
      <c r="F298" t="s">
        <v>25</v>
      </c>
      <c r="G298" t="s">
        <v>12</v>
      </c>
      <c r="H298" t="s">
        <v>13</v>
      </c>
      <c r="I298" t="s">
        <v>30</v>
      </c>
      <c r="J298" t="s">
        <v>67</v>
      </c>
      <c r="K298">
        <v>4</v>
      </c>
    </row>
    <row r="299" spans="1:11">
      <c r="A299">
        <v>2025</v>
      </c>
      <c r="B299">
        <v>2</v>
      </c>
      <c r="C299">
        <v>4</v>
      </c>
      <c r="D299" s="5">
        <v>45751</v>
      </c>
      <c r="E299" s="5">
        <v>45751</v>
      </c>
      <c r="F299" t="s">
        <v>25</v>
      </c>
      <c r="G299" t="s">
        <v>12</v>
      </c>
      <c r="H299" t="s">
        <v>13</v>
      </c>
      <c r="I299" t="s">
        <v>30</v>
      </c>
      <c r="J299" t="s">
        <v>62</v>
      </c>
      <c r="K299">
        <v>4.0999999999999996</v>
      </c>
    </row>
    <row r="300" spans="1:11">
      <c r="A300">
        <v>2025</v>
      </c>
      <c r="B300">
        <v>2</v>
      </c>
      <c r="C300">
        <v>4</v>
      </c>
      <c r="D300" s="5">
        <v>45751</v>
      </c>
      <c r="E300" s="5">
        <v>45751</v>
      </c>
      <c r="F300" t="s">
        <v>25</v>
      </c>
      <c r="G300" t="s">
        <v>12</v>
      </c>
      <c r="H300" t="s">
        <v>13</v>
      </c>
      <c r="I300" t="s">
        <v>30</v>
      </c>
      <c r="J300" t="s">
        <v>68</v>
      </c>
      <c r="K300">
        <v>5.7</v>
      </c>
    </row>
    <row r="301" spans="1:11">
      <c r="A301">
        <v>2025</v>
      </c>
      <c r="B301">
        <v>2</v>
      </c>
      <c r="C301">
        <v>4</v>
      </c>
      <c r="D301" s="5">
        <v>45765</v>
      </c>
      <c r="E301" s="5">
        <v>45758</v>
      </c>
      <c r="F301" t="s">
        <v>32</v>
      </c>
      <c r="G301" t="s">
        <v>12</v>
      </c>
      <c r="H301" t="s">
        <v>13</v>
      </c>
      <c r="I301" t="s">
        <v>14</v>
      </c>
      <c r="J301" t="s">
        <v>54</v>
      </c>
      <c r="K301">
        <v>7.5</v>
      </c>
    </row>
    <row r="302" spans="1:11">
      <c r="A302">
        <v>2025</v>
      </c>
      <c r="B302">
        <v>2</v>
      </c>
      <c r="C302">
        <v>4</v>
      </c>
      <c r="D302" s="5">
        <v>45765</v>
      </c>
      <c r="E302" s="5">
        <v>45758</v>
      </c>
      <c r="F302" t="s">
        <v>32</v>
      </c>
      <c r="G302" t="s">
        <v>12</v>
      </c>
      <c r="H302" t="s">
        <v>13</v>
      </c>
      <c r="I302" t="s">
        <v>14</v>
      </c>
      <c r="J302" t="s">
        <v>42</v>
      </c>
      <c r="K302">
        <v>2</v>
      </c>
    </row>
    <row r="303" spans="1:11">
      <c r="A303">
        <v>2025</v>
      </c>
      <c r="B303">
        <v>2</v>
      </c>
      <c r="C303">
        <v>4</v>
      </c>
      <c r="D303" s="5">
        <v>45765</v>
      </c>
      <c r="E303" s="5">
        <v>45758</v>
      </c>
      <c r="F303" t="s">
        <v>32</v>
      </c>
      <c r="G303" t="s">
        <v>12</v>
      </c>
      <c r="H303" t="s">
        <v>13</v>
      </c>
      <c r="I303" t="s">
        <v>44</v>
      </c>
      <c r="J303" t="s">
        <v>47</v>
      </c>
      <c r="K303">
        <v>25</v>
      </c>
    </row>
    <row r="304" spans="1:11">
      <c r="A304">
        <v>2025</v>
      </c>
      <c r="B304">
        <v>2</v>
      </c>
      <c r="C304">
        <v>4</v>
      </c>
      <c r="D304" s="5">
        <v>45765</v>
      </c>
      <c r="E304" s="5">
        <v>45758</v>
      </c>
      <c r="F304" t="s">
        <v>11</v>
      </c>
      <c r="G304" t="s">
        <v>12</v>
      </c>
      <c r="H304" t="s">
        <v>13</v>
      </c>
      <c r="I304" t="s">
        <v>14</v>
      </c>
      <c r="J304" t="s">
        <v>15</v>
      </c>
      <c r="K304">
        <v>2.2999999999999998</v>
      </c>
    </row>
    <row r="305" spans="1:11">
      <c r="A305">
        <v>2025</v>
      </c>
      <c r="B305">
        <v>2</v>
      </c>
      <c r="C305">
        <v>4</v>
      </c>
      <c r="D305" s="5">
        <v>45765</v>
      </c>
      <c r="E305" s="5">
        <v>45758</v>
      </c>
      <c r="F305" t="s">
        <v>11</v>
      </c>
      <c r="G305" t="s">
        <v>12</v>
      </c>
      <c r="H305" t="s">
        <v>13</v>
      </c>
      <c r="I305" t="s">
        <v>28</v>
      </c>
      <c r="J305" t="s">
        <v>43</v>
      </c>
      <c r="K305">
        <v>1</v>
      </c>
    </row>
    <row r="306" spans="1:11">
      <c r="A306">
        <v>2025</v>
      </c>
      <c r="B306">
        <v>2</v>
      </c>
      <c r="C306">
        <v>4</v>
      </c>
      <c r="D306" s="5">
        <v>45765</v>
      </c>
      <c r="E306" s="5">
        <v>45758</v>
      </c>
      <c r="F306" t="s">
        <v>11</v>
      </c>
      <c r="G306" t="s">
        <v>12</v>
      </c>
      <c r="H306" t="s">
        <v>13</v>
      </c>
      <c r="I306" t="s">
        <v>44</v>
      </c>
      <c r="J306" t="s">
        <v>64</v>
      </c>
      <c r="K306">
        <v>0.9</v>
      </c>
    </row>
    <row r="307" spans="1:11">
      <c r="A307">
        <v>2025</v>
      </c>
      <c r="B307">
        <v>2</v>
      </c>
      <c r="C307">
        <v>4</v>
      </c>
      <c r="D307" s="5">
        <v>45765</v>
      </c>
      <c r="E307" s="5">
        <v>45758</v>
      </c>
      <c r="F307" t="s">
        <v>11</v>
      </c>
      <c r="G307" t="s">
        <v>12</v>
      </c>
      <c r="H307" t="s">
        <v>13</v>
      </c>
      <c r="I307" t="s">
        <v>44</v>
      </c>
      <c r="J307" t="s">
        <v>45</v>
      </c>
      <c r="K307">
        <v>2</v>
      </c>
    </row>
    <row r="308" spans="1:11">
      <c r="A308">
        <v>2025</v>
      </c>
      <c r="B308">
        <v>2</v>
      </c>
      <c r="C308">
        <v>4</v>
      </c>
      <c r="D308" s="5">
        <v>45765</v>
      </c>
      <c r="E308" s="5">
        <v>45758</v>
      </c>
      <c r="F308" t="s">
        <v>41</v>
      </c>
      <c r="G308" t="s">
        <v>12</v>
      </c>
      <c r="H308" t="s">
        <v>13</v>
      </c>
      <c r="I308" t="s">
        <v>14</v>
      </c>
      <c r="J308" t="s">
        <v>15</v>
      </c>
      <c r="K308">
        <v>0.5</v>
      </c>
    </row>
    <row r="309" spans="1:11">
      <c r="A309">
        <v>2025</v>
      </c>
      <c r="B309">
        <v>2</v>
      </c>
      <c r="C309">
        <v>4</v>
      </c>
      <c r="D309" s="5">
        <v>45765</v>
      </c>
      <c r="E309" s="5">
        <v>45758</v>
      </c>
      <c r="F309" t="s">
        <v>41</v>
      </c>
      <c r="G309" t="s">
        <v>12</v>
      </c>
      <c r="H309" t="s">
        <v>13</v>
      </c>
      <c r="I309" t="s">
        <v>44</v>
      </c>
      <c r="J309" t="s">
        <v>48</v>
      </c>
      <c r="K309">
        <v>1</v>
      </c>
    </row>
    <row r="310" spans="1:11">
      <c r="A310">
        <v>2025</v>
      </c>
      <c r="B310">
        <v>2</v>
      </c>
      <c r="C310">
        <v>4</v>
      </c>
      <c r="D310" s="5">
        <v>45765</v>
      </c>
      <c r="E310" s="5">
        <v>45758</v>
      </c>
      <c r="F310" t="s">
        <v>21</v>
      </c>
      <c r="G310" t="s">
        <v>12</v>
      </c>
      <c r="H310" t="s">
        <v>13</v>
      </c>
      <c r="I310" t="s">
        <v>14</v>
      </c>
      <c r="J310" t="s">
        <v>24</v>
      </c>
      <c r="K310">
        <v>15.9</v>
      </c>
    </row>
    <row r="311" spans="1:11">
      <c r="A311">
        <v>2025</v>
      </c>
      <c r="B311">
        <v>2</v>
      </c>
      <c r="C311">
        <v>4</v>
      </c>
      <c r="D311" s="5">
        <v>45765</v>
      </c>
      <c r="E311" s="5">
        <v>45758</v>
      </c>
      <c r="F311" t="s">
        <v>21</v>
      </c>
      <c r="G311" t="s">
        <v>12</v>
      </c>
      <c r="H311" t="s">
        <v>13</v>
      </c>
      <c r="I311" t="s">
        <v>14</v>
      </c>
      <c r="J311" t="s">
        <v>42</v>
      </c>
      <c r="K311">
        <v>0.5</v>
      </c>
    </row>
    <row r="312" spans="1:11">
      <c r="A312">
        <v>2025</v>
      </c>
      <c r="B312">
        <v>2</v>
      </c>
      <c r="C312">
        <v>4</v>
      </c>
      <c r="D312" s="5">
        <v>45765</v>
      </c>
      <c r="E312" s="5">
        <v>45758</v>
      </c>
      <c r="F312" t="s">
        <v>21</v>
      </c>
      <c r="G312" t="s">
        <v>12</v>
      </c>
      <c r="H312" t="s">
        <v>13</v>
      </c>
      <c r="I312" t="s">
        <v>28</v>
      </c>
      <c r="J312" t="s">
        <v>43</v>
      </c>
      <c r="K312">
        <v>16.5</v>
      </c>
    </row>
    <row r="313" spans="1:11">
      <c r="A313">
        <v>2025</v>
      </c>
      <c r="B313">
        <v>2</v>
      </c>
      <c r="C313">
        <v>4</v>
      </c>
      <c r="D313" s="5">
        <v>45765</v>
      </c>
      <c r="E313" s="5">
        <v>45758</v>
      </c>
      <c r="F313" t="s">
        <v>21</v>
      </c>
      <c r="G313" t="s">
        <v>12</v>
      </c>
      <c r="H313" t="s">
        <v>13</v>
      </c>
      <c r="I313" t="s">
        <v>28</v>
      </c>
      <c r="J313" t="s">
        <v>29</v>
      </c>
      <c r="K313">
        <v>4.3</v>
      </c>
    </row>
    <row r="314" spans="1:11">
      <c r="A314">
        <v>2025</v>
      </c>
      <c r="B314">
        <v>2</v>
      </c>
      <c r="C314">
        <v>4</v>
      </c>
      <c r="D314" s="5">
        <v>45765</v>
      </c>
      <c r="E314" s="5">
        <v>45758</v>
      </c>
      <c r="F314" t="s">
        <v>25</v>
      </c>
      <c r="G314" t="s">
        <v>12</v>
      </c>
      <c r="H314" t="s">
        <v>13</v>
      </c>
      <c r="I314" t="s">
        <v>28</v>
      </c>
      <c r="J314" t="s">
        <v>29</v>
      </c>
      <c r="K314">
        <v>2</v>
      </c>
    </row>
    <row r="315" spans="1:11">
      <c r="A315">
        <v>2025</v>
      </c>
      <c r="B315">
        <v>2</v>
      </c>
      <c r="C315">
        <v>4</v>
      </c>
      <c r="D315" s="5">
        <v>45765</v>
      </c>
      <c r="E315" s="5">
        <v>45758</v>
      </c>
      <c r="F315" t="s">
        <v>25</v>
      </c>
      <c r="G315" t="s">
        <v>12</v>
      </c>
      <c r="H315" t="s">
        <v>13</v>
      </c>
      <c r="I315" t="s">
        <v>44</v>
      </c>
      <c r="J315" t="s">
        <v>45</v>
      </c>
      <c r="K315">
        <v>5.3</v>
      </c>
    </row>
    <row r="316" spans="1:11">
      <c r="A316">
        <v>2025</v>
      </c>
      <c r="B316">
        <v>2</v>
      </c>
      <c r="C316">
        <v>4</v>
      </c>
      <c r="D316" s="5">
        <v>45765</v>
      </c>
      <c r="E316" s="5">
        <v>45758</v>
      </c>
      <c r="F316" t="s">
        <v>25</v>
      </c>
      <c r="G316" t="s">
        <v>12</v>
      </c>
      <c r="H316" t="s">
        <v>13</v>
      </c>
      <c r="I316" t="s">
        <v>38</v>
      </c>
      <c r="J316" t="s">
        <v>46</v>
      </c>
      <c r="K316">
        <v>1.5</v>
      </c>
    </row>
    <row r="317" spans="1:11">
      <c r="A317">
        <v>2025</v>
      </c>
      <c r="B317">
        <v>2</v>
      </c>
      <c r="C317">
        <v>4</v>
      </c>
      <c r="D317" s="5">
        <v>45765</v>
      </c>
      <c r="E317" s="5">
        <v>45758</v>
      </c>
      <c r="F317" t="s">
        <v>25</v>
      </c>
      <c r="G317" t="s">
        <v>12</v>
      </c>
      <c r="H317" t="s">
        <v>13</v>
      </c>
      <c r="I317" t="s">
        <v>38</v>
      </c>
      <c r="J317" t="s">
        <v>51</v>
      </c>
      <c r="K317">
        <v>0.5</v>
      </c>
    </row>
    <row r="318" spans="1:11">
      <c r="A318">
        <v>2025</v>
      </c>
      <c r="B318">
        <v>2</v>
      </c>
      <c r="C318">
        <v>4</v>
      </c>
      <c r="D318" s="5">
        <v>45765</v>
      </c>
      <c r="E318" s="5">
        <v>45758</v>
      </c>
      <c r="F318" t="s">
        <v>25</v>
      </c>
      <c r="G318" t="s">
        <v>12</v>
      </c>
      <c r="H318" t="s">
        <v>13</v>
      </c>
      <c r="I318" t="s">
        <v>38</v>
      </c>
      <c r="J318" t="s">
        <v>52</v>
      </c>
      <c r="K318">
        <v>0.5</v>
      </c>
    </row>
    <row r="319" spans="1:11">
      <c r="A319">
        <v>2025</v>
      </c>
      <c r="B319">
        <v>2</v>
      </c>
      <c r="C319">
        <v>4</v>
      </c>
      <c r="D319" s="5">
        <v>45765</v>
      </c>
      <c r="E319" s="5">
        <v>45758</v>
      </c>
      <c r="F319" t="s">
        <v>25</v>
      </c>
      <c r="G319" t="s">
        <v>12</v>
      </c>
      <c r="H319" t="s">
        <v>13</v>
      </c>
      <c r="I319" t="s">
        <v>30</v>
      </c>
      <c r="J319" t="s">
        <v>67</v>
      </c>
      <c r="K319">
        <v>4.5999999999999996</v>
      </c>
    </row>
    <row r="320" spans="1:11">
      <c r="A320">
        <v>2025</v>
      </c>
      <c r="B320">
        <v>2</v>
      </c>
      <c r="C320">
        <v>4</v>
      </c>
      <c r="D320" s="5">
        <v>45765</v>
      </c>
      <c r="E320" s="5">
        <v>45758</v>
      </c>
      <c r="F320" t="s">
        <v>25</v>
      </c>
      <c r="G320" t="s">
        <v>12</v>
      </c>
      <c r="H320" t="s">
        <v>13</v>
      </c>
      <c r="I320" t="s">
        <v>30</v>
      </c>
      <c r="J320" t="s">
        <v>62</v>
      </c>
      <c r="K320">
        <v>6.1</v>
      </c>
    </row>
    <row r="321" spans="1:11">
      <c r="A321">
        <v>2025</v>
      </c>
      <c r="B321">
        <v>2</v>
      </c>
      <c r="C321">
        <v>4</v>
      </c>
      <c r="D321" s="5">
        <v>45765</v>
      </c>
      <c r="E321" s="5">
        <v>45758</v>
      </c>
      <c r="F321" t="s">
        <v>25</v>
      </c>
      <c r="G321" t="s">
        <v>12</v>
      </c>
      <c r="H321" t="s">
        <v>13</v>
      </c>
      <c r="I321" t="s">
        <v>30</v>
      </c>
      <c r="J321" t="s">
        <v>68</v>
      </c>
      <c r="K321">
        <v>4.5</v>
      </c>
    </row>
    <row r="322" spans="1:11">
      <c r="A322">
        <v>2025</v>
      </c>
      <c r="B322">
        <v>2</v>
      </c>
      <c r="C322">
        <v>4</v>
      </c>
      <c r="D322" s="5">
        <v>45765</v>
      </c>
      <c r="E322" s="5">
        <v>45765</v>
      </c>
      <c r="F322" t="s">
        <v>32</v>
      </c>
      <c r="G322" t="s">
        <v>12</v>
      </c>
      <c r="H322" t="s">
        <v>13</v>
      </c>
      <c r="I322" t="s">
        <v>44</v>
      </c>
      <c r="J322" t="s">
        <v>47</v>
      </c>
      <c r="K322">
        <v>42</v>
      </c>
    </row>
    <row r="323" spans="1:11">
      <c r="A323">
        <v>2025</v>
      </c>
      <c r="B323">
        <v>2</v>
      </c>
      <c r="C323">
        <v>4</v>
      </c>
      <c r="D323" s="5">
        <v>45765</v>
      </c>
      <c r="E323" s="5">
        <v>45765</v>
      </c>
      <c r="F323" t="s">
        <v>11</v>
      </c>
      <c r="G323" t="s">
        <v>12</v>
      </c>
      <c r="H323" t="s">
        <v>13</v>
      </c>
      <c r="I323" t="s">
        <v>14</v>
      </c>
      <c r="J323" t="s">
        <v>64</v>
      </c>
      <c r="K323">
        <v>1.5</v>
      </c>
    </row>
    <row r="324" spans="1:11">
      <c r="A324">
        <v>2025</v>
      </c>
      <c r="B324">
        <v>2</v>
      </c>
      <c r="C324">
        <v>4</v>
      </c>
      <c r="D324" s="5">
        <v>45765</v>
      </c>
      <c r="E324" s="5">
        <v>45765</v>
      </c>
      <c r="F324" t="s">
        <v>11</v>
      </c>
      <c r="G324" t="s">
        <v>12</v>
      </c>
      <c r="H324" t="s">
        <v>13</v>
      </c>
      <c r="I324" t="s">
        <v>14</v>
      </c>
      <c r="J324" t="s">
        <v>37</v>
      </c>
      <c r="K324">
        <v>0.5</v>
      </c>
    </row>
    <row r="325" spans="1:11">
      <c r="A325">
        <v>2025</v>
      </c>
      <c r="B325">
        <v>2</v>
      </c>
      <c r="C325">
        <v>4</v>
      </c>
      <c r="D325" s="5">
        <v>45765</v>
      </c>
      <c r="E325" s="5">
        <v>45765</v>
      </c>
      <c r="F325" t="s">
        <v>11</v>
      </c>
      <c r="G325" t="s">
        <v>12</v>
      </c>
      <c r="H325" t="s">
        <v>13</v>
      </c>
      <c r="I325" t="s">
        <v>14</v>
      </c>
      <c r="J325" t="s">
        <v>15</v>
      </c>
      <c r="K325">
        <v>4.5999999999999996</v>
      </c>
    </row>
    <row r="326" spans="1:11">
      <c r="A326">
        <v>2025</v>
      </c>
      <c r="B326">
        <v>2</v>
      </c>
      <c r="C326">
        <v>4</v>
      </c>
      <c r="D326" s="5">
        <v>45765</v>
      </c>
      <c r="E326" s="5">
        <v>45765</v>
      </c>
      <c r="F326" t="s">
        <v>11</v>
      </c>
      <c r="G326" t="s">
        <v>12</v>
      </c>
      <c r="H326" t="s">
        <v>13</v>
      </c>
      <c r="I326" t="s">
        <v>28</v>
      </c>
      <c r="J326" t="s">
        <v>43</v>
      </c>
      <c r="K326">
        <v>6</v>
      </c>
    </row>
    <row r="327" spans="1:11">
      <c r="A327">
        <v>2025</v>
      </c>
      <c r="B327">
        <v>2</v>
      </c>
      <c r="C327">
        <v>4</v>
      </c>
      <c r="D327" s="5">
        <v>45765</v>
      </c>
      <c r="E327" s="5">
        <v>45765</v>
      </c>
      <c r="F327" t="s">
        <v>11</v>
      </c>
      <c r="G327" t="s">
        <v>12</v>
      </c>
      <c r="H327" t="s">
        <v>13</v>
      </c>
      <c r="I327" t="s">
        <v>44</v>
      </c>
      <c r="J327" t="s">
        <v>47</v>
      </c>
      <c r="K327">
        <v>0.6</v>
      </c>
    </row>
    <row r="328" spans="1:11">
      <c r="A328">
        <v>2025</v>
      </c>
      <c r="B328">
        <v>2</v>
      </c>
      <c r="C328">
        <v>4</v>
      </c>
      <c r="D328" s="5">
        <v>45765</v>
      </c>
      <c r="E328" s="5">
        <v>45765</v>
      </c>
      <c r="F328" t="s">
        <v>11</v>
      </c>
      <c r="G328" t="s">
        <v>12</v>
      </c>
      <c r="H328" t="s">
        <v>13</v>
      </c>
      <c r="I328" t="s">
        <v>38</v>
      </c>
      <c r="J328" t="s">
        <v>39</v>
      </c>
      <c r="K328">
        <v>1.8</v>
      </c>
    </row>
    <row r="329" spans="1:11">
      <c r="A329">
        <v>2025</v>
      </c>
      <c r="B329">
        <v>2</v>
      </c>
      <c r="C329">
        <v>4</v>
      </c>
      <c r="D329" s="5">
        <v>45765</v>
      </c>
      <c r="E329" s="5">
        <v>45765</v>
      </c>
      <c r="F329" t="s">
        <v>11</v>
      </c>
      <c r="G329" t="s">
        <v>12</v>
      </c>
      <c r="H329" t="s">
        <v>13</v>
      </c>
      <c r="I329" t="s">
        <v>19</v>
      </c>
      <c r="J329" t="s">
        <v>64</v>
      </c>
      <c r="K329">
        <v>3.2</v>
      </c>
    </row>
    <row r="330" spans="1:11">
      <c r="A330">
        <v>2025</v>
      </c>
      <c r="B330">
        <v>2</v>
      </c>
      <c r="C330">
        <v>4</v>
      </c>
      <c r="D330" s="5">
        <v>45765</v>
      </c>
      <c r="E330" s="5">
        <v>45765</v>
      </c>
      <c r="F330" t="s">
        <v>41</v>
      </c>
      <c r="G330" t="s">
        <v>12</v>
      </c>
      <c r="H330" t="s">
        <v>13</v>
      </c>
      <c r="I330" t="s">
        <v>14</v>
      </c>
      <c r="J330" t="s">
        <v>71</v>
      </c>
      <c r="K330">
        <v>1</v>
      </c>
    </row>
    <row r="331" spans="1:11">
      <c r="A331">
        <v>2025</v>
      </c>
      <c r="B331">
        <v>2</v>
      </c>
      <c r="C331">
        <v>4</v>
      </c>
      <c r="D331" s="5">
        <v>45765</v>
      </c>
      <c r="E331" s="5">
        <v>45765</v>
      </c>
      <c r="F331" t="s">
        <v>41</v>
      </c>
      <c r="G331" t="s">
        <v>12</v>
      </c>
      <c r="H331" t="s">
        <v>13</v>
      </c>
      <c r="I331" t="s">
        <v>28</v>
      </c>
      <c r="J331" t="s">
        <v>43</v>
      </c>
      <c r="K331">
        <v>1</v>
      </c>
    </row>
    <row r="332" spans="1:11">
      <c r="A332">
        <v>2025</v>
      </c>
      <c r="B332">
        <v>2</v>
      </c>
      <c r="C332">
        <v>4</v>
      </c>
      <c r="D332" s="5">
        <v>45765</v>
      </c>
      <c r="E332" s="5">
        <v>45765</v>
      </c>
      <c r="F332" t="s">
        <v>21</v>
      </c>
      <c r="G332" t="s">
        <v>12</v>
      </c>
      <c r="H332" t="s">
        <v>13</v>
      </c>
      <c r="I332" t="s">
        <v>14</v>
      </c>
      <c r="J332" t="s">
        <v>24</v>
      </c>
      <c r="K332">
        <v>13</v>
      </c>
    </row>
    <row r="333" spans="1:11">
      <c r="A333">
        <v>2025</v>
      </c>
      <c r="B333">
        <v>2</v>
      </c>
      <c r="C333">
        <v>4</v>
      </c>
      <c r="D333" s="5">
        <v>45765</v>
      </c>
      <c r="E333" s="5">
        <v>45765</v>
      </c>
      <c r="F333" t="s">
        <v>21</v>
      </c>
      <c r="G333" t="s">
        <v>12</v>
      </c>
      <c r="H333" t="s">
        <v>13</v>
      </c>
      <c r="I333" t="s">
        <v>14</v>
      </c>
      <c r="J333" t="s">
        <v>57</v>
      </c>
      <c r="K333">
        <v>1</v>
      </c>
    </row>
    <row r="334" spans="1:11">
      <c r="A334">
        <v>2025</v>
      </c>
      <c r="B334">
        <v>2</v>
      </c>
      <c r="C334">
        <v>4</v>
      </c>
      <c r="D334" s="5">
        <v>45765</v>
      </c>
      <c r="E334" s="5">
        <v>45765</v>
      </c>
      <c r="F334" t="s">
        <v>21</v>
      </c>
      <c r="G334" t="s">
        <v>12</v>
      </c>
      <c r="H334" t="s">
        <v>13</v>
      </c>
      <c r="I334" t="s">
        <v>14</v>
      </c>
      <c r="J334" t="s">
        <v>42</v>
      </c>
      <c r="K334">
        <v>0.5</v>
      </c>
    </row>
    <row r="335" spans="1:11">
      <c r="A335">
        <v>2025</v>
      </c>
      <c r="B335">
        <v>2</v>
      </c>
      <c r="C335">
        <v>4</v>
      </c>
      <c r="D335" s="5">
        <v>45765</v>
      </c>
      <c r="E335" s="5">
        <v>45765</v>
      </c>
      <c r="F335" t="s">
        <v>21</v>
      </c>
      <c r="G335" t="s">
        <v>12</v>
      </c>
      <c r="H335" t="s">
        <v>13</v>
      </c>
      <c r="I335" t="s">
        <v>28</v>
      </c>
      <c r="J335" t="s">
        <v>43</v>
      </c>
      <c r="K335">
        <v>28.3</v>
      </c>
    </row>
    <row r="336" spans="1:11">
      <c r="A336">
        <v>2025</v>
      </c>
      <c r="B336">
        <v>2</v>
      </c>
      <c r="C336">
        <v>4</v>
      </c>
      <c r="D336" s="5">
        <v>45765</v>
      </c>
      <c r="E336" s="5">
        <v>45765</v>
      </c>
      <c r="F336" t="s">
        <v>25</v>
      </c>
      <c r="G336" t="s">
        <v>12</v>
      </c>
      <c r="H336" t="s">
        <v>13</v>
      </c>
      <c r="I336" t="s">
        <v>28</v>
      </c>
      <c r="J336" t="s">
        <v>29</v>
      </c>
      <c r="K336">
        <v>0.4</v>
      </c>
    </row>
    <row r="337" spans="1:11">
      <c r="A337">
        <v>2025</v>
      </c>
      <c r="B337">
        <v>2</v>
      </c>
      <c r="C337">
        <v>4</v>
      </c>
      <c r="D337" s="5">
        <v>45765</v>
      </c>
      <c r="E337" s="5">
        <v>45765</v>
      </c>
      <c r="F337" t="s">
        <v>25</v>
      </c>
      <c r="G337" t="s">
        <v>12</v>
      </c>
      <c r="H337" t="s">
        <v>13</v>
      </c>
      <c r="I337" t="s">
        <v>44</v>
      </c>
      <c r="J337" t="s">
        <v>45</v>
      </c>
      <c r="K337">
        <v>3.7</v>
      </c>
    </row>
    <row r="338" spans="1:11">
      <c r="A338">
        <v>2025</v>
      </c>
      <c r="B338">
        <v>2</v>
      </c>
      <c r="C338">
        <v>4</v>
      </c>
      <c r="D338" s="5">
        <v>45765</v>
      </c>
      <c r="E338" s="5">
        <v>45765</v>
      </c>
      <c r="F338" t="s">
        <v>25</v>
      </c>
      <c r="G338" t="s">
        <v>12</v>
      </c>
      <c r="H338" t="s">
        <v>13</v>
      </c>
      <c r="I338" t="s">
        <v>30</v>
      </c>
      <c r="J338" t="s">
        <v>67</v>
      </c>
      <c r="K338">
        <v>0.2</v>
      </c>
    </row>
    <row r="339" spans="1:11">
      <c r="A339">
        <v>2025</v>
      </c>
      <c r="B339">
        <v>2</v>
      </c>
      <c r="C339">
        <v>4</v>
      </c>
      <c r="D339" s="5">
        <v>45765</v>
      </c>
      <c r="E339" s="5">
        <v>45765</v>
      </c>
      <c r="F339" t="s">
        <v>25</v>
      </c>
      <c r="G339" t="s">
        <v>12</v>
      </c>
      <c r="H339" t="s">
        <v>13</v>
      </c>
      <c r="I339" t="s">
        <v>30</v>
      </c>
      <c r="J339" t="s">
        <v>62</v>
      </c>
      <c r="K339">
        <v>0.5</v>
      </c>
    </row>
    <row r="340" spans="1:11">
      <c r="A340">
        <v>2025</v>
      </c>
      <c r="B340">
        <v>2</v>
      </c>
      <c r="C340">
        <v>4</v>
      </c>
      <c r="D340" s="5">
        <v>45765</v>
      </c>
      <c r="E340" s="5">
        <v>45765</v>
      </c>
      <c r="F340" t="s">
        <v>25</v>
      </c>
      <c r="G340" t="s">
        <v>12</v>
      </c>
      <c r="H340" t="s">
        <v>13</v>
      </c>
      <c r="I340" t="s">
        <v>30</v>
      </c>
      <c r="J340" t="s">
        <v>68</v>
      </c>
      <c r="K340">
        <v>0.2</v>
      </c>
    </row>
    <row r="341" spans="1:11">
      <c r="A341">
        <v>2025</v>
      </c>
      <c r="B341">
        <v>2</v>
      </c>
      <c r="C341">
        <v>4</v>
      </c>
      <c r="D341" s="5">
        <v>45779</v>
      </c>
      <c r="E341" s="5">
        <v>45772</v>
      </c>
      <c r="F341" t="s">
        <v>32</v>
      </c>
      <c r="G341" t="s">
        <v>12</v>
      </c>
      <c r="H341" t="s">
        <v>13</v>
      </c>
      <c r="I341" t="s">
        <v>14</v>
      </c>
      <c r="J341" t="s">
        <v>54</v>
      </c>
      <c r="K341">
        <v>5</v>
      </c>
    </row>
    <row r="342" spans="1:11">
      <c r="A342">
        <v>2025</v>
      </c>
      <c r="B342">
        <v>2</v>
      </c>
      <c r="C342">
        <v>4</v>
      </c>
      <c r="D342" s="5">
        <v>45779</v>
      </c>
      <c r="E342" s="5">
        <v>45772</v>
      </c>
      <c r="F342" t="s">
        <v>32</v>
      </c>
      <c r="G342" t="s">
        <v>12</v>
      </c>
      <c r="H342" t="s">
        <v>13</v>
      </c>
      <c r="I342" t="s">
        <v>14</v>
      </c>
      <c r="J342" t="s">
        <v>42</v>
      </c>
      <c r="K342">
        <v>3</v>
      </c>
    </row>
    <row r="343" spans="1:11">
      <c r="A343">
        <v>2025</v>
      </c>
      <c r="B343">
        <v>2</v>
      </c>
      <c r="C343">
        <v>4</v>
      </c>
      <c r="D343" s="5">
        <v>45779</v>
      </c>
      <c r="E343" s="5">
        <v>45772</v>
      </c>
      <c r="F343" t="s">
        <v>32</v>
      </c>
      <c r="G343" t="s">
        <v>12</v>
      </c>
      <c r="H343" t="s">
        <v>13</v>
      </c>
      <c r="I343" t="s">
        <v>44</v>
      </c>
      <c r="J343" t="s">
        <v>47</v>
      </c>
      <c r="K343">
        <v>30</v>
      </c>
    </row>
    <row r="344" spans="1:11">
      <c r="A344">
        <v>2025</v>
      </c>
      <c r="B344">
        <v>2</v>
      </c>
      <c r="C344">
        <v>4</v>
      </c>
      <c r="D344" s="5">
        <v>45779</v>
      </c>
      <c r="E344" s="5">
        <v>45772</v>
      </c>
      <c r="F344" t="s">
        <v>11</v>
      </c>
      <c r="G344" t="s">
        <v>12</v>
      </c>
      <c r="H344" t="s">
        <v>13</v>
      </c>
      <c r="I344" t="s">
        <v>14</v>
      </c>
      <c r="J344" t="s">
        <v>27</v>
      </c>
      <c r="K344">
        <v>9.1</v>
      </c>
    </row>
    <row r="345" spans="1:11">
      <c r="A345">
        <v>2025</v>
      </c>
      <c r="B345">
        <v>2</v>
      </c>
      <c r="C345">
        <v>4</v>
      </c>
      <c r="D345" s="5">
        <v>45779</v>
      </c>
      <c r="E345" s="5">
        <v>45772</v>
      </c>
      <c r="F345" t="s">
        <v>11</v>
      </c>
      <c r="G345" t="s">
        <v>12</v>
      </c>
      <c r="H345" t="s">
        <v>13</v>
      </c>
      <c r="I345" t="s">
        <v>14</v>
      </c>
      <c r="J345" t="s">
        <v>37</v>
      </c>
      <c r="K345">
        <v>2.5</v>
      </c>
    </row>
    <row r="346" spans="1:11">
      <c r="A346">
        <v>2025</v>
      </c>
      <c r="B346">
        <v>2</v>
      </c>
      <c r="C346">
        <v>4</v>
      </c>
      <c r="D346" s="5">
        <v>45779</v>
      </c>
      <c r="E346" s="5">
        <v>45772</v>
      </c>
      <c r="F346" t="s">
        <v>11</v>
      </c>
      <c r="G346" t="s">
        <v>12</v>
      </c>
      <c r="H346" t="s">
        <v>13</v>
      </c>
      <c r="I346" t="s">
        <v>14</v>
      </c>
      <c r="J346" t="s">
        <v>15</v>
      </c>
      <c r="K346">
        <v>8.4</v>
      </c>
    </row>
    <row r="347" spans="1:11">
      <c r="A347">
        <v>2025</v>
      </c>
      <c r="B347">
        <v>2</v>
      </c>
      <c r="C347">
        <v>4</v>
      </c>
      <c r="D347" s="5">
        <v>45779</v>
      </c>
      <c r="E347" s="5">
        <v>45772</v>
      </c>
      <c r="F347" t="s">
        <v>11</v>
      </c>
      <c r="G347" t="s">
        <v>12</v>
      </c>
      <c r="H347" t="s">
        <v>13</v>
      </c>
      <c r="I347" t="s">
        <v>44</v>
      </c>
      <c r="J347" t="s">
        <v>47</v>
      </c>
      <c r="K347">
        <v>6.2</v>
      </c>
    </row>
    <row r="348" spans="1:11">
      <c r="A348">
        <v>2025</v>
      </c>
      <c r="B348">
        <v>2</v>
      </c>
      <c r="C348">
        <v>4</v>
      </c>
      <c r="D348" s="5">
        <v>45779</v>
      </c>
      <c r="E348" s="5">
        <v>45772</v>
      </c>
      <c r="F348" t="s">
        <v>11</v>
      </c>
      <c r="G348" t="s">
        <v>12</v>
      </c>
      <c r="H348" t="s">
        <v>13</v>
      </c>
      <c r="I348" t="s">
        <v>38</v>
      </c>
      <c r="J348" t="s">
        <v>64</v>
      </c>
      <c r="K348">
        <v>0.8</v>
      </c>
    </row>
    <row r="349" spans="1:11">
      <c r="A349">
        <v>2025</v>
      </c>
      <c r="B349">
        <v>2</v>
      </c>
      <c r="C349">
        <v>4</v>
      </c>
      <c r="D349" s="5">
        <v>45779</v>
      </c>
      <c r="E349" s="5">
        <v>45772</v>
      </c>
      <c r="F349" t="s">
        <v>11</v>
      </c>
      <c r="G349" t="s">
        <v>12</v>
      </c>
      <c r="H349" t="s">
        <v>13</v>
      </c>
      <c r="I349" t="s">
        <v>38</v>
      </c>
      <c r="J349" t="s">
        <v>72</v>
      </c>
      <c r="K349">
        <v>0.3</v>
      </c>
    </row>
    <row r="350" spans="1:11">
      <c r="A350">
        <v>2025</v>
      </c>
      <c r="B350">
        <v>2</v>
      </c>
      <c r="C350">
        <v>4</v>
      </c>
      <c r="D350" s="5">
        <v>45779</v>
      </c>
      <c r="E350" s="5">
        <v>45772</v>
      </c>
      <c r="F350" t="s">
        <v>11</v>
      </c>
      <c r="G350" t="s">
        <v>12</v>
      </c>
      <c r="H350" t="s">
        <v>13</v>
      </c>
      <c r="I350" t="s">
        <v>19</v>
      </c>
      <c r="J350" t="s">
        <v>73</v>
      </c>
      <c r="K350">
        <v>0.3</v>
      </c>
    </row>
    <row r="351" spans="1:11">
      <c r="A351">
        <v>2025</v>
      </c>
      <c r="B351">
        <v>2</v>
      </c>
      <c r="C351">
        <v>4</v>
      </c>
      <c r="D351" s="5">
        <v>45779</v>
      </c>
      <c r="E351" s="5">
        <v>45772</v>
      </c>
      <c r="F351" t="s">
        <v>21</v>
      </c>
      <c r="G351" t="s">
        <v>12</v>
      </c>
      <c r="H351" t="s">
        <v>13</v>
      </c>
      <c r="I351" t="s">
        <v>14</v>
      </c>
      <c r="J351" t="s">
        <v>24</v>
      </c>
      <c r="K351">
        <v>7.2</v>
      </c>
    </row>
    <row r="352" spans="1:11">
      <c r="A352">
        <v>2025</v>
      </c>
      <c r="B352">
        <v>2</v>
      </c>
      <c r="C352">
        <v>4</v>
      </c>
      <c r="D352" s="5">
        <v>45779</v>
      </c>
      <c r="E352" s="5">
        <v>45772</v>
      </c>
      <c r="F352" t="s">
        <v>21</v>
      </c>
      <c r="G352" t="s">
        <v>12</v>
      </c>
      <c r="H352" t="s">
        <v>13</v>
      </c>
      <c r="I352" t="s">
        <v>14</v>
      </c>
      <c r="J352" t="s">
        <v>42</v>
      </c>
      <c r="K352">
        <v>7.8</v>
      </c>
    </row>
    <row r="353" spans="1:11">
      <c r="A353">
        <v>2025</v>
      </c>
      <c r="B353">
        <v>2</v>
      </c>
      <c r="C353">
        <v>4</v>
      </c>
      <c r="D353" s="5">
        <v>45779</v>
      </c>
      <c r="E353" s="5">
        <v>45772</v>
      </c>
      <c r="F353" t="s">
        <v>21</v>
      </c>
      <c r="G353" t="s">
        <v>12</v>
      </c>
      <c r="H353" t="s">
        <v>13</v>
      </c>
      <c r="I353" t="s">
        <v>28</v>
      </c>
      <c r="J353" t="s">
        <v>58</v>
      </c>
      <c r="K353">
        <v>1.3</v>
      </c>
    </row>
    <row r="354" spans="1:11">
      <c r="A354">
        <v>2025</v>
      </c>
      <c r="B354">
        <v>2</v>
      </c>
      <c r="C354">
        <v>4</v>
      </c>
      <c r="D354" s="5">
        <v>45779</v>
      </c>
      <c r="E354" s="5">
        <v>45772</v>
      </c>
      <c r="F354" t="s">
        <v>21</v>
      </c>
      <c r="G354" t="s">
        <v>12</v>
      </c>
      <c r="H354" t="s">
        <v>13</v>
      </c>
      <c r="I354" t="s">
        <v>28</v>
      </c>
      <c r="J354" t="s">
        <v>43</v>
      </c>
      <c r="K354">
        <v>24.5</v>
      </c>
    </row>
    <row r="355" spans="1:11">
      <c r="A355">
        <v>2025</v>
      </c>
      <c r="B355">
        <v>2</v>
      </c>
      <c r="C355">
        <v>4</v>
      </c>
      <c r="D355" s="5">
        <v>45779</v>
      </c>
      <c r="E355" s="5">
        <v>45772</v>
      </c>
      <c r="F355" t="s">
        <v>25</v>
      </c>
      <c r="G355" t="s">
        <v>12</v>
      </c>
      <c r="H355" t="s">
        <v>13</v>
      </c>
      <c r="I355" t="s">
        <v>14</v>
      </c>
      <c r="J355" t="s">
        <v>37</v>
      </c>
      <c r="K355">
        <v>0.5</v>
      </c>
    </row>
    <row r="356" spans="1:11">
      <c r="A356">
        <v>2025</v>
      </c>
      <c r="B356">
        <v>2</v>
      </c>
      <c r="C356">
        <v>4</v>
      </c>
      <c r="D356" s="5">
        <v>45779</v>
      </c>
      <c r="E356" s="5">
        <v>45772</v>
      </c>
      <c r="F356" t="s">
        <v>25</v>
      </c>
      <c r="G356" t="s">
        <v>12</v>
      </c>
      <c r="H356" t="s">
        <v>13</v>
      </c>
      <c r="I356" t="s">
        <v>28</v>
      </c>
      <c r="J356" t="s">
        <v>29</v>
      </c>
      <c r="K356">
        <v>1</v>
      </c>
    </row>
    <row r="357" spans="1:11">
      <c r="A357">
        <v>2025</v>
      </c>
      <c r="B357">
        <v>2</v>
      </c>
      <c r="C357">
        <v>4</v>
      </c>
      <c r="D357" s="5">
        <v>45779</v>
      </c>
      <c r="E357" s="5">
        <v>45772</v>
      </c>
      <c r="F357" t="s">
        <v>25</v>
      </c>
      <c r="G357" t="s">
        <v>12</v>
      </c>
      <c r="H357" t="s">
        <v>13</v>
      </c>
      <c r="I357" t="s">
        <v>44</v>
      </c>
      <c r="J357" t="s">
        <v>45</v>
      </c>
      <c r="K357">
        <v>8</v>
      </c>
    </row>
    <row r="358" spans="1:11">
      <c r="A358">
        <v>2025</v>
      </c>
      <c r="B358">
        <v>2</v>
      </c>
      <c r="C358">
        <v>4</v>
      </c>
      <c r="D358" s="5">
        <v>45779</v>
      </c>
      <c r="E358" s="5">
        <v>45772</v>
      </c>
      <c r="F358" t="s">
        <v>25</v>
      </c>
      <c r="G358" t="s">
        <v>12</v>
      </c>
      <c r="H358" t="s">
        <v>13</v>
      </c>
      <c r="I358" t="s">
        <v>38</v>
      </c>
      <c r="J358" t="s">
        <v>46</v>
      </c>
      <c r="K358">
        <v>8</v>
      </c>
    </row>
    <row r="359" spans="1:11">
      <c r="A359">
        <v>2025</v>
      </c>
      <c r="B359">
        <v>2</v>
      </c>
      <c r="C359">
        <v>4</v>
      </c>
      <c r="D359" s="5">
        <v>45779</v>
      </c>
      <c r="E359" s="5">
        <v>45772</v>
      </c>
      <c r="F359" t="s">
        <v>25</v>
      </c>
      <c r="G359" t="s">
        <v>12</v>
      </c>
      <c r="H359" t="s">
        <v>13</v>
      </c>
      <c r="I359" t="s">
        <v>30</v>
      </c>
      <c r="J359" t="s">
        <v>67</v>
      </c>
      <c r="K359">
        <v>3</v>
      </c>
    </row>
    <row r="360" spans="1:11">
      <c r="A360">
        <v>2025</v>
      </c>
      <c r="B360">
        <v>2</v>
      </c>
      <c r="C360">
        <v>4</v>
      </c>
      <c r="D360" s="5">
        <v>45779</v>
      </c>
      <c r="E360" s="5">
        <v>45772</v>
      </c>
      <c r="F360" t="s">
        <v>25</v>
      </c>
      <c r="G360" t="s">
        <v>12</v>
      </c>
      <c r="H360" t="s">
        <v>13</v>
      </c>
      <c r="I360" t="s">
        <v>30</v>
      </c>
      <c r="J360" t="s">
        <v>62</v>
      </c>
      <c r="K360">
        <v>9.5</v>
      </c>
    </row>
    <row r="361" spans="1:11">
      <c r="A361">
        <v>2025</v>
      </c>
      <c r="B361">
        <v>2</v>
      </c>
      <c r="C361">
        <v>4</v>
      </c>
      <c r="D361" s="5">
        <v>45779</v>
      </c>
      <c r="E361" s="5">
        <v>45772</v>
      </c>
      <c r="F361" t="s">
        <v>25</v>
      </c>
      <c r="G361" t="s">
        <v>12</v>
      </c>
      <c r="H361" t="s">
        <v>13</v>
      </c>
      <c r="I361" t="s">
        <v>30</v>
      </c>
      <c r="J361" t="s">
        <v>68</v>
      </c>
      <c r="K361">
        <v>3</v>
      </c>
    </row>
    <row r="362" spans="1:11">
      <c r="A362">
        <v>2025</v>
      </c>
      <c r="B362">
        <v>2</v>
      </c>
      <c r="C362">
        <v>5</v>
      </c>
      <c r="D362" s="5">
        <v>45779</v>
      </c>
      <c r="E362" s="5">
        <v>45779</v>
      </c>
      <c r="F362" t="s">
        <v>32</v>
      </c>
      <c r="G362" t="s">
        <v>12</v>
      </c>
      <c r="H362" t="s">
        <v>13</v>
      </c>
      <c r="I362" t="s">
        <v>14</v>
      </c>
      <c r="J362" t="s">
        <v>54</v>
      </c>
      <c r="K362">
        <v>2</v>
      </c>
    </row>
    <row r="363" spans="1:11">
      <c r="A363">
        <v>2025</v>
      </c>
      <c r="B363">
        <v>2</v>
      </c>
      <c r="C363">
        <v>5</v>
      </c>
      <c r="D363" s="5">
        <v>45779</v>
      </c>
      <c r="E363" s="5">
        <v>45779</v>
      </c>
      <c r="F363" t="s">
        <v>32</v>
      </c>
      <c r="G363" t="s">
        <v>12</v>
      </c>
      <c r="H363" t="s">
        <v>13</v>
      </c>
      <c r="I363" t="s">
        <v>44</v>
      </c>
      <c r="J363" t="s">
        <v>47</v>
      </c>
      <c r="K363">
        <v>38</v>
      </c>
    </row>
    <row r="364" spans="1:11">
      <c r="A364">
        <v>2025</v>
      </c>
      <c r="B364">
        <v>2</v>
      </c>
      <c r="C364">
        <v>5</v>
      </c>
      <c r="D364" s="5">
        <v>45779</v>
      </c>
      <c r="E364" s="5">
        <v>45779</v>
      </c>
      <c r="F364" t="s">
        <v>11</v>
      </c>
      <c r="G364" t="s">
        <v>12</v>
      </c>
      <c r="H364" t="s">
        <v>13</v>
      </c>
      <c r="I364" t="s">
        <v>14</v>
      </c>
      <c r="J364" t="s">
        <v>27</v>
      </c>
      <c r="K364">
        <v>2.1</v>
      </c>
    </row>
    <row r="365" spans="1:11">
      <c r="A365">
        <v>2025</v>
      </c>
      <c r="B365">
        <v>2</v>
      </c>
      <c r="C365">
        <v>5</v>
      </c>
      <c r="D365" s="5">
        <v>45779</v>
      </c>
      <c r="E365" s="5">
        <v>45779</v>
      </c>
      <c r="F365" t="s">
        <v>11</v>
      </c>
      <c r="G365" t="s">
        <v>12</v>
      </c>
      <c r="H365" t="s">
        <v>13</v>
      </c>
      <c r="I365" t="s">
        <v>14</v>
      </c>
      <c r="J365" t="s">
        <v>56</v>
      </c>
      <c r="K365">
        <v>1.3</v>
      </c>
    </row>
    <row r="366" spans="1:11">
      <c r="A366">
        <v>2025</v>
      </c>
      <c r="B366">
        <v>2</v>
      </c>
      <c r="C366">
        <v>5</v>
      </c>
      <c r="D366" s="5">
        <v>45779</v>
      </c>
      <c r="E366" s="5">
        <v>45779</v>
      </c>
      <c r="F366" t="s">
        <v>11</v>
      </c>
      <c r="G366" t="s">
        <v>12</v>
      </c>
      <c r="H366" t="s">
        <v>13</v>
      </c>
      <c r="I366" t="s">
        <v>14</v>
      </c>
      <c r="J366" t="s">
        <v>37</v>
      </c>
      <c r="K366">
        <v>1.3</v>
      </c>
    </row>
    <row r="367" spans="1:11">
      <c r="A367">
        <v>2025</v>
      </c>
      <c r="B367">
        <v>2</v>
      </c>
      <c r="C367">
        <v>5</v>
      </c>
      <c r="D367" s="5">
        <v>45779</v>
      </c>
      <c r="E367" s="5">
        <v>45779</v>
      </c>
      <c r="F367" t="s">
        <v>11</v>
      </c>
      <c r="G367" t="s">
        <v>12</v>
      </c>
      <c r="H367" t="s">
        <v>13</v>
      </c>
      <c r="I367" t="s">
        <v>14</v>
      </c>
      <c r="J367" t="s">
        <v>15</v>
      </c>
      <c r="K367">
        <v>5.8</v>
      </c>
    </row>
    <row r="368" spans="1:11">
      <c r="A368">
        <v>2025</v>
      </c>
      <c r="B368">
        <v>2</v>
      </c>
      <c r="C368">
        <v>5</v>
      </c>
      <c r="D368" s="5">
        <v>45779</v>
      </c>
      <c r="E368" s="5">
        <v>45779</v>
      </c>
      <c r="F368" t="s">
        <v>11</v>
      </c>
      <c r="G368" t="s">
        <v>12</v>
      </c>
      <c r="H368" t="s">
        <v>13</v>
      </c>
      <c r="I368" t="s">
        <v>28</v>
      </c>
      <c r="J368" t="s">
        <v>43</v>
      </c>
      <c r="K368">
        <v>4.8</v>
      </c>
    </row>
    <row r="369" spans="1:11">
      <c r="A369">
        <v>2025</v>
      </c>
      <c r="B369">
        <v>2</v>
      </c>
      <c r="C369">
        <v>5</v>
      </c>
      <c r="D369" s="5">
        <v>45779</v>
      </c>
      <c r="E369" s="5">
        <v>45779</v>
      </c>
      <c r="F369" t="s">
        <v>11</v>
      </c>
      <c r="G369" t="s">
        <v>12</v>
      </c>
      <c r="H369" t="s">
        <v>13</v>
      </c>
      <c r="I369" t="s">
        <v>44</v>
      </c>
      <c r="J369" t="s">
        <v>47</v>
      </c>
      <c r="K369">
        <v>3</v>
      </c>
    </row>
    <row r="370" spans="1:11">
      <c r="A370">
        <v>2025</v>
      </c>
      <c r="B370">
        <v>2</v>
      </c>
      <c r="C370">
        <v>5</v>
      </c>
      <c r="D370" s="5">
        <v>45779</v>
      </c>
      <c r="E370" s="5">
        <v>45779</v>
      </c>
      <c r="F370" t="s">
        <v>11</v>
      </c>
      <c r="G370" t="s">
        <v>12</v>
      </c>
      <c r="H370" t="s">
        <v>13</v>
      </c>
      <c r="I370" t="s">
        <v>16</v>
      </c>
      <c r="J370" t="s">
        <v>17</v>
      </c>
      <c r="K370">
        <v>2</v>
      </c>
    </row>
    <row r="371" spans="1:11">
      <c r="A371">
        <v>2025</v>
      </c>
      <c r="B371">
        <v>2</v>
      </c>
      <c r="C371">
        <v>5</v>
      </c>
      <c r="D371" s="5">
        <v>45779</v>
      </c>
      <c r="E371" s="5">
        <v>45779</v>
      </c>
      <c r="F371" t="s">
        <v>11</v>
      </c>
      <c r="G371" t="s">
        <v>12</v>
      </c>
      <c r="H371" t="s">
        <v>13</v>
      </c>
      <c r="I371" t="s">
        <v>16</v>
      </c>
      <c r="J371" t="s">
        <v>74</v>
      </c>
      <c r="K371">
        <v>1.1000000000000001</v>
      </c>
    </row>
    <row r="372" spans="1:11">
      <c r="A372">
        <v>2025</v>
      </c>
      <c r="B372">
        <v>2</v>
      </c>
      <c r="C372">
        <v>5</v>
      </c>
      <c r="D372" s="5">
        <v>45779</v>
      </c>
      <c r="E372" s="5">
        <v>45779</v>
      </c>
      <c r="F372" t="s">
        <v>11</v>
      </c>
      <c r="G372" t="s">
        <v>12</v>
      </c>
      <c r="H372" t="s">
        <v>13</v>
      </c>
      <c r="I372" t="s">
        <v>16</v>
      </c>
      <c r="J372" t="s">
        <v>61</v>
      </c>
      <c r="K372">
        <v>0.8</v>
      </c>
    </row>
    <row r="373" spans="1:11">
      <c r="A373">
        <v>2025</v>
      </c>
      <c r="B373">
        <v>2</v>
      </c>
      <c r="C373">
        <v>5</v>
      </c>
      <c r="D373" s="5">
        <v>45779</v>
      </c>
      <c r="E373" s="5">
        <v>45779</v>
      </c>
      <c r="F373" t="s">
        <v>11</v>
      </c>
      <c r="G373" t="s">
        <v>12</v>
      </c>
      <c r="H373" t="s">
        <v>13</v>
      </c>
      <c r="I373" t="s">
        <v>19</v>
      </c>
      <c r="J373" t="s">
        <v>73</v>
      </c>
      <c r="K373">
        <v>5.5</v>
      </c>
    </row>
    <row r="374" spans="1:11">
      <c r="A374">
        <v>2025</v>
      </c>
      <c r="B374">
        <v>2</v>
      </c>
      <c r="C374">
        <v>5</v>
      </c>
      <c r="D374" s="5">
        <v>45779</v>
      </c>
      <c r="E374" s="5">
        <v>45779</v>
      </c>
      <c r="F374" t="s">
        <v>21</v>
      </c>
      <c r="G374" t="s">
        <v>12</v>
      </c>
      <c r="H374" t="s">
        <v>13</v>
      </c>
      <c r="I374" t="s">
        <v>14</v>
      </c>
      <c r="J374" t="s">
        <v>24</v>
      </c>
      <c r="K374">
        <v>6.4</v>
      </c>
    </row>
    <row r="375" spans="1:11">
      <c r="A375">
        <v>2025</v>
      </c>
      <c r="B375">
        <v>2</v>
      </c>
      <c r="C375">
        <v>5</v>
      </c>
      <c r="D375" s="5">
        <v>45779</v>
      </c>
      <c r="E375" s="5">
        <v>45779</v>
      </c>
      <c r="F375" t="s">
        <v>21</v>
      </c>
      <c r="G375" t="s">
        <v>12</v>
      </c>
      <c r="H375" t="s">
        <v>13</v>
      </c>
      <c r="I375" t="s">
        <v>14</v>
      </c>
      <c r="J375" t="s">
        <v>57</v>
      </c>
      <c r="K375">
        <v>0.5</v>
      </c>
    </row>
    <row r="376" spans="1:11">
      <c r="A376">
        <v>2025</v>
      </c>
      <c r="B376">
        <v>2</v>
      </c>
      <c r="C376">
        <v>5</v>
      </c>
      <c r="D376" s="5">
        <v>45779</v>
      </c>
      <c r="E376" s="5">
        <v>45779</v>
      </c>
      <c r="F376" t="s">
        <v>21</v>
      </c>
      <c r="G376" t="s">
        <v>12</v>
      </c>
      <c r="H376" t="s">
        <v>13</v>
      </c>
      <c r="I376" t="s">
        <v>14</v>
      </c>
      <c r="J376" t="s">
        <v>42</v>
      </c>
      <c r="K376">
        <v>3.5</v>
      </c>
    </row>
    <row r="377" spans="1:11">
      <c r="A377">
        <v>2025</v>
      </c>
      <c r="B377">
        <v>2</v>
      </c>
      <c r="C377">
        <v>5</v>
      </c>
      <c r="D377" s="5">
        <v>45779</v>
      </c>
      <c r="E377" s="5">
        <v>45779</v>
      </c>
      <c r="F377" t="s">
        <v>21</v>
      </c>
      <c r="G377" t="s">
        <v>12</v>
      </c>
      <c r="H377" t="s">
        <v>13</v>
      </c>
      <c r="I377" t="s">
        <v>28</v>
      </c>
      <c r="J377" t="s">
        <v>58</v>
      </c>
      <c r="K377">
        <v>8</v>
      </c>
    </row>
    <row r="378" spans="1:11">
      <c r="A378">
        <v>2025</v>
      </c>
      <c r="B378">
        <v>2</v>
      </c>
      <c r="C378">
        <v>5</v>
      </c>
      <c r="D378" s="5">
        <v>45779</v>
      </c>
      <c r="E378" s="5">
        <v>45779</v>
      </c>
      <c r="F378" t="s">
        <v>21</v>
      </c>
      <c r="G378" t="s">
        <v>12</v>
      </c>
      <c r="H378" t="s">
        <v>13</v>
      </c>
      <c r="I378" t="s">
        <v>28</v>
      </c>
      <c r="J378" t="s">
        <v>43</v>
      </c>
      <c r="K378">
        <v>18.8</v>
      </c>
    </row>
    <row r="379" spans="1:11">
      <c r="A379">
        <v>2025</v>
      </c>
      <c r="B379">
        <v>2</v>
      </c>
      <c r="C379">
        <v>5</v>
      </c>
      <c r="D379" s="5">
        <v>45779</v>
      </c>
      <c r="E379" s="5">
        <v>45779</v>
      </c>
      <c r="F379" t="s">
        <v>21</v>
      </c>
      <c r="G379" t="s">
        <v>12</v>
      </c>
      <c r="H379" t="s">
        <v>13</v>
      </c>
      <c r="I379" t="s">
        <v>28</v>
      </c>
      <c r="J379" t="s">
        <v>29</v>
      </c>
      <c r="K379">
        <v>1.1000000000000001</v>
      </c>
    </row>
    <row r="380" spans="1:11">
      <c r="A380">
        <v>2025</v>
      </c>
      <c r="B380">
        <v>2</v>
      </c>
      <c r="C380">
        <v>5</v>
      </c>
      <c r="D380" s="5">
        <v>45779</v>
      </c>
      <c r="E380" s="5">
        <v>45779</v>
      </c>
      <c r="F380" t="s">
        <v>25</v>
      </c>
      <c r="G380" t="s">
        <v>12</v>
      </c>
      <c r="H380" t="s">
        <v>13</v>
      </c>
      <c r="I380" t="s">
        <v>14</v>
      </c>
      <c r="J380" t="s">
        <v>37</v>
      </c>
      <c r="K380">
        <v>1</v>
      </c>
    </row>
    <row r="381" spans="1:11">
      <c r="A381">
        <v>2025</v>
      </c>
      <c r="B381">
        <v>2</v>
      </c>
      <c r="C381">
        <v>5</v>
      </c>
      <c r="D381" s="5">
        <v>45779</v>
      </c>
      <c r="E381" s="5">
        <v>45779</v>
      </c>
      <c r="F381" t="s">
        <v>25</v>
      </c>
      <c r="G381" t="s">
        <v>12</v>
      </c>
      <c r="H381" t="s">
        <v>13</v>
      </c>
      <c r="I381" t="s">
        <v>14</v>
      </c>
      <c r="J381" t="s">
        <v>75</v>
      </c>
      <c r="K381">
        <v>1</v>
      </c>
    </row>
    <row r="382" spans="1:11">
      <c r="A382">
        <v>2025</v>
      </c>
      <c r="B382">
        <v>2</v>
      </c>
      <c r="C382">
        <v>5</v>
      </c>
      <c r="D382" s="5">
        <v>45779</v>
      </c>
      <c r="E382" s="5">
        <v>45779</v>
      </c>
      <c r="F382" t="s">
        <v>25</v>
      </c>
      <c r="G382" t="s">
        <v>12</v>
      </c>
      <c r="H382" t="s">
        <v>13</v>
      </c>
      <c r="I382" t="s">
        <v>28</v>
      </c>
      <c r="J382" t="s">
        <v>29</v>
      </c>
      <c r="K382">
        <v>2.8</v>
      </c>
    </row>
    <row r="383" spans="1:11">
      <c r="A383">
        <v>2025</v>
      </c>
      <c r="B383">
        <v>2</v>
      </c>
      <c r="C383">
        <v>5</v>
      </c>
      <c r="D383" s="5">
        <v>45779</v>
      </c>
      <c r="E383" s="5">
        <v>45779</v>
      </c>
      <c r="F383" t="s">
        <v>25</v>
      </c>
      <c r="G383" t="s">
        <v>12</v>
      </c>
      <c r="H383" t="s">
        <v>13</v>
      </c>
      <c r="I383" t="s">
        <v>44</v>
      </c>
      <c r="J383" t="s">
        <v>45</v>
      </c>
      <c r="K383">
        <v>12</v>
      </c>
    </row>
    <row r="384" spans="1:11">
      <c r="A384">
        <v>2025</v>
      </c>
      <c r="B384">
        <v>2</v>
      </c>
      <c r="C384">
        <v>5</v>
      </c>
      <c r="D384" s="5">
        <v>45779</v>
      </c>
      <c r="E384" s="5">
        <v>45779</v>
      </c>
      <c r="F384" t="s">
        <v>25</v>
      </c>
      <c r="G384" t="s">
        <v>12</v>
      </c>
      <c r="H384" t="s">
        <v>13</v>
      </c>
      <c r="I384" t="s">
        <v>38</v>
      </c>
      <c r="J384" t="s">
        <v>46</v>
      </c>
      <c r="K384">
        <v>2</v>
      </c>
    </row>
    <row r="385" spans="1:11">
      <c r="A385">
        <v>2025</v>
      </c>
      <c r="B385">
        <v>2</v>
      </c>
      <c r="C385">
        <v>5</v>
      </c>
      <c r="D385" s="5">
        <v>45779</v>
      </c>
      <c r="E385" s="5">
        <v>45779</v>
      </c>
      <c r="F385" t="s">
        <v>25</v>
      </c>
      <c r="G385" t="s">
        <v>12</v>
      </c>
      <c r="H385" t="s">
        <v>13</v>
      </c>
      <c r="I385" t="s">
        <v>30</v>
      </c>
      <c r="J385" t="s">
        <v>67</v>
      </c>
      <c r="K385">
        <v>4.5</v>
      </c>
    </row>
    <row r="386" spans="1:11">
      <c r="A386">
        <v>2025</v>
      </c>
      <c r="B386">
        <v>2</v>
      </c>
      <c r="C386">
        <v>5</v>
      </c>
      <c r="D386" s="5">
        <v>45779</v>
      </c>
      <c r="E386" s="5">
        <v>45779</v>
      </c>
      <c r="F386" t="s">
        <v>25</v>
      </c>
      <c r="G386" t="s">
        <v>12</v>
      </c>
      <c r="H386" t="s">
        <v>13</v>
      </c>
      <c r="I386" t="s">
        <v>30</v>
      </c>
      <c r="J386" t="s">
        <v>62</v>
      </c>
      <c r="K386">
        <v>4.2</v>
      </c>
    </row>
    <row r="387" spans="1:11">
      <c r="A387">
        <v>2025</v>
      </c>
      <c r="B387">
        <v>2</v>
      </c>
      <c r="C387">
        <v>5</v>
      </c>
      <c r="D387" s="5">
        <v>45779</v>
      </c>
      <c r="E387" s="5">
        <v>45779</v>
      </c>
      <c r="F387" t="s">
        <v>25</v>
      </c>
      <c r="G387" t="s">
        <v>12</v>
      </c>
      <c r="H387" t="s">
        <v>13</v>
      </c>
      <c r="I387" t="s">
        <v>30</v>
      </c>
      <c r="J387" t="s">
        <v>68</v>
      </c>
      <c r="K387">
        <v>5</v>
      </c>
    </row>
    <row r="388" spans="1:11">
      <c r="A388">
        <v>2025</v>
      </c>
      <c r="B388">
        <v>2</v>
      </c>
      <c r="C388">
        <v>5</v>
      </c>
      <c r="D388" s="5">
        <v>45793</v>
      </c>
      <c r="E388" s="5">
        <v>45786</v>
      </c>
      <c r="F388" t="s">
        <v>32</v>
      </c>
      <c r="G388" t="s">
        <v>12</v>
      </c>
      <c r="H388" t="s">
        <v>13</v>
      </c>
      <c r="I388" t="s">
        <v>14</v>
      </c>
      <c r="J388" t="s">
        <v>54</v>
      </c>
      <c r="K388">
        <v>1.5</v>
      </c>
    </row>
    <row r="389" spans="1:11">
      <c r="A389">
        <v>2025</v>
      </c>
      <c r="B389">
        <v>2</v>
      </c>
      <c r="C389">
        <v>5</v>
      </c>
      <c r="D389" s="5">
        <v>45793</v>
      </c>
      <c r="E389" s="5">
        <v>45786</v>
      </c>
      <c r="F389" t="s">
        <v>32</v>
      </c>
      <c r="G389" t="s">
        <v>12</v>
      </c>
      <c r="H389" t="s">
        <v>13</v>
      </c>
      <c r="I389" t="s">
        <v>14</v>
      </c>
      <c r="J389" t="s">
        <v>42</v>
      </c>
      <c r="K389">
        <v>3</v>
      </c>
    </row>
    <row r="390" spans="1:11">
      <c r="A390">
        <v>2025</v>
      </c>
      <c r="B390">
        <v>2</v>
      </c>
      <c r="C390">
        <v>5</v>
      </c>
      <c r="D390" s="5">
        <v>45793</v>
      </c>
      <c r="E390" s="5">
        <v>45786</v>
      </c>
      <c r="F390" t="s">
        <v>32</v>
      </c>
      <c r="G390" t="s">
        <v>12</v>
      </c>
      <c r="H390" t="s">
        <v>13</v>
      </c>
      <c r="I390" t="s">
        <v>44</v>
      </c>
      <c r="J390" t="s">
        <v>47</v>
      </c>
      <c r="K390">
        <v>34.5</v>
      </c>
    </row>
    <row r="391" spans="1:11">
      <c r="A391">
        <v>2025</v>
      </c>
      <c r="B391">
        <v>2</v>
      </c>
      <c r="C391">
        <v>5</v>
      </c>
      <c r="D391" s="5">
        <v>45793</v>
      </c>
      <c r="E391" s="5">
        <v>45786</v>
      </c>
      <c r="F391" t="s">
        <v>11</v>
      </c>
      <c r="G391" t="s">
        <v>12</v>
      </c>
      <c r="H391" t="s">
        <v>13</v>
      </c>
      <c r="I391" t="s">
        <v>14</v>
      </c>
      <c r="J391" t="s">
        <v>27</v>
      </c>
      <c r="K391">
        <v>7.4</v>
      </c>
    </row>
    <row r="392" spans="1:11">
      <c r="A392">
        <v>2025</v>
      </c>
      <c r="B392">
        <v>2</v>
      </c>
      <c r="C392">
        <v>5</v>
      </c>
      <c r="D392" s="5">
        <v>45793</v>
      </c>
      <c r="E392" s="5">
        <v>45786</v>
      </c>
      <c r="F392" t="s">
        <v>11</v>
      </c>
      <c r="G392" t="s">
        <v>12</v>
      </c>
      <c r="H392" t="s">
        <v>13</v>
      </c>
      <c r="I392" t="s">
        <v>14</v>
      </c>
      <c r="J392" t="s">
        <v>76</v>
      </c>
      <c r="K392">
        <v>2.6</v>
      </c>
    </row>
    <row r="393" spans="1:11">
      <c r="A393">
        <v>2025</v>
      </c>
      <c r="B393">
        <v>2</v>
      </c>
      <c r="C393">
        <v>5</v>
      </c>
      <c r="D393" s="5">
        <v>45793</v>
      </c>
      <c r="E393" s="5">
        <v>45786</v>
      </c>
      <c r="F393" t="s">
        <v>11</v>
      </c>
      <c r="G393" t="s">
        <v>12</v>
      </c>
      <c r="H393" t="s">
        <v>13</v>
      </c>
      <c r="I393" t="s">
        <v>14</v>
      </c>
      <c r="J393" t="s">
        <v>37</v>
      </c>
      <c r="K393">
        <v>1</v>
      </c>
    </row>
    <row r="394" spans="1:11">
      <c r="A394">
        <v>2025</v>
      </c>
      <c r="B394">
        <v>2</v>
      </c>
      <c r="C394">
        <v>5</v>
      </c>
      <c r="D394" s="5">
        <v>45793</v>
      </c>
      <c r="E394" s="5">
        <v>45786</v>
      </c>
      <c r="F394" t="s">
        <v>11</v>
      </c>
      <c r="G394" t="s">
        <v>12</v>
      </c>
      <c r="H394" t="s">
        <v>13</v>
      </c>
      <c r="I394" t="s">
        <v>14</v>
      </c>
      <c r="J394" t="s">
        <v>15</v>
      </c>
      <c r="K394">
        <v>2.2999999999999998</v>
      </c>
    </row>
    <row r="395" spans="1:11">
      <c r="A395">
        <v>2025</v>
      </c>
      <c r="B395">
        <v>2</v>
      </c>
      <c r="C395">
        <v>5</v>
      </c>
      <c r="D395" s="5">
        <v>45793</v>
      </c>
      <c r="E395" s="5">
        <v>45786</v>
      </c>
      <c r="F395" t="s">
        <v>11</v>
      </c>
      <c r="G395" t="s">
        <v>12</v>
      </c>
      <c r="H395" t="s">
        <v>13</v>
      </c>
      <c r="I395" t="s">
        <v>44</v>
      </c>
      <c r="J395" t="s">
        <v>47</v>
      </c>
      <c r="K395">
        <v>0.5</v>
      </c>
    </row>
    <row r="396" spans="1:11">
      <c r="A396">
        <v>2025</v>
      </c>
      <c r="B396">
        <v>2</v>
      </c>
      <c r="C396">
        <v>5</v>
      </c>
      <c r="D396" s="5">
        <v>45793</v>
      </c>
      <c r="E396" s="5">
        <v>45786</v>
      </c>
      <c r="F396" t="s">
        <v>11</v>
      </c>
      <c r="G396" t="s">
        <v>12</v>
      </c>
      <c r="H396" t="s">
        <v>13</v>
      </c>
      <c r="I396" t="s">
        <v>16</v>
      </c>
      <c r="J396" t="s">
        <v>40</v>
      </c>
      <c r="K396">
        <v>0.5</v>
      </c>
    </row>
    <row r="397" spans="1:11">
      <c r="A397">
        <v>2025</v>
      </c>
      <c r="B397">
        <v>2</v>
      </c>
      <c r="C397">
        <v>5</v>
      </c>
      <c r="D397" s="5">
        <v>45793</v>
      </c>
      <c r="E397" s="5">
        <v>45786</v>
      </c>
      <c r="F397" t="s">
        <v>11</v>
      </c>
      <c r="G397" t="s">
        <v>12</v>
      </c>
      <c r="H397" t="s">
        <v>13</v>
      </c>
      <c r="I397" t="s">
        <v>30</v>
      </c>
      <c r="J397" t="s">
        <v>62</v>
      </c>
      <c r="K397">
        <v>1.5</v>
      </c>
    </row>
    <row r="398" spans="1:11">
      <c r="A398">
        <v>2025</v>
      </c>
      <c r="B398">
        <v>2</v>
      </c>
      <c r="C398">
        <v>5</v>
      </c>
      <c r="D398" s="5">
        <v>45793</v>
      </c>
      <c r="E398" s="5">
        <v>45786</v>
      </c>
      <c r="F398" t="s">
        <v>41</v>
      </c>
      <c r="G398" t="s">
        <v>12</v>
      </c>
      <c r="H398" t="s">
        <v>13</v>
      </c>
      <c r="I398" t="s">
        <v>30</v>
      </c>
      <c r="J398" t="s">
        <v>62</v>
      </c>
      <c r="K398">
        <v>0.5</v>
      </c>
    </row>
    <row r="399" spans="1:11">
      <c r="A399">
        <v>2025</v>
      </c>
      <c r="B399">
        <v>2</v>
      </c>
      <c r="C399">
        <v>5</v>
      </c>
      <c r="D399" s="5">
        <v>45793</v>
      </c>
      <c r="E399" s="5">
        <v>45786</v>
      </c>
      <c r="F399" t="s">
        <v>21</v>
      </c>
      <c r="G399" t="s">
        <v>12</v>
      </c>
      <c r="H399" t="s">
        <v>13</v>
      </c>
      <c r="I399" t="s">
        <v>14</v>
      </c>
      <c r="J399" t="s">
        <v>77</v>
      </c>
      <c r="K399">
        <v>17.899999999999999</v>
      </c>
    </row>
    <row r="400" spans="1:11">
      <c r="A400">
        <v>2025</v>
      </c>
      <c r="B400">
        <v>2</v>
      </c>
      <c r="C400">
        <v>5</v>
      </c>
      <c r="D400" s="5">
        <v>45793</v>
      </c>
      <c r="E400" s="5">
        <v>45786</v>
      </c>
      <c r="F400" t="s">
        <v>21</v>
      </c>
      <c r="G400" t="s">
        <v>12</v>
      </c>
      <c r="H400" t="s">
        <v>13</v>
      </c>
      <c r="I400" t="s">
        <v>14</v>
      </c>
      <c r="J400" t="s">
        <v>42</v>
      </c>
      <c r="K400">
        <v>2</v>
      </c>
    </row>
    <row r="401" spans="1:11">
      <c r="A401">
        <v>2025</v>
      </c>
      <c r="B401">
        <v>2</v>
      </c>
      <c r="C401">
        <v>5</v>
      </c>
      <c r="D401" s="5">
        <v>45793</v>
      </c>
      <c r="E401" s="5">
        <v>45786</v>
      </c>
      <c r="F401" t="s">
        <v>21</v>
      </c>
      <c r="G401" t="s">
        <v>12</v>
      </c>
      <c r="H401" t="s">
        <v>13</v>
      </c>
      <c r="I401" t="s">
        <v>28</v>
      </c>
      <c r="J401" t="s">
        <v>43</v>
      </c>
      <c r="K401">
        <v>17.100000000000001</v>
      </c>
    </row>
    <row r="402" spans="1:11">
      <c r="A402">
        <v>2025</v>
      </c>
      <c r="B402">
        <v>2</v>
      </c>
      <c r="C402">
        <v>5</v>
      </c>
      <c r="D402" s="5">
        <v>45793</v>
      </c>
      <c r="E402" s="5">
        <v>45786</v>
      </c>
      <c r="F402" t="s">
        <v>25</v>
      </c>
      <c r="G402" t="s">
        <v>12</v>
      </c>
      <c r="H402" t="s">
        <v>13</v>
      </c>
      <c r="I402" t="s">
        <v>14</v>
      </c>
      <c r="J402" t="s">
        <v>76</v>
      </c>
      <c r="K402">
        <v>1</v>
      </c>
    </row>
    <row r="403" spans="1:11">
      <c r="A403">
        <v>2025</v>
      </c>
      <c r="B403">
        <v>2</v>
      </c>
      <c r="C403">
        <v>5</v>
      </c>
      <c r="D403" s="5">
        <v>45793</v>
      </c>
      <c r="E403" s="5">
        <v>45786</v>
      </c>
      <c r="F403" t="s">
        <v>25</v>
      </c>
      <c r="G403" t="s">
        <v>12</v>
      </c>
      <c r="H403" t="s">
        <v>13</v>
      </c>
      <c r="I403" t="s">
        <v>14</v>
      </c>
      <c r="J403" t="s">
        <v>37</v>
      </c>
      <c r="K403">
        <v>0.3</v>
      </c>
    </row>
    <row r="404" spans="1:11">
      <c r="A404">
        <v>2025</v>
      </c>
      <c r="B404">
        <v>2</v>
      </c>
      <c r="C404">
        <v>5</v>
      </c>
      <c r="D404" s="5">
        <v>45793</v>
      </c>
      <c r="E404" s="5">
        <v>45786</v>
      </c>
      <c r="F404" t="s">
        <v>25</v>
      </c>
      <c r="G404" t="s">
        <v>12</v>
      </c>
      <c r="H404" t="s">
        <v>13</v>
      </c>
      <c r="I404" t="s">
        <v>44</v>
      </c>
      <c r="J404" t="s">
        <v>45</v>
      </c>
      <c r="K404">
        <v>8.5</v>
      </c>
    </row>
    <row r="405" spans="1:11">
      <c r="A405">
        <v>2025</v>
      </c>
      <c r="B405">
        <v>2</v>
      </c>
      <c r="C405">
        <v>5</v>
      </c>
      <c r="D405" s="5">
        <v>45793</v>
      </c>
      <c r="E405" s="5">
        <v>45786</v>
      </c>
      <c r="F405" t="s">
        <v>25</v>
      </c>
      <c r="G405" t="s">
        <v>12</v>
      </c>
      <c r="H405" t="s">
        <v>13</v>
      </c>
      <c r="I405" t="s">
        <v>38</v>
      </c>
      <c r="J405" t="s">
        <v>46</v>
      </c>
      <c r="K405">
        <v>5.7</v>
      </c>
    </row>
    <row r="406" spans="1:11">
      <c r="A406">
        <v>2025</v>
      </c>
      <c r="B406">
        <v>2</v>
      </c>
      <c r="C406">
        <v>5</v>
      </c>
      <c r="D406" s="5">
        <v>45793</v>
      </c>
      <c r="E406" s="5">
        <v>45786</v>
      </c>
      <c r="F406" t="s">
        <v>25</v>
      </c>
      <c r="G406" t="s">
        <v>12</v>
      </c>
      <c r="H406" t="s">
        <v>13</v>
      </c>
      <c r="I406" t="s">
        <v>30</v>
      </c>
      <c r="J406" t="s">
        <v>67</v>
      </c>
      <c r="K406">
        <v>2.5</v>
      </c>
    </row>
    <row r="407" spans="1:11">
      <c r="A407">
        <v>2025</v>
      </c>
      <c r="B407">
        <v>2</v>
      </c>
      <c r="C407">
        <v>5</v>
      </c>
      <c r="D407" s="5">
        <v>45793</v>
      </c>
      <c r="E407" s="5">
        <v>45786</v>
      </c>
      <c r="F407" t="s">
        <v>25</v>
      </c>
      <c r="G407" t="s">
        <v>12</v>
      </c>
      <c r="H407" t="s">
        <v>13</v>
      </c>
      <c r="I407" t="s">
        <v>30</v>
      </c>
      <c r="J407" t="s">
        <v>62</v>
      </c>
      <c r="K407">
        <v>5.5</v>
      </c>
    </row>
    <row r="408" spans="1:11">
      <c r="A408">
        <v>2025</v>
      </c>
      <c r="B408">
        <v>2</v>
      </c>
      <c r="C408">
        <v>5</v>
      </c>
      <c r="D408" s="5">
        <v>45793</v>
      </c>
      <c r="E408" s="5">
        <v>45786</v>
      </c>
      <c r="F408" t="s">
        <v>25</v>
      </c>
      <c r="G408" t="s">
        <v>12</v>
      </c>
      <c r="H408" t="s">
        <v>13</v>
      </c>
      <c r="I408" t="s">
        <v>30</v>
      </c>
      <c r="J408" t="s">
        <v>68</v>
      </c>
      <c r="K408">
        <v>4.5</v>
      </c>
    </row>
    <row r="409" spans="1:11">
      <c r="A409">
        <v>2025</v>
      </c>
      <c r="B409">
        <v>2</v>
      </c>
      <c r="C409">
        <v>5</v>
      </c>
      <c r="D409" s="5">
        <v>45793</v>
      </c>
      <c r="E409" s="5">
        <v>45793</v>
      </c>
      <c r="F409" t="s">
        <v>32</v>
      </c>
      <c r="G409" t="s">
        <v>12</v>
      </c>
      <c r="H409" t="s">
        <v>13</v>
      </c>
      <c r="I409" t="s">
        <v>14</v>
      </c>
      <c r="J409" t="s">
        <v>54</v>
      </c>
      <c r="K409">
        <v>2</v>
      </c>
    </row>
    <row r="410" spans="1:11">
      <c r="A410">
        <v>2025</v>
      </c>
      <c r="B410">
        <v>2</v>
      </c>
      <c r="C410">
        <v>5</v>
      </c>
      <c r="D410" s="5">
        <v>45793</v>
      </c>
      <c r="E410" s="5">
        <v>45793</v>
      </c>
      <c r="F410" t="s">
        <v>32</v>
      </c>
      <c r="G410" t="s">
        <v>12</v>
      </c>
      <c r="H410" t="s">
        <v>13</v>
      </c>
      <c r="I410" t="s">
        <v>14</v>
      </c>
      <c r="J410" t="s">
        <v>78</v>
      </c>
      <c r="K410">
        <v>10</v>
      </c>
    </row>
    <row r="411" spans="1:11">
      <c r="A411">
        <v>2025</v>
      </c>
      <c r="B411">
        <v>2</v>
      </c>
      <c r="C411">
        <v>5</v>
      </c>
      <c r="D411" s="5">
        <v>45793</v>
      </c>
      <c r="E411" s="5">
        <v>45793</v>
      </c>
      <c r="F411" t="s">
        <v>32</v>
      </c>
      <c r="G411" t="s">
        <v>12</v>
      </c>
      <c r="H411" t="s">
        <v>13</v>
      </c>
      <c r="I411" t="s">
        <v>14</v>
      </c>
      <c r="J411" t="s">
        <v>42</v>
      </c>
      <c r="K411">
        <v>1</v>
      </c>
    </row>
    <row r="412" spans="1:11">
      <c r="A412">
        <v>2025</v>
      </c>
      <c r="B412">
        <v>2</v>
      </c>
      <c r="C412">
        <v>5</v>
      </c>
      <c r="D412" s="5">
        <v>45793</v>
      </c>
      <c r="E412" s="5">
        <v>45793</v>
      </c>
      <c r="F412" t="s">
        <v>32</v>
      </c>
      <c r="G412" t="s">
        <v>12</v>
      </c>
      <c r="H412" t="s">
        <v>13</v>
      </c>
      <c r="I412" t="s">
        <v>44</v>
      </c>
      <c r="J412" t="s">
        <v>47</v>
      </c>
      <c r="K412">
        <v>25</v>
      </c>
    </row>
    <row r="413" spans="1:11">
      <c r="A413">
        <v>2025</v>
      </c>
      <c r="B413">
        <v>2</v>
      </c>
      <c r="C413">
        <v>5</v>
      </c>
      <c r="D413" s="5">
        <v>45793</v>
      </c>
      <c r="E413" s="5">
        <v>45793</v>
      </c>
      <c r="F413" t="s">
        <v>11</v>
      </c>
      <c r="G413" t="s">
        <v>12</v>
      </c>
      <c r="H413" t="s">
        <v>13</v>
      </c>
      <c r="I413" t="s">
        <v>14</v>
      </c>
      <c r="J413" t="s">
        <v>27</v>
      </c>
      <c r="K413">
        <v>2</v>
      </c>
    </row>
    <row r="414" spans="1:11">
      <c r="A414">
        <v>2025</v>
      </c>
      <c r="B414">
        <v>2</v>
      </c>
      <c r="C414">
        <v>5</v>
      </c>
      <c r="D414" s="5">
        <v>45793</v>
      </c>
      <c r="E414" s="5">
        <v>45793</v>
      </c>
      <c r="F414" t="s">
        <v>11</v>
      </c>
      <c r="G414" t="s">
        <v>12</v>
      </c>
      <c r="H414" t="s">
        <v>13</v>
      </c>
      <c r="I414" t="s">
        <v>14</v>
      </c>
      <c r="J414" t="s">
        <v>76</v>
      </c>
      <c r="K414">
        <v>3.5</v>
      </c>
    </row>
    <row r="415" spans="1:11">
      <c r="A415">
        <v>2025</v>
      </c>
      <c r="B415">
        <v>2</v>
      </c>
      <c r="C415">
        <v>5</v>
      </c>
      <c r="D415" s="5">
        <v>45793</v>
      </c>
      <c r="E415" s="5">
        <v>45793</v>
      </c>
      <c r="F415" t="s">
        <v>11</v>
      </c>
      <c r="G415" t="s">
        <v>12</v>
      </c>
      <c r="H415" t="s">
        <v>13</v>
      </c>
      <c r="I415" t="s">
        <v>14</v>
      </c>
      <c r="J415" t="s">
        <v>37</v>
      </c>
      <c r="K415">
        <v>0.7</v>
      </c>
    </row>
    <row r="416" spans="1:11">
      <c r="A416">
        <v>2025</v>
      </c>
      <c r="B416">
        <v>2</v>
      </c>
      <c r="C416">
        <v>5</v>
      </c>
      <c r="D416" s="5">
        <v>45793</v>
      </c>
      <c r="E416" s="5">
        <v>45793</v>
      </c>
      <c r="F416" t="s">
        <v>11</v>
      </c>
      <c r="G416" t="s">
        <v>12</v>
      </c>
      <c r="H416" t="s">
        <v>13</v>
      </c>
      <c r="I416" t="s">
        <v>14</v>
      </c>
      <c r="J416" t="s">
        <v>15</v>
      </c>
      <c r="K416">
        <v>2.6</v>
      </c>
    </row>
    <row r="417" spans="1:11">
      <c r="A417">
        <v>2025</v>
      </c>
      <c r="B417">
        <v>2</v>
      </c>
      <c r="C417">
        <v>5</v>
      </c>
      <c r="D417" s="5">
        <v>45793</v>
      </c>
      <c r="E417" s="5">
        <v>45793</v>
      </c>
      <c r="F417" t="s">
        <v>11</v>
      </c>
      <c r="G417" t="s">
        <v>12</v>
      </c>
      <c r="H417" t="s">
        <v>13</v>
      </c>
      <c r="I417" t="s">
        <v>44</v>
      </c>
      <c r="J417" t="s">
        <v>64</v>
      </c>
      <c r="K417">
        <v>1.7</v>
      </c>
    </row>
    <row r="418" spans="1:11">
      <c r="A418">
        <v>2025</v>
      </c>
      <c r="B418">
        <v>2</v>
      </c>
      <c r="C418">
        <v>5</v>
      </c>
      <c r="D418" s="5">
        <v>45793</v>
      </c>
      <c r="E418" s="5">
        <v>45793</v>
      </c>
      <c r="F418" t="s">
        <v>11</v>
      </c>
      <c r="G418" t="s">
        <v>12</v>
      </c>
      <c r="H418" t="s">
        <v>13</v>
      </c>
      <c r="I418" t="s">
        <v>38</v>
      </c>
      <c r="J418" t="s">
        <v>64</v>
      </c>
      <c r="K418">
        <v>0.3</v>
      </c>
    </row>
    <row r="419" spans="1:11">
      <c r="A419">
        <v>2025</v>
      </c>
      <c r="B419">
        <v>2</v>
      </c>
      <c r="C419">
        <v>5</v>
      </c>
      <c r="D419" s="5">
        <v>45793</v>
      </c>
      <c r="E419" s="5">
        <v>45793</v>
      </c>
      <c r="F419" t="s">
        <v>11</v>
      </c>
      <c r="G419" t="s">
        <v>12</v>
      </c>
      <c r="H419" t="s">
        <v>13</v>
      </c>
      <c r="I419" t="s">
        <v>16</v>
      </c>
      <c r="J419" t="s">
        <v>17</v>
      </c>
      <c r="K419">
        <v>4.8</v>
      </c>
    </row>
    <row r="420" spans="1:11">
      <c r="A420">
        <v>2025</v>
      </c>
      <c r="B420">
        <v>2</v>
      </c>
      <c r="C420">
        <v>5</v>
      </c>
      <c r="D420" s="5">
        <v>45793</v>
      </c>
      <c r="E420" s="5">
        <v>45793</v>
      </c>
      <c r="F420" t="s">
        <v>11</v>
      </c>
      <c r="G420" t="s">
        <v>12</v>
      </c>
      <c r="H420" t="s">
        <v>13</v>
      </c>
      <c r="I420" t="s">
        <v>16</v>
      </c>
      <c r="J420" t="s">
        <v>61</v>
      </c>
      <c r="K420">
        <v>3.9</v>
      </c>
    </row>
    <row r="421" spans="1:11">
      <c r="A421">
        <v>2025</v>
      </c>
      <c r="B421">
        <v>2</v>
      </c>
      <c r="C421">
        <v>5</v>
      </c>
      <c r="D421" s="5">
        <v>45793</v>
      </c>
      <c r="E421" s="5">
        <v>45793</v>
      </c>
      <c r="F421" t="s">
        <v>11</v>
      </c>
      <c r="G421" t="s">
        <v>12</v>
      </c>
      <c r="H421" t="s">
        <v>13</v>
      </c>
      <c r="I421" t="s">
        <v>30</v>
      </c>
      <c r="J421" t="s">
        <v>62</v>
      </c>
      <c r="K421">
        <v>1.5</v>
      </c>
    </row>
    <row r="422" spans="1:11">
      <c r="A422">
        <v>2025</v>
      </c>
      <c r="B422">
        <v>2</v>
      </c>
      <c r="C422">
        <v>5</v>
      </c>
      <c r="D422" s="5">
        <v>45793</v>
      </c>
      <c r="E422" s="5">
        <v>45793</v>
      </c>
      <c r="F422" t="s">
        <v>21</v>
      </c>
      <c r="G422" t="s">
        <v>12</v>
      </c>
      <c r="H422" t="s">
        <v>13</v>
      </c>
      <c r="I422" t="s">
        <v>14</v>
      </c>
      <c r="J422" t="s">
        <v>57</v>
      </c>
      <c r="K422">
        <v>0.5</v>
      </c>
    </row>
    <row r="423" spans="1:11">
      <c r="A423">
        <v>2025</v>
      </c>
      <c r="B423">
        <v>2</v>
      </c>
      <c r="C423">
        <v>5</v>
      </c>
      <c r="D423" s="5">
        <v>45793</v>
      </c>
      <c r="E423" s="5">
        <v>45793</v>
      </c>
      <c r="F423" t="s">
        <v>21</v>
      </c>
      <c r="G423" t="s">
        <v>12</v>
      </c>
      <c r="H423" t="s">
        <v>13</v>
      </c>
      <c r="I423" t="s">
        <v>14</v>
      </c>
      <c r="J423" t="s">
        <v>77</v>
      </c>
      <c r="K423">
        <v>28.8</v>
      </c>
    </row>
    <row r="424" spans="1:11">
      <c r="A424">
        <v>2025</v>
      </c>
      <c r="B424">
        <v>2</v>
      </c>
      <c r="C424">
        <v>5</v>
      </c>
      <c r="D424" s="5">
        <v>45793</v>
      </c>
      <c r="E424" s="5">
        <v>45793</v>
      </c>
      <c r="F424" t="s">
        <v>21</v>
      </c>
      <c r="G424" t="s">
        <v>12</v>
      </c>
      <c r="H424" t="s">
        <v>13</v>
      </c>
      <c r="I424" t="s">
        <v>14</v>
      </c>
      <c r="J424" t="s">
        <v>42</v>
      </c>
      <c r="K424">
        <v>1</v>
      </c>
    </row>
    <row r="425" spans="1:11">
      <c r="A425">
        <v>2025</v>
      </c>
      <c r="B425">
        <v>2</v>
      </c>
      <c r="C425">
        <v>5</v>
      </c>
      <c r="D425" s="5">
        <v>45793</v>
      </c>
      <c r="E425" s="5">
        <v>45793</v>
      </c>
      <c r="F425" t="s">
        <v>21</v>
      </c>
      <c r="G425" t="s">
        <v>12</v>
      </c>
      <c r="H425" t="s">
        <v>13</v>
      </c>
      <c r="I425" t="s">
        <v>28</v>
      </c>
      <c r="J425" t="s">
        <v>43</v>
      </c>
      <c r="K425">
        <v>12</v>
      </c>
    </row>
    <row r="426" spans="1:11">
      <c r="A426">
        <v>2025</v>
      </c>
      <c r="B426">
        <v>2</v>
      </c>
      <c r="C426">
        <v>5</v>
      </c>
      <c r="D426" s="5">
        <v>45793</v>
      </c>
      <c r="E426" s="5">
        <v>45793</v>
      </c>
      <c r="F426" t="s">
        <v>21</v>
      </c>
      <c r="G426" t="s">
        <v>12</v>
      </c>
      <c r="H426" t="s">
        <v>13</v>
      </c>
      <c r="I426" t="s">
        <v>28</v>
      </c>
      <c r="J426" t="s">
        <v>29</v>
      </c>
      <c r="K426">
        <v>2.6</v>
      </c>
    </row>
    <row r="427" spans="1:11">
      <c r="A427">
        <v>2025</v>
      </c>
      <c r="B427">
        <v>2</v>
      </c>
      <c r="C427">
        <v>5</v>
      </c>
      <c r="D427" s="5">
        <v>45793</v>
      </c>
      <c r="E427" s="5">
        <v>45793</v>
      </c>
      <c r="F427" t="s">
        <v>25</v>
      </c>
      <c r="G427" t="s">
        <v>12</v>
      </c>
      <c r="H427" t="s">
        <v>13</v>
      </c>
      <c r="I427" t="s">
        <v>14</v>
      </c>
      <c r="J427" t="s">
        <v>76</v>
      </c>
      <c r="K427">
        <v>0.5</v>
      </c>
    </row>
    <row r="428" spans="1:11">
      <c r="A428">
        <v>2025</v>
      </c>
      <c r="B428">
        <v>2</v>
      </c>
      <c r="C428">
        <v>5</v>
      </c>
      <c r="D428" s="5">
        <v>45793</v>
      </c>
      <c r="E428" s="5">
        <v>45793</v>
      </c>
      <c r="F428" t="s">
        <v>25</v>
      </c>
      <c r="G428" t="s">
        <v>12</v>
      </c>
      <c r="H428" t="s">
        <v>13</v>
      </c>
      <c r="I428" t="s">
        <v>14</v>
      </c>
      <c r="J428" t="s">
        <v>37</v>
      </c>
      <c r="K428">
        <v>0.5</v>
      </c>
    </row>
    <row r="429" spans="1:11">
      <c r="A429">
        <v>2025</v>
      </c>
      <c r="B429">
        <v>2</v>
      </c>
      <c r="C429">
        <v>5</v>
      </c>
      <c r="D429" s="5">
        <v>45793</v>
      </c>
      <c r="E429" s="5">
        <v>45793</v>
      </c>
      <c r="F429" t="s">
        <v>25</v>
      </c>
      <c r="G429" t="s">
        <v>12</v>
      </c>
      <c r="H429" t="s">
        <v>13</v>
      </c>
      <c r="I429" t="s">
        <v>28</v>
      </c>
      <c r="J429" t="s">
        <v>29</v>
      </c>
      <c r="K429">
        <v>9.5</v>
      </c>
    </row>
    <row r="430" spans="1:11">
      <c r="A430">
        <v>2025</v>
      </c>
      <c r="B430">
        <v>2</v>
      </c>
      <c r="C430">
        <v>5</v>
      </c>
      <c r="D430" s="5">
        <v>45793</v>
      </c>
      <c r="E430" s="5">
        <v>45793</v>
      </c>
      <c r="F430" t="s">
        <v>25</v>
      </c>
      <c r="G430" t="s">
        <v>12</v>
      </c>
      <c r="H430" t="s">
        <v>13</v>
      </c>
      <c r="I430" t="s">
        <v>44</v>
      </c>
      <c r="J430" t="s">
        <v>45</v>
      </c>
      <c r="K430">
        <v>13.5</v>
      </c>
    </row>
    <row r="431" spans="1:11">
      <c r="A431">
        <v>2025</v>
      </c>
      <c r="B431">
        <v>2</v>
      </c>
      <c r="C431">
        <v>5</v>
      </c>
      <c r="D431" s="5">
        <v>45793</v>
      </c>
      <c r="E431" s="5">
        <v>45793</v>
      </c>
      <c r="F431" t="s">
        <v>25</v>
      </c>
      <c r="G431" t="s">
        <v>12</v>
      </c>
      <c r="H431" t="s">
        <v>13</v>
      </c>
      <c r="I431" t="s">
        <v>38</v>
      </c>
      <c r="J431" t="s">
        <v>46</v>
      </c>
      <c r="K431">
        <v>2.2000000000000002</v>
      </c>
    </row>
    <row r="432" spans="1:11">
      <c r="A432">
        <v>2025</v>
      </c>
      <c r="B432">
        <v>2</v>
      </c>
      <c r="C432">
        <v>5</v>
      </c>
      <c r="D432" s="5">
        <v>45793</v>
      </c>
      <c r="E432" s="5">
        <v>45793</v>
      </c>
      <c r="F432" t="s">
        <v>25</v>
      </c>
      <c r="G432" t="s">
        <v>12</v>
      </c>
      <c r="H432" t="s">
        <v>13</v>
      </c>
      <c r="I432" t="s">
        <v>38</v>
      </c>
      <c r="J432" t="s">
        <v>51</v>
      </c>
      <c r="K432">
        <v>0.3</v>
      </c>
    </row>
    <row r="433" spans="1:11">
      <c r="A433">
        <v>2025</v>
      </c>
      <c r="B433">
        <v>2</v>
      </c>
      <c r="C433">
        <v>5</v>
      </c>
      <c r="D433" s="5">
        <v>45793</v>
      </c>
      <c r="E433" s="5">
        <v>45793</v>
      </c>
      <c r="F433" t="s">
        <v>25</v>
      </c>
      <c r="G433" t="s">
        <v>12</v>
      </c>
      <c r="H433" t="s">
        <v>13</v>
      </c>
      <c r="I433" t="s">
        <v>38</v>
      </c>
      <c r="J433" t="s">
        <v>52</v>
      </c>
      <c r="K433">
        <v>1.5</v>
      </c>
    </row>
    <row r="434" spans="1:11">
      <c r="A434">
        <v>2025</v>
      </c>
      <c r="B434">
        <v>2</v>
      </c>
      <c r="C434">
        <v>5</v>
      </c>
      <c r="D434" s="5">
        <v>45793</v>
      </c>
      <c r="E434" s="5">
        <v>45793</v>
      </c>
      <c r="F434" t="s">
        <v>25</v>
      </c>
      <c r="G434" t="s">
        <v>12</v>
      </c>
      <c r="H434" t="s">
        <v>13</v>
      </c>
      <c r="I434" t="s">
        <v>30</v>
      </c>
      <c r="J434" t="s">
        <v>67</v>
      </c>
      <c r="K434">
        <v>5.5</v>
      </c>
    </row>
    <row r="435" spans="1:11">
      <c r="A435">
        <v>2025</v>
      </c>
      <c r="B435">
        <v>2</v>
      </c>
      <c r="C435">
        <v>5</v>
      </c>
      <c r="D435" s="5">
        <v>45793</v>
      </c>
      <c r="E435" s="5">
        <v>45793</v>
      </c>
      <c r="F435" t="s">
        <v>25</v>
      </c>
      <c r="G435" t="s">
        <v>12</v>
      </c>
      <c r="H435" t="s">
        <v>13</v>
      </c>
      <c r="I435" t="s">
        <v>30</v>
      </c>
      <c r="J435" t="s">
        <v>62</v>
      </c>
      <c r="K435">
        <v>5.5</v>
      </c>
    </row>
    <row r="436" spans="1:11">
      <c r="A436">
        <v>2025</v>
      </c>
      <c r="B436">
        <v>2</v>
      </c>
      <c r="C436">
        <v>5</v>
      </c>
      <c r="D436" s="5">
        <v>45793</v>
      </c>
      <c r="E436" s="5">
        <v>45793</v>
      </c>
      <c r="F436" t="s">
        <v>25</v>
      </c>
      <c r="G436" t="s">
        <v>12</v>
      </c>
      <c r="H436" t="s">
        <v>13</v>
      </c>
      <c r="I436" t="s">
        <v>30</v>
      </c>
      <c r="J436" t="s">
        <v>68</v>
      </c>
      <c r="K436">
        <v>8.5</v>
      </c>
    </row>
    <row r="437" spans="1:11">
      <c r="A437">
        <v>2025</v>
      </c>
      <c r="B437">
        <v>2</v>
      </c>
      <c r="C437">
        <v>5</v>
      </c>
      <c r="D437" s="5">
        <v>45807</v>
      </c>
      <c r="E437" s="5">
        <v>45800</v>
      </c>
      <c r="F437" t="s">
        <v>32</v>
      </c>
      <c r="G437" t="s">
        <v>12</v>
      </c>
      <c r="H437" t="s">
        <v>13</v>
      </c>
      <c r="I437" t="s">
        <v>14</v>
      </c>
      <c r="J437" t="s">
        <v>54</v>
      </c>
      <c r="K437">
        <v>3</v>
      </c>
    </row>
    <row r="438" spans="1:11">
      <c r="A438">
        <v>2025</v>
      </c>
      <c r="B438">
        <v>2</v>
      </c>
      <c r="C438">
        <v>5</v>
      </c>
      <c r="D438" s="5">
        <v>45807</v>
      </c>
      <c r="E438" s="5">
        <v>45800</v>
      </c>
      <c r="F438" t="s">
        <v>32</v>
      </c>
      <c r="G438" t="s">
        <v>12</v>
      </c>
      <c r="H438" t="s">
        <v>13</v>
      </c>
      <c r="I438" t="s">
        <v>14</v>
      </c>
      <c r="J438" t="s">
        <v>78</v>
      </c>
      <c r="K438">
        <v>23</v>
      </c>
    </row>
    <row r="439" spans="1:11">
      <c r="A439">
        <v>2025</v>
      </c>
      <c r="B439">
        <v>2</v>
      </c>
      <c r="C439">
        <v>5</v>
      </c>
      <c r="D439" s="5">
        <v>45807</v>
      </c>
      <c r="E439" s="5">
        <v>45800</v>
      </c>
      <c r="F439" t="s">
        <v>32</v>
      </c>
      <c r="G439" t="s">
        <v>12</v>
      </c>
      <c r="H439" t="s">
        <v>13</v>
      </c>
      <c r="I439" t="s">
        <v>14</v>
      </c>
      <c r="J439" t="s">
        <v>42</v>
      </c>
      <c r="K439">
        <v>2</v>
      </c>
    </row>
    <row r="440" spans="1:11">
      <c r="A440">
        <v>2025</v>
      </c>
      <c r="B440">
        <v>2</v>
      </c>
      <c r="C440">
        <v>5</v>
      </c>
      <c r="D440" s="5">
        <v>45807</v>
      </c>
      <c r="E440" s="5">
        <v>45800</v>
      </c>
      <c r="F440" t="s">
        <v>32</v>
      </c>
      <c r="G440" t="s">
        <v>12</v>
      </c>
      <c r="H440" t="s">
        <v>13</v>
      </c>
      <c r="I440" t="s">
        <v>44</v>
      </c>
      <c r="J440" t="s">
        <v>47</v>
      </c>
      <c r="K440">
        <v>12</v>
      </c>
    </row>
    <row r="441" spans="1:11">
      <c r="A441">
        <v>2025</v>
      </c>
      <c r="B441">
        <v>2</v>
      </c>
      <c r="C441">
        <v>5</v>
      </c>
      <c r="D441" s="5">
        <v>45807</v>
      </c>
      <c r="E441" s="5">
        <v>45800</v>
      </c>
      <c r="F441" t="s">
        <v>11</v>
      </c>
      <c r="G441" t="s">
        <v>12</v>
      </c>
      <c r="H441" t="s">
        <v>13</v>
      </c>
      <c r="I441" t="s">
        <v>14</v>
      </c>
      <c r="J441" t="s">
        <v>37</v>
      </c>
      <c r="K441">
        <v>0.5</v>
      </c>
    </row>
    <row r="442" spans="1:11">
      <c r="A442">
        <v>2025</v>
      </c>
      <c r="B442">
        <v>2</v>
      </c>
      <c r="C442">
        <v>5</v>
      </c>
      <c r="D442" s="5">
        <v>45807</v>
      </c>
      <c r="E442" s="5">
        <v>45800</v>
      </c>
      <c r="F442" t="s">
        <v>11</v>
      </c>
      <c r="G442" t="s">
        <v>12</v>
      </c>
      <c r="H442" t="s">
        <v>13</v>
      </c>
      <c r="I442" t="s">
        <v>14</v>
      </c>
      <c r="J442" t="s">
        <v>15</v>
      </c>
      <c r="K442">
        <v>1.2</v>
      </c>
    </row>
    <row r="443" spans="1:11">
      <c r="A443">
        <v>2025</v>
      </c>
      <c r="B443">
        <v>2</v>
      </c>
      <c r="C443">
        <v>5</v>
      </c>
      <c r="D443" s="5">
        <v>45807</v>
      </c>
      <c r="E443" s="5">
        <v>45800</v>
      </c>
      <c r="F443" t="s">
        <v>11</v>
      </c>
      <c r="G443" t="s">
        <v>12</v>
      </c>
      <c r="H443" t="s">
        <v>13</v>
      </c>
      <c r="I443" t="s">
        <v>44</v>
      </c>
      <c r="J443" t="s">
        <v>45</v>
      </c>
      <c r="K443">
        <v>5.8</v>
      </c>
    </row>
    <row r="444" spans="1:11">
      <c r="A444">
        <v>2025</v>
      </c>
      <c r="B444">
        <v>2</v>
      </c>
      <c r="C444">
        <v>5</v>
      </c>
      <c r="D444" s="5">
        <v>45807</v>
      </c>
      <c r="E444" s="5">
        <v>45800</v>
      </c>
      <c r="F444" t="s">
        <v>11</v>
      </c>
      <c r="G444" t="s">
        <v>12</v>
      </c>
      <c r="H444" t="s">
        <v>13</v>
      </c>
      <c r="I444" t="s">
        <v>16</v>
      </c>
      <c r="J444" t="s">
        <v>17</v>
      </c>
      <c r="K444">
        <v>10.8</v>
      </c>
    </row>
    <row r="445" spans="1:11">
      <c r="A445">
        <v>2025</v>
      </c>
      <c r="B445">
        <v>2</v>
      </c>
      <c r="C445">
        <v>5</v>
      </c>
      <c r="D445" s="5">
        <v>45807</v>
      </c>
      <c r="E445" s="5">
        <v>45800</v>
      </c>
      <c r="F445" t="s">
        <v>41</v>
      </c>
      <c r="G445" t="s">
        <v>12</v>
      </c>
      <c r="H445" t="s">
        <v>13</v>
      </c>
      <c r="I445" t="s">
        <v>44</v>
      </c>
      <c r="J445" t="s">
        <v>45</v>
      </c>
      <c r="K445">
        <v>1.5</v>
      </c>
    </row>
    <row r="446" spans="1:11">
      <c r="A446">
        <v>2025</v>
      </c>
      <c r="B446">
        <v>2</v>
      </c>
      <c r="C446">
        <v>5</v>
      </c>
      <c r="D446" s="5">
        <v>45807</v>
      </c>
      <c r="E446" s="5">
        <v>45800</v>
      </c>
      <c r="F446" t="s">
        <v>21</v>
      </c>
      <c r="G446" t="s">
        <v>12</v>
      </c>
      <c r="H446" t="s">
        <v>13</v>
      </c>
      <c r="I446" t="s">
        <v>14</v>
      </c>
      <c r="J446" t="s">
        <v>77</v>
      </c>
      <c r="K446">
        <v>20.100000000000001</v>
      </c>
    </row>
    <row r="447" spans="1:11">
      <c r="A447">
        <v>2025</v>
      </c>
      <c r="B447">
        <v>2</v>
      </c>
      <c r="C447">
        <v>5</v>
      </c>
      <c r="D447" s="5">
        <v>45807</v>
      </c>
      <c r="E447" s="5">
        <v>45800</v>
      </c>
      <c r="F447" t="s">
        <v>21</v>
      </c>
      <c r="G447" t="s">
        <v>12</v>
      </c>
      <c r="H447" t="s">
        <v>13</v>
      </c>
      <c r="I447" t="s">
        <v>14</v>
      </c>
      <c r="J447" t="s">
        <v>15</v>
      </c>
      <c r="K447">
        <v>8.8000000000000007</v>
      </c>
    </row>
    <row r="448" spans="1:11">
      <c r="A448">
        <v>2025</v>
      </c>
      <c r="B448">
        <v>2</v>
      </c>
      <c r="C448">
        <v>5</v>
      </c>
      <c r="D448" s="5">
        <v>45807</v>
      </c>
      <c r="E448" s="5">
        <v>45800</v>
      </c>
      <c r="F448" t="s">
        <v>21</v>
      </c>
      <c r="G448" t="s">
        <v>12</v>
      </c>
      <c r="H448" t="s">
        <v>13</v>
      </c>
      <c r="I448" t="s">
        <v>28</v>
      </c>
      <c r="J448" t="s">
        <v>29</v>
      </c>
      <c r="K448">
        <v>5.4</v>
      </c>
    </row>
    <row r="449" spans="1:11">
      <c r="A449">
        <v>2025</v>
      </c>
      <c r="B449">
        <v>2</v>
      </c>
      <c r="C449">
        <v>5</v>
      </c>
      <c r="D449" s="5">
        <v>45807</v>
      </c>
      <c r="E449" s="5">
        <v>45800</v>
      </c>
      <c r="F449" t="s">
        <v>21</v>
      </c>
      <c r="G449" t="s">
        <v>12</v>
      </c>
      <c r="H449" t="s">
        <v>13</v>
      </c>
      <c r="I449" t="s">
        <v>44</v>
      </c>
      <c r="J449" t="s">
        <v>45</v>
      </c>
      <c r="K449">
        <v>1.8</v>
      </c>
    </row>
    <row r="450" spans="1:11">
      <c r="A450">
        <v>2025</v>
      </c>
      <c r="B450">
        <v>2</v>
      </c>
      <c r="C450">
        <v>5</v>
      </c>
      <c r="D450" s="5">
        <v>45807</v>
      </c>
      <c r="E450" s="5">
        <v>45800</v>
      </c>
      <c r="F450" t="s">
        <v>25</v>
      </c>
      <c r="G450" t="s">
        <v>12</v>
      </c>
      <c r="H450" t="s">
        <v>13</v>
      </c>
      <c r="I450" t="s">
        <v>28</v>
      </c>
      <c r="J450" t="s">
        <v>29</v>
      </c>
      <c r="K450">
        <v>2.5</v>
      </c>
    </row>
    <row r="451" spans="1:11">
      <c r="A451">
        <v>2025</v>
      </c>
      <c r="B451">
        <v>2</v>
      </c>
      <c r="C451">
        <v>5</v>
      </c>
      <c r="D451" s="5">
        <v>45807</v>
      </c>
      <c r="E451" s="5">
        <v>45800</v>
      </c>
      <c r="F451" t="s">
        <v>25</v>
      </c>
      <c r="G451" t="s">
        <v>12</v>
      </c>
      <c r="H451" t="s">
        <v>13</v>
      </c>
      <c r="I451" t="s">
        <v>44</v>
      </c>
      <c r="J451" t="s">
        <v>45</v>
      </c>
      <c r="K451">
        <v>8</v>
      </c>
    </row>
    <row r="452" spans="1:11">
      <c r="A452">
        <v>2025</v>
      </c>
      <c r="B452">
        <v>2</v>
      </c>
      <c r="C452">
        <v>5</v>
      </c>
      <c r="D452" s="5">
        <v>45807</v>
      </c>
      <c r="E452" s="5">
        <v>45800</v>
      </c>
      <c r="F452" t="s">
        <v>25</v>
      </c>
      <c r="G452" t="s">
        <v>12</v>
      </c>
      <c r="H452" t="s">
        <v>13</v>
      </c>
      <c r="I452" t="s">
        <v>38</v>
      </c>
      <c r="J452" t="s">
        <v>46</v>
      </c>
      <c r="K452">
        <v>1.5</v>
      </c>
    </row>
    <row r="453" spans="1:11">
      <c r="A453">
        <v>2025</v>
      </c>
      <c r="B453">
        <v>2</v>
      </c>
      <c r="C453">
        <v>5</v>
      </c>
      <c r="D453" s="5">
        <v>45807</v>
      </c>
      <c r="E453" s="5">
        <v>45800</v>
      </c>
      <c r="F453" t="s">
        <v>25</v>
      </c>
      <c r="G453" t="s">
        <v>12</v>
      </c>
      <c r="H453" t="s">
        <v>13</v>
      </c>
      <c r="I453" t="s">
        <v>30</v>
      </c>
      <c r="J453" t="s">
        <v>67</v>
      </c>
      <c r="K453">
        <v>1</v>
      </c>
    </row>
    <row r="454" spans="1:11">
      <c r="A454">
        <v>2025</v>
      </c>
      <c r="B454">
        <v>2</v>
      </c>
      <c r="C454">
        <v>5</v>
      </c>
      <c r="D454" s="5">
        <v>45807</v>
      </c>
      <c r="E454" s="5">
        <v>45800</v>
      </c>
      <c r="F454" t="s">
        <v>25</v>
      </c>
      <c r="G454" t="s">
        <v>12</v>
      </c>
      <c r="H454" t="s">
        <v>13</v>
      </c>
      <c r="I454" t="s">
        <v>30</v>
      </c>
      <c r="J454" t="s">
        <v>68</v>
      </c>
      <c r="K454">
        <v>1</v>
      </c>
    </row>
    <row r="455" spans="1:11">
      <c r="A455">
        <v>2025</v>
      </c>
      <c r="B455">
        <v>2</v>
      </c>
      <c r="C455">
        <v>6</v>
      </c>
      <c r="D455" s="5">
        <v>45807</v>
      </c>
      <c r="E455" s="5">
        <v>45807</v>
      </c>
      <c r="F455" t="s">
        <v>32</v>
      </c>
      <c r="G455" t="s">
        <v>12</v>
      </c>
      <c r="H455" t="s">
        <v>13</v>
      </c>
      <c r="I455" t="s">
        <v>14</v>
      </c>
      <c r="J455" t="s">
        <v>78</v>
      </c>
      <c r="K455">
        <v>10</v>
      </c>
    </row>
    <row r="456" spans="1:11">
      <c r="A456">
        <v>2025</v>
      </c>
      <c r="B456">
        <v>2</v>
      </c>
      <c r="C456">
        <v>6</v>
      </c>
      <c r="D456" s="5">
        <v>45807</v>
      </c>
      <c r="E456" s="5">
        <v>45807</v>
      </c>
      <c r="F456" t="s">
        <v>32</v>
      </c>
      <c r="G456" t="s">
        <v>12</v>
      </c>
      <c r="H456" t="s">
        <v>13</v>
      </c>
      <c r="I456" t="s">
        <v>44</v>
      </c>
      <c r="J456" t="s">
        <v>47</v>
      </c>
      <c r="K456">
        <v>21</v>
      </c>
    </row>
    <row r="457" spans="1:11">
      <c r="A457">
        <v>2025</v>
      </c>
      <c r="B457">
        <v>2</v>
      </c>
      <c r="C457">
        <v>6</v>
      </c>
      <c r="D457" s="5">
        <v>45807</v>
      </c>
      <c r="E457" s="5">
        <v>45807</v>
      </c>
      <c r="F457" t="s">
        <v>11</v>
      </c>
      <c r="G457" t="s">
        <v>12</v>
      </c>
      <c r="H457" t="s">
        <v>13</v>
      </c>
      <c r="I457" t="s">
        <v>14</v>
      </c>
      <c r="J457" t="s">
        <v>27</v>
      </c>
      <c r="K457">
        <v>2.2999999999999998</v>
      </c>
    </row>
    <row r="458" spans="1:11">
      <c r="A458">
        <v>2025</v>
      </c>
      <c r="B458">
        <v>2</v>
      </c>
      <c r="C458">
        <v>6</v>
      </c>
      <c r="D458" s="5">
        <v>45807</v>
      </c>
      <c r="E458" s="5">
        <v>45807</v>
      </c>
      <c r="F458" t="s">
        <v>11</v>
      </c>
      <c r="G458" t="s">
        <v>12</v>
      </c>
      <c r="H458" t="s">
        <v>13</v>
      </c>
      <c r="I458" t="s">
        <v>14</v>
      </c>
      <c r="J458" t="s">
        <v>37</v>
      </c>
      <c r="K458">
        <v>0.5</v>
      </c>
    </row>
    <row r="459" spans="1:11">
      <c r="A459">
        <v>2025</v>
      </c>
      <c r="B459">
        <v>2</v>
      </c>
      <c r="C459">
        <v>6</v>
      </c>
      <c r="D459" s="5">
        <v>45807</v>
      </c>
      <c r="E459" s="5">
        <v>45807</v>
      </c>
      <c r="F459" t="s">
        <v>11</v>
      </c>
      <c r="G459" t="s">
        <v>12</v>
      </c>
      <c r="H459" t="s">
        <v>13</v>
      </c>
      <c r="I459" t="s">
        <v>44</v>
      </c>
      <c r="J459" t="s">
        <v>47</v>
      </c>
      <c r="K459">
        <v>8.8000000000000007</v>
      </c>
    </row>
    <row r="460" spans="1:11">
      <c r="A460">
        <v>2025</v>
      </c>
      <c r="B460">
        <v>2</v>
      </c>
      <c r="C460">
        <v>6</v>
      </c>
      <c r="D460" s="5">
        <v>45807</v>
      </c>
      <c r="E460" s="5">
        <v>45807</v>
      </c>
      <c r="F460" t="s">
        <v>11</v>
      </c>
      <c r="G460" t="s">
        <v>12</v>
      </c>
      <c r="H460" t="s">
        <v>13</v>
      </c>
      <c r="I460" t="s">
        <v>38</v>
      </c>
      <c r="J460" t="s">
        <v>64</v>
      </c>
      <c r="K460">
        <v>2.8</v>
      </c>
    </row>
    <row r="461" spans="1:11">
      <c r="A461">
        <v>2025</v>
      </c>
      <c r="B461">
        <v>2</v>
      </c>
      <c r="C461">
        <v>6</v>
      </c>
      <c r="D461" s="5">
        <v>45807</v>
      </c>
      <c r="E461" s="5">
        <v>45807</v>
      </c>
      <c r="F461" t="s">
        <v>11</v>
      </c>
      <c r="G461" t="s">
        <v>12</v>
      </c>
      <c r="H461" t="s">
        <v>13</v>
      </c>
      <c r="I461" t="s">
        <v>16</v>
      </c>
      <c r="J461" t="s">
        <v>17</v>
      </c>
      <c r="K461">
        <v>7.3</v>
      </c>
    </row>
    <row r="462" spans="1:11">
      <c r="A462">
        <v>2025</v>
      </c>
      <c r="B462">
        <v>2</v>
      </c>
      <c r="C462">
        <v>6</v>
      </c>
      <c r="D462" s="5">
        <v>45807</v>
      </c>
      <c r="E462" s="5">
        <v>45807</v>
      </c>
      <c r="F462" t="s">
        <v>11</v>
      </c>
      <c r="G462" t="s">
        <v>12</v>
      </c>
      <c r="H462" t="s">
        <v>13</v>
      </c>
      <c r="I462" t="s">
        <v>16</v>
      </c>
      <c r="J462" t="s">
        <v>61</v>
      </c>
      <c r="K462">
        <v>1</v>
      </c>
    </row>
    <row r="463" spans="1:11">
      <c r="A463">
        <v>2025</v>
      </c>
      <c r="B463">
        <v>2</v>
      </c>
      <c r="C463">
        <v>6</v>
      </c>
      <c r="D463" s="5">
        <v>45807</v>
      </c>
      <c r="E463" s="5">
        <v>45807</v>
      </c>
      <c r="F463" t="s">
        <v>41</v>
      </c>
      <c r="G463" t="s">
        <v>12</v>
      </c>
      <c r="H463" t="s">
        <v>13</v>
      </c>
      <c r="I463" t="s">
        <v>44</v>
      </c>
      <c r="J463" t="s">
        <v>47</v>
      </c>
      <c r="K463">
        <v>2</v>
      </c>
    </row>
    <row r="464" spans="1:11">
      <c r="A464">
        <v>2025</v>
      </c>
      <c r="B464">
        <v>2</v>
      </c>
      <c r="C464">
        <v>6</v>
      </c>
      <c r="D464" s="5">
        <v>45807</v>
      </c>
      <c r="E464" s="5">
        <v>45807</v>
      </c>
      <c r="F464" t="s">
        <v>21</v>
      </c>
      <c r="G464" t="s">
        <v>12</v>
      </c>
      <c r="H464" t="s">
        <v>13</v>
      </c>
      <c r="I464" t="s">
        <v>14</v>
      </c>
      <c r="J464" t="s">
        <v>23</v>
      </c>
      <c r="K464">
        <v>9.3000000000000007</v>
      </c>
    </row>
    <row r="465" spans="1:11">
      <c r="A465">
        <v>2025</v>
      </c>
      <c r="B465">
        <v>2</v>
      </c>
      <c r="C465">
        <v>6</v>
      </c>
      <c r="D465" s="5">
        <v>45807</v>
      </c>
      <c r="E465" s="5">
        <v>45807</v>
      </c>
      <c r="F465" t="s">
        <v>21</v>
      </c>
      <c r="G465" t="s">
        <v>12</v>
      </c>
      <c r="H465" t="s">
        <v>13</v>
      </c>
      <c r="I465" t="s">
        <v>14</v>
      </c>
      <c r="J465" t="s">
        <v>57</v>
      </c>
      <c r="K465">
        <v>1</v>
      </c>
    </row>
    <row r="466" spans="1:11">
      <c r="A466">
        <v>2025</v>
      </c>
      <c r="B466">
        <v>2</v>
      </c>
      <c r="C466">
        <v>6</v>
      </c>
      <c r="D466" s="5">
        <v>45807</v>
      </c>
      <c r="E466" s="5">
        <v>45807</v>
      </c>
      <c r="F466" t="s">
        <v>21</v>
      </c>
      <c r="G466" t="s">
        <v>12</v>
      </c>
      <c r="H466" t="s">
        <v>13</v>
      </c>
      <c r="I466" t="s">
        <v>14</v>
      </c>
      <c r="J466" t="s">
        <v>77</v>
      </c>
      <c r="K466">
        <v>12.5</v>
      </c>
    </row>
    <row r="467" spans="1:11">
      <c r="A467">
        <v>2025</v>
      </c>
      <c r="B467">
        <v>2</v>
      </c>
      <c r="C467">
        <v>6</v>
      </c>
      <c r="D467" s="5">
        <v>45807</v>
      </c>
      <c r="E467" s="5">
        <v>45807</v>
      </c>
      <c r="F467" t="s">
        <v>21</v>
      </c>
      <c r="G467" t="s">
        <v>12</v>
      </c>
      <c r="H467" t="s">
        <v>13</v>
      </c>
      <c r="I467" t="s">
        <v>14</v>
      </c>
      <c r="J467" t="s">
        <v>15</v>
      </c>
      <c r="K467">
        <v>9</v>
      </c>
    </row>
    <row r="468" spans="1:11">
      <c r="A468">
        <v>2025</v>
      </c>
      <c r="B468">
        <v>2</v>
      </c>
      <c r="C468">
        <v>6</v>
      </c>
      <c r="D468" s="5">
        <v>45807</v>
      </c>
      <c r="E468" s="5">
        <v>45807</v>
      </c>
      <c r="F468" t="s">
        <v>21</v>
      </c>
      <c r="G468" t="s">
        <v>12</v>
      </c>
      <c r="H468" t="s">
        <v>13</v>
      </c>
      <c r="I468" t="s">
        <v>28</v>
      </c>
      <c r="J468" t="s">
        <v>29</v>
      </c>
      <c r="K468">
        <v>3.2</v>
      </c>
    </row>
    <row r="469" spans="1:11">
      <c r="A469">
        <v>2025</v>
      </c>
      <c r="B469">
        <v>2</v>
      </c>
      <c r="C469">
        <v>6</v>
      </c>
      <c r="D469" s="5">
        <v>45807</v>
      </c>
      <c r="E469" s="5">
        <v>45807</v>
      </c>
      <c r="F469" t="s">
        <v>25</v>
      </c>
      <c r="G469" t="s">
        <v>12</v>
      </c>
      <c r="H469" t="s">
        <v>13</v>
      </c>
      <c r="I469" t="s">
        <v>14</v>
      </c>
      <c r="J469" t="s">
        <v>37</v>
      </c>
      <c r="K469">
        <v>0.5</v>
      </c>
    </row>
    <row r="470" spans="1:11">
      <c r="A470">
        <v>2025</v>
      </c>
      <c r="B470">
        <v>2</v>
      </c>
      <c r="C470">
        <v>6</v>
      </c>
      <c r="D470" s="5">
        <v>45807</v>
      </c>
      <c r="E470" s="5">
        <v>45807</v>
      </c>
      <c r="F470" t="s">
        <v>25</v>
      </c>
      <c r="G470" t="s">
        <v>12</v>
      </c>
      <c r="H470" t="s">
        <v>13</v>
      </c>
      <c r="I470" t="s">
        <v>28</v>
      </c>
      <c r="J470" t="s">
        <v>29</v>
      </c>
      <c r="K470">
        <v>2</v>
      </c>
    </row>
    <row r="471" spans="1:11">
      <c r="A471">
        <v>2025</v>
      </c>
      <c r="B471">
        <v>2</v>
      </c>
      <c r="C471">
        <v>6</v>
      </c>
      <c r="D471" s="5">
        <v>45807</v>
      </c>
      <c r="E471" s="5">
        <v>45807</v>
      </c>
      <c r="F471" t="s">
        <v>25</v>
      </c>
      <c r="G471" t="s">
        <v>12</v>
      </c>
      <c r="H471" t="s">
        <v>13</v>
      </c>
      <c r="I471" t="s">
        <v>44</v>
      </c>
      <c r="J471" t="s">
        <v>45</v>
      </c>
      <c r="K471">
        <v>6</v>
      </c>
    </row>
    <row r="472" spans="1:11">
      <c r="A472">
        <v>2025</v>
      </c>
      <c r="B472">
        <v>2</v>
      </c>
      <c r="C472">
        <v>6</v>
      </c>
      <c r="D472" s="5">
        <v>45807</v>
      </c>
      <c r="E472" s="5">
        <v>45807</v>
      </c>
      <c r="F472" t="s">
        <v>25</v>
      </c>
      <c r="G472" t="s">
        <v>12</v>
      </c>
      <c r="H472" t="s">
        <v>13</v>
      </c>
      <c r="I472" t="s">
        <v>30</v>
      </c>
      <c r="J472" t="s">
        <v>67</v>
      </c>
      <c r="K472">
        <v>1</v>
      </c>
    </row>
    <row r="473" spans="1:11">
      <c r="A473">
        <v>2025</v>
      </c>
      <c r="B473">
        <v>2</v>
      </c>
      <c r="C473">
        <v>6</v>
      </c>
      <c r="D473" s="5">
        <v>45807</v>
      </c>
      <c r="E473" s="5">
        <v>45807</v>
      </c>
      <c r="F473" t="s">
        <v>25</v>
      </c>
      <c r="G473" t="s">
        <v>12</v>
      </c>
      <c r="H473" t="s">
        <v>13</v>
      </c>
      <c r="I473" t="s">
        <v>30</v>
      </c>
      <c r="J473" t="s">
        <v>62</v>
      </c>
      <c r="K473">
        <v>0.5</v>
      </c>
    </row>
    <row r="474" spans="1:11">
      <c r="A474">
        <v>2025</v>
      </c>
      <c r="B474">
        <v>2</v>
      </c>
      <c r="C474">
        <v>6</v>
      </c>
      <c r="D474" s="5">
        <v>45807</v>
      </c>
      <c r="E474" s="5">
        <v>45807</v>
      </c>
      <c r="F474" t="s">
        <v>25</v>
      </c>
      <c r="G474" t="s">
        <v>12</v>
      </c>
      <c r="H474" t="s">
        <v>13</v>
      </c>
      <c r="I474" t="s">
        <v>30</v>
      </c>
      <c r="J474" t="s">
        <v>68</v>
      </c>
      <c r="K474">
        <v>1</v>
      </c>
    </row>
    <row r="475" spans="1:11">
      <c r="A475">
        <v>2025</v>
      </c>
      <c r="B475">
        <v>2</v>
      </c>
      <c r="C475">
        <v>6</v>
      </c>
      <c r="D475" s="5">
        <v>45821</v>
      </c>
      <c r="E475" s="5">
        <v>45814</v>
      </c>
      <c r="F475" t="s">
        <v>32</v>
      </c>
      <c r="G475" t="s">
        <v>12</v>
      </c>
      <c r="H475" t="s">
        <v>13</v>
      </c>
      <c r="I475" t="s">
        <v>14</v>
      </c>
      <c r="J475" t="s">
        <v>54</v>
      </c>
      <c r="K475">
        <v>1</v>
      </c>
    </row>
    <row r="476" spans="1:11">
      <c r="A476">
        <v>2025</v>
      </c>
      <c r="B476">
        <v>2</v>
      </c>
      <c r="C476">
        <v>6</v>
      </c>
      <c r="D476" s="5">
        <v>45821</v>
      </c>
      <c r="E476" s="5">
        <v>45814</v>
      </c>
      <c r="F476" t="s">
        <v>32</v>
      </c>
      <c r="G476" t="s">
        <v>12</v>
      </c>
      <c r="H476" t="s">
        <v>13</v>
      </c>
      <c r="I476" t="s">
        <v>14</v>
      </c>
      <c r="J476" t="s">
        <v>78</v>
      </c>
      <c r="K476">
        <v>6</v>
      </c>
    </row>
    <row r="477" spans="1:11">
      <c r="A477">
        <v>2025</v>
      </c>
      <c r="B477">
        <v>2</v>
      </c>
      <c r="C477">
        <v>6</v>
      </c>
      <c r="D477" s="5">
        <v>45821</v>
      </c>
      <c r="E477" s="5">
        <v>45814</v>
      </c>
      <c r="F477" t="s">
        <v>32</v>
      </c>
      <c r="G477" t="s">
        <v>12</v>
      </c>
      <c r="H477" t="s">
        <v>13</v>
      </c>
      <c r="I477" t="s">
        <v>44</v>
      </c>
      <c r="J477" t="s">
        <v>47</v>
      </c>
      <c r="K477">
        <v>31</v>
      </c>
    </row>
    <row r="478" spans="1:11">
      <c r="A478">
        <v>2025</v>
      </c>
      <c r="B478">
        <v>2</v>
      </c>
      <c r="C478">
        <v>6</v>
      </c>
      <c r="D478" s="5">
        <v>45821</v>
      </c>
      <c r="E478" s="5">
        <v>45814</v>
      </c>
      <c r="F478" t="s">
        <v>11</v>
      </c>
      <c r="G478" t="s">
        <v>12</v>
      </c>
      <c r="H478" t="s">
        <v>13</v>
      </c>
      <c r="I478" t="s">
        <v>14</v>
      </c>
      <c r="J478" t="s">
        <v>24</v>
      </c>
      <c r="K478">
        <v>2</v>
      </c>
    </row>
    <row r="479" spans="1:11">
      <c r="A479">
        <v>2025</v>
      </c>
      <c r="B479">
        <v>2</v>
      </c>
      <c r="C479">
        <v>6</v>
      </c>
      <c r="D479" s="5">
        <v>45821</v>
      </c>
      <c r="E479" s="5">
        <v>45814</v>
      </c>
      <c r="F479" t="s">
        <v>11</v>
      </c>
      <c r="G479" t="s">
        <v>12</v>
      </c>
      <c r="H479" t="s">
        <v>13</v>
      </c>
      <c r="I479" t="s">
        <v>14</v>
      </c>
      <c r="J479" t="s">
        <v>79</v>
      </c>
      <c r="K479">
        <v>2</v>
      </c>
    </row>
    <row r="480" spans="1:11">
      <c r="A480">
        <v>2025</v>
      </c>
      <c r="B480">
        <v>2</v>
      </c>
      <c r="C480">
        <v>6</v>
      </c>
      <c r="D480" s="5">
        <v>45821</v>
      </c>
      <c r="E480" s="5">
        <v>45814</v>
      </c>
      <c r="F480" t="s">
        <v>11</v>
      </c>
      <c r="G480" t="s">
        <v>12</v>
      </c>
      <c r="H480" t="s">
        <v>13</v>
      </c>
      <c r="I480" t="s">
        <v>44</v>
      </c>
      <c r="J480" t="s">
        <v>47</v>
      </c>
      <c r="K480">
        <v>1.3</v>
      </c>
    </row>
    <row r="481" spans="1:11">
      <c r="A481">
        <v>2025</v>
      </c>
      <c r="B481">
        <v>2</v>
      </c>
      <c r="C481">
        <v>6</v>
      </c>
      <c r="D481" s="5">
        <v>45821</v>
      </c>
      <c r="E481" s="5">
        <v>45814</v>
      </c>
      <c r="F481" t="s">
        <v>11</v>
      </c>
      <c r="G481" t="s">
        <v>12</v>
      </c>
      <c r="H481" t="s">
        <v>13</v>
      </c>
      <c r="I481" t="s">
        <v>44</v>
      </c>
      <c r="J481" t="s">
        <v>45</v>
      </c>
      <c r="K481">
        <v>5.7</v>
      </c>
    </row>
    <row r="482" spans="1:11">
      <c r="A482">
        <v>2025</v>
      </c>
      <c r="B482">
        <v>2</v>
      </c>
      <c r="C482">
        <v>6</v>
      </c>
      <c r="D482" s="5">
        <v>45821</v>
      </c>
      <c r="E482" s="5">
        <v>45814</v>
      </c>
      <c r="F482" t="s">
        <v>11</v>
      </c>
      <c r="G482" t="s">
        <v>12</v>
      </c>
      <c r="H482" t="s">
        <v>13</v>
      </c>
      <c r="I482" t="s">
        <v>16</v>
      </c>
      <c r="J482" t="s">
        <v>17</v>
      </c>
      <c r="K482">
        <v>10.4</v>
      </c>
    </row>
    <row r="483" spans="1:11">
      <c r="A483">
        <v>2025</v>
      </c>
      <c r="B483">
        <v>2</v>
      </c>
      <c r="C483">
        <v>6</v>
      </c>
      <c r="D483" s="5">
        <v>45821</v>
      </c>
      <c r="E483" s="5">
        <v>45814</v>
      </c>
      <c r="F483" t="s">
        <v>11</v>
      </c>
      <c r="G483" t="s">
        <v>12</v>
      </c>
      <c r="H483" t="s">
        <v>13</v>
      </c>
      <c r="I483" t="s">
        <v>16</v>
      </c>
      <c r="J483" t="s">
        <v>40</v>
      </c>
      <c r="K483">
        <v>1.5</v>
      </c>
    </row>
    <row r="484" spans="1:11">
      <c r="A484">
        <v>2025</v>
      </c>
      <c r="B484">
        <v>2</v>
      </c>
      <c r="C484">
        <v>6</v>
      </c>
      <c r="D484" s="5">
        <v>45821</v>
      </c>
      <c r="E484" s="5">
        <v>45814</v>
      </c>
      <c r="F484" t="s">
        <v>41</v>
      </c>
      <c r="G484" t="s">
        <v>12</v>
      </c>
      <c r="H484" t="s">
        <v>13</v>
      </c>
      <c r="I484" t="s">
        <v>14</v>
      </c>
      <c r="J484" t="s">
        <v>24</v>
      </c>
      <c r="K484">
        <v>2</v>
      </c>
    </row>
    <row r="485" spans="1:11">
      <c r="A485">
        <v>2025</v>
      </c>
      <c r="B485">
        <v>2</v>
      </c>
      <c r="C485">
        <v>6</v>
      </c>
      <c r="D485" s="5">
        <v>45821</v>
      </c>
      <c r="E485" s="5">
        <v>45814</v>
      </c>
      <c r="F485" t="s">
        <v>21</v>
      </c>
      <c r="G485" t="s">
        <v>12</v>
      </c>
      <c r="H485" t="s">
        <v>13</v>
      </c>
      <c r="I485" t="s">
        <v>14</v>
      </c>
      <c r="J485" t="s">
        <v>23</v>
      </c>
      <c r="K485">
        <v>21.6</v>
      </c>
    </row>
    <row r="486" spans="1:11">
      <c r="A486">
        <v>2025</v>
      </c>
      <c r="B486">
        <v>2</v>
      </c>
      <c r="C486">
        <v>6</v>
      </c>
      <c r="D486" s="5">
        <v>45821</v>
      </c>
      <c r="E486" s="5">
        <v>45814</v>
      </c>
      <c r="F486" t="s">
        <v>21</v>
      </c>
      <c r="G486" t="s">
        <v>12</v>
      </c>
      <c r="H486" t="s">
        <v>13</v>
      </c>
      <c r="I486" t="s">
        <v>14</v>
      </c>
      <c r="J486" t="s">
        <v>80</v>
      </c>
      <c r="K486">
        <v>6.6</v>
      </c>
    </row>
    <row r="487" spans="1:11">
      <c r="A487">
        <v>2025</v>
      </c>
      <c r="B487">
        <v>2</v>
      </c>
      <c r="C487">
        <v>6</v>
      </c>
      <c r="D487" s="5">
        <v>45821</v>
      </c>
      <c r="E487" s="5">
        <v>45814</v>
      </c>
      <c r="F487" t="s">
        <v>21</v>
      </c>
      <c r="G487" t="s">
        <v>12</v>
      </c>
      <c r="H487" t="s">
        <v>13</v>
      </c>
      <c r="I487" t="s">
        <v>14</v>
      </c>
      <c r="J487" t="s">
        <v>77</v>
      </c>
      <c r="K487">
        <v>10.5</v>
      </c>
    </row>
    <row r="488" spans="1:11">
      <c r="A488">
        <v>2025</v>
      </c>
      <c r="B488">
        <v>2</v>
      </c>
      <c r="C488">
        <v>6</v>
      </c>
      <c r="D488" s="5">
        <v>45821</v>
      </c>
      <c r="E488" s="5">
        <v>45814</v>
      </c>
      <c r="F488" t="s">
        <v>25</v>
      </c>
      <c r="G488" t="s">
        <v>12</v>
      </c>
      <c r="H488" t="s">
        <v>13</v>
      </c>
      <c r="I488" t="s">
        <v>14</v>
      </c>
      <c r="J488" t="s">
        <v>37</v>
      </c>
      <c r="K488">
        <v>0.3</v>
      </c>
    </row>
    <row r="489" spans="1:11">
      <c r="A489">
        <v>2025</v>
      </c>
      <c r="B489">
        <v>2</v>
      </c>
      <c r="C489">
        <v>6</v>
      </c>
      <c r="D489" s="5">
        <v>45821</v>
      </c>
      <c r="E489" s="5">
        <v>45814</v>
      </c>
      <c r="F489" t="s">
        <v>25</v>
      </c>
      <c r="G489" t="s">
        <v>12</v>
      </c>
      <c r="H489" t="s">
        <v>13</v>
      </c>
      <c r="I489" t="s">
        <v>28</v>
      </c>
      <c r="J489" t="s">
        <v>29</v>
      </c>
      <c r="K489">
        <v>5.0999999999999996</v>
      </c>
    </row>
    <row r="490" spans="1:11">
      <c r="A490">
        <v>2025</v>
      </c>
      <c r="B490">
        <v>2</v>
      </c>
      <c r="C490">
        <v>6</v>
      </c>
      <c r="D490" s="5">
        <v>45821</v>
      </c>
      <c r="E490" s="5">
        <v>45814</v>
      </c>
      <c r="F490" t="s">
        <v>25</v>
      </c>
      <c r="G490" t="s">
        <v>12</v>
      </c>
      <c r="H490" t="s">
        <v>13</v>
      </c>
      <c r="I490" t="s">
        <v>44</v>
      </c>
      <c r="J490" t="s">
        <v>45</v>
      </c>
      <c r="K490">
        <v>6.7</v>
      </c>
    </row>
    <row r="491" spans="1:11">
      <c r="A491">
        <v>2025</v>
      </c>
      <c r="B491">
        <v>2</v>
      </c>
      <c r="C491">
        <v>6</v>
      </c>
      <c r="D491" s="5">
        <v>45821</v>
      </c>
      <c r="E491" s="5">
        <v>45814</v>
      </c>
      <c r="F491" t="s">
        <v>25</v>
      </c>
      <c r="G491" t="s">
        <v>12</v>
      </c>
      <c r="H491" t="s">
        <v>13</v>
      </c>
      <c r="I491" t="s">
        <v>38</v>
      </c>
      <c r="J491" t="s">
        <v>46</v>
      </c>
      <c r="K491">
        <v>1.5</v>
      </c>
    </row>
    <row r="492" spans="1:11">
      <c r="A492">
        <v>2025</v>
      </c>
      <c r="B492">
        <v>2</v>
      </c>
      <c r="C492">
        <v>6</v>
      </c>
      <c r="D492" s="5">
        <v>45821</v>
      </c>
      <c r="E492" s="5">
        <v>45814</v>
      </c>
      <c r="F492" t="s">
        <v>25</v>
      </c>
      <c r="G492" t="s">
        <v>12</v>
      </c>
      <c r="H492" t="s">
        <v>13</v>
      </c>
      <c r="I492" t="s">
        <v>30</v>
      </c>
      <c r="J492" t="s">
        <v>67</v>
      </c>
      <c r="K492">
        <v>5.3</v>
      </c>
    </row>
    <row r="493" spans="1:11">
      <c r="A493">
        <v>2025</v>
      </c>
      <c r="B493">
        <v>2</v>
      </c>
      <c r="C493">
        <v>6</v>
      </c>
      <c r="D493" s="5">
        <v>45821</v>
      </c>
      <c r="E493" s="5">
        <v>45814</v>
      </c>
      <c r="F493" t="s">
        <v>25</v>
      </c>
      <c r="G493" t="s">
        <v>12</v>
      </c>
      <c r="H493" t="s">
        <v>13</v>
      </c>
      <c r="I493" t="s">
        <v>30</v>
      </c>
      <c r="J493" t="s">
        <v>62</v>
      </c>
      <c r="K493">
        <v>3</v>
      </c>
    </row>
    <row r="494" spans="1:11">
      <c r="A494">
        <v>2025</v>
      </c>
      <c r="B494">
        <v>2</v>
      </c>
      <c r="C494">
        <v>6</v>
      </c>
      <c r="D494" s="5">
        <v>45821</v>
      </c>
      <c r="E494" s="5">
        <v>45814</v>
      </c>
      <c r="F494" t="s">
        <v>25</v>
      </c>
      <c r="G494" t="s">
        <v>12</v>
      </c>
      <c r="H494" t="s">
        <v>13</v>
      </c>
      <c r="I494" t="s">
        <v>30</v>
      </c>
      <c r="J494" t="s">
        <v>81</v>
      </c>
      <c r="K494">
        <v>0.5</v>
      </c>
    </row>
    <row r="495" spans="1:11">
      <c r="A495">
        <v>2025</v>
      </c>
      <c r="B495">
        <v>2</v>
      </c>
      <c r="C495">
        <v>6</v>
      </c>
      <c r="D495" s="5">
        <v>45821</v>
      </c>
      <c r="E495" s="5">
        <v>45814</v>
      </c>
      <c r="F495" t="s">
        <v>25</v>
      </c>
      <c r="G495" t="s">
        <v>12</v>
      </c>
      <c r="H495" t="s">
        <v>13</v>
      </c>
      <c r="I495" t="s">
        <v>30</v>
      </c>
      <c r="J495" t="s">
        <v>68</v>
      </c>
      <c r="K495">
        <v>4.2</v>
      </c>
    </row>
    <row r="496" spans="1:11">
      <c r="A496">
        <v>2025</v>
      </c>
      <c r="B496">
        <v>2</v>
      </c>
      <c r="C496">
        <v>6</v>
      </c>
      <c r="D496" s="5">
        <v>45821</v>
      </c>
      <c r="E496" s="5">
        <v>45821</v>
      </c>
      <c r="F496" t="s">
        <v>32</v>
      </c>
      <c r="G496" t="s">
        <v>12</v>
      </c>
      <c r="H496" t="s">
        <v>13</v>
      </c>
      <c r="I496" t="s">
        <v>14</v>
      </c>
      <c r="J496" t="s">
        <v>78</v>
      </c>
      <c r="K496">
        <v>21</v>
      </c>
    </row>
    <row r="497" spans="1:11">
      <c r="A497">
        <v>2025</v>
      </c>
      <c r="B497">
        <v>2</v>
      </c>
      <c r="C497">
        <v>6</v>
      </c>
      <c r="D497" s="5">
        <v>45821</v>
      </c>
      <c r="E497" s="5">
        <v>45821</v>
      </c>
      <c r="F497" t="s">
        <v>32</v>
      </c>
      <c r="G497" t="s">
        <v>12</v>
      </c>
      <c r="H497" t="s">
        <v>13</v>
      </c>
      <c r="I497" t="s">
        <v>14</v>
      </c>
      <c r="J497" t="s">
        <v>82</v>
      </c>
      <c r="K497">
        <v>3</v>
      </c>
    </row>
    <row r="498" spans="1:11">
      <c r="A498">
        <v>2025</v>
      </c>
      <c r="B498">
        <v>2</v>
      </c>
      <c r="C498">
        <v>6</v>
      </c>
      <c r="D498" s="5">
        <v>45821</v>
      </c>
      <c r="E498" s="5">
        <v>45821</v>
      </c>
      <c r="F498" t="s">
        <v>32</v>
      </c>
      <c r="G498" t="s">
        <v>12</v>
      </c>
      <c r="H498" t="s">
        <v>13</v>
      </c>
      <c r="I498" t="s">
        <v>44</v>
      </c>
      <c r="J498" t="s">
        <v>47</v>
      </c>
      <c r="K498">
        <v>15.5</v>
      </c>
    </row>
    <row r="499" spans="1:11">
      <c r="A499">
        <v>2025</v>
      </c>
      <c r="B499">
        <v>2</v>
      </c>
      <c r="C499">
        <v>6</v>
      </c>
      <c r="D499" s="5">
        <v>45821</v>
      </c>
      <c r="E499" s="5">
        <v>45821</v>
      </c>
      <c r="F499" t="s">
        <v>32</v>
      </c>
      <c r="G499" t="s">
        <v>12</v>
      </c>
      <c r="H499" t="s">
        <v>13</v>
      </c>
      <c r="I499" t="s">
        <v>30</v>
      </c>
      <c r="J499" t="s">
        <v>67</v>
      </c>
      <c r="K499">
        <v>0.5</v>
      </c>
    </row>
    <row r="500" spans="1:11">
      <c r="A500">
        <v>2025</v>
      </c>
      <c r="B500">
        <v>2</v>
      </c>
      <c r="C500">
        <v>6</v>
      </c>
      <c r="D500" s="5">
        <v>45821</v>
      </c>
      <c r="E500" s="5">
        <v>45821</v>
      </c>
      <c r="F500" t="s">
        <v>11</v>
      </c>
      <c r="G500" t="s">
        <v>12</v>
      </c>
      <c r="H500" t="s">
        <v>13</v>
      </c>
      <c r="I500" t="s">
        <v>83</v>
      </c>
      <c r="J500" t="s">
        <v>84</v>
      </c>
      <c r="K500">
        <v>2.6</v>
      </c>
    </row>
    <row r="501" spans="1:11">
      <c r="A501">
        <v>2025</v>
      </c>
      <c r="B501">
        <v>2</v>
      </c>
      <c r="C501">
        <v>6</v>
      </c>
      <c r="D501" s="5">
        <v>45821</v>
      </c>
      <c r="E501" s="5">
        <v>45821</v>
      </c>
      <c r="F501" t="s">
        <v>11</v>
      </c>
      <c r="G501" t="s">
        <v>12</v>
      </c>
      <c r="H501" t="s">
        <v>13</v>
      </c>
      <c r="I501" t="s">
        <v>14</v>
      </c>
      <c r="J501" t="s">
        <v>79</v>
      </c>
      <c r="K501">
        <v>0.7</v>
      </c>
    </row>
    <row r="502" spans="1:11">
      <c r="A502">
        <v>2025</v>
      </c>
      <c r="B502">
        <v>2</v>
      </c>
      <c r="C502">
        <v>6</v>
      </c>
      <c r="D502" s="5">
        <v>45821</v>
      </c>
      <c r="E502" s="5">
        <v>45821</v>
      </c>
      <c r="F502" t="s">
        <v>11</v>
      </c>
      <c r="G502" t="s">
        <v>12</v>
      </c>
      <c r="H502" t="s">
        <v>13</v>
      </c>
      <c r="I502" t="s">
        <v>14</v>
      </c>
      <c r="J502" t="s">
        <v>15</v>
      </c>
      <c r="K502">
        <v>0.7</v>
      </c>
    </row>
    <row r="503" spans="1:11">
      <c r="A503">
        <v>2025</v>
      </c>
      <c r="B503">
        <v>2</v>
      </c>
      <c r="C503">
        <v>6</v>
      </c>
      <c r="D503" s="5">
        <v>45821</v>
      </c>
      <c r="E503" s="5">
        <v>45821</v>
      </c>
      <c r="F503" t="s">
        <v>11</v>
      </c>
      <c r="G503" t="s">
        <v>12</v>
      </c>
      <c r="H503" t="s">
        <v>13</v>
      </c>
      <c r="I503" t="s">
        <v>44</v>
      </c>
      <c r="J503" t="s">
        <v>47</v>
      </c>
      <c r="K503">
        <v>3.3</v>
      </c>
    </row>
    <row r="504" spans="1:11">
      <c r="A504">
        <v>2025</v>
      </c>
      <c r="B504">
        <v>2</v>
      </c>
      <c r="C504">
        <v>6</v>
      </c>
      <c r="D504" s="5">
        <v>45821</v>
      </c>
      <c r="E504" s="5">
        <v>45821</v>
      </c>
      <c r="F504" t="s">
        <v>11</v>
      </c>
      <c r="G504" t="s">
        <v>12</v>
      </c>
      <c r="H504" t="s">
        <v>13</v>
      </c>
      <c r="I504" t="s">
        <v>44</v>
      </c>
      <c r="J504" t="s">
        <v>45</v>
      </c>
      <c r="K504">
        <v>3.6</v>
      </c>
    </row>
    <row r="505" spans="1:11">
      <c r="A505">
        <v>2025</v>
      </c>
      <c r="B505">
        <v>2</v>
      </c>
      <c r="C505">
        <v>6</v>
      </c>
      <c r="D505" s="5">
        <v>45821</v>
      </c>
      <c r="E505" s="5">
        <v>45821</v>
      </c>
      <c r="F505" t="s">
        <v>11</v>
      </c>
      <c r="G505" t="s">
        <v>12</v>
      </c>
      <c r="H505" t="s">
        <v>13</v>
      </c>
      <c r="I505" t="s">
        <v>16</v>
      </c>
      <c r="J505" t="s">
        <v>40</v>
      </c>
      <c r="K505">
        <v>16</v>
      </c>
    </row>
    <row r="506" spans="1:11">
      <c r="A506">
        <v>2025</v>
      </c>
      <c r="B506">
        <v>2</v>
      </c>
      <c r="C506">
        <v>6</v>
      </c>
      <c r="D506" s="5">
        <v>45821</v>
      </c>
      <c r="E506" s="5">
        <v>45821</v>
      </c>
      <c r="F506" t="s">
        <v>11</v>
      </c>
      <c r="G506" t="s">
        <v>12</v>
      </c>
      <c r="H506" t="s">
        <v>13</v>
      </c>
      <c r="I506" t="s">
        <v>16</v>
      </c>
      <c r="J506" t="s">
        <v>85</v>
      </c>
      <c r="K506">
        <v>3.7</v>
      </c>
    </row>
    <row r="507" spans="1:11">
      <c r="A507">
        <v>2025</v>
      </c>
      <c r="B507">
        <v>2</v>
      </c>
      <c r="C507">
        <v>6</v>
      </c>
      <c r="D507" s="5">
        <v>45821</v>
      </c>
      <c r="E507" s="5">
        <v>45821</v>
      </c>
      <c r="F507" t="s">
        <v>11</v>
      </c>
      <c r="G507" t="s">
        <v>12</v>
      </c>
      <c r="H507" t="s">
        <v>13</v>
      </c>
      <c r="I507" t="s">
        <v>30</v>
      </c>
      <c r="J507" t="s">
        <v>67</v>
      </c>
      <c r="K507">
        <v>1</v>
      </c>
    </row>
    <row r="508" spans="1:11">
      <c r="A508">
        <v>2025</v>
      </c>
      <c r="B508">
        <v>2</v>
      </c>
      <c r="C508">
        <v>6</v>
      </c>
      <c r="D508" s="5">
        <v>45821</v>
      </c>
      <c r="E508" s="5">
        <v>45821</v>
      </c>
      <c r="F508" t="s">
        <v>41</v>
      </c>
      <c r="G508" t="s">
        <v>12</v>
      </c>
      <c r="H508" t="s">
        <v>13</v>
      </c>
      <c r="I508" t="s">
        <v>44</v>
      </c>
      <c r="J508" t="s">
        <v>47</v>
      </c>
      <c r="K508">
        <v>2</v>
      </c>
    </row>
    <row r="509" spans="1:11">
      <c r="A509">
        <v>2025</v>
      </c>
      <c r="B509">
        <v>2</v>
      </c>
      <c r="C509">
        <v>6</v>
      </c>
      <c r="D509" s="5">
        <v>45821</v>
      </c>
      <c r="E509" s="5">
        <v>45821</v>
      </c>
      <c r="F509" t="s">
        <v>41</v>
      </c>
      <c r="G509" t="s">
        <v>12</v>
      </c>
      <c r="H509" t="s">
        <v>13</v>
      </c>
      <c r="I509" t="s">
        <v>44</v>
      </c>
      <c r="J509" t="s">
        <v>48</v>
      </c>
      <c r="K509">
        <v>3.5</v>
      </c>
    </row>
    <row r="510" spans="1:11">
      <c r="A510">
        <v>2025</v>
      </c>
      <c r="B510">
        <v>2</v>
      </c>
      <c r="C510">
        <v>6</v>
      </c>
      <c r="D510" s="5">
        <v>45821</v>
      </c>
      <c r="E510" s="5">
        <v>45821</v>
      </c>
      <c r="F510" t="s">
        <v>41</v>
      </c>
      <c r="G510" t="s">
        <v>12</v>
      </c>
      <c r="H510" t="s">
        <v>13</v>
      </c>
      <c r="I510" t="s">
        <v>30</v>
      </c>
      <c r="J510" t="s">
        <v>67</v>
      </c>
      <c r="K510">
        <v>0.5</v>
      </c>
    </row>
    <row r="511" spans="1:11">
      <c r="A511">
        <v>2025</v>
      </c>
      <c r="B511">
        <v>2</v>
      </c>
      <c r="C511">
        <v>6</v>
      </c>
      <c r="D511" s="5">
        <v>45821</v>
      </c>
      <c r="E511" s="5">
        <v>45821</v>
      </c>
      <c r="F511" t="s">
        <v>21</v>
      </c>
      <c r="G511" t="s">
        <v>12</v>
      </c>
      <c r="H511" t="s">
        <v>13</v>
      </c>
      <c r="I511" t="s">
        <v>14</v>
      </c>
      <c r="J511" t="s">
        <v>24</v>
      </c>
      <c r="K511">
        <v>2.8</v>
      </c>
    </row>
    <row r="512" spans="1:11">
      <c r="A512">
        <v>2025</v>
      </c>
      <c r="B512">
        <v>2</v>
      </c>
      <c r="C512">
        <v>6</v>
      </c>
      <c r="D512" s="5">
        <v>45821</v>
      </c>
      <c r="E512" s="5">
        <v>45821</v>
      </c>
      <c r="F512" t="s">
        <v>21</v>
      </c>
      <c r="G512" t="s">
        <v>12</v>
      </c>
      <c r="H512" t="s">
        <v>13</v>
      </c>
      <c r="I512" t="s">
        <v>14</v>
      </c>
      <c r="J512" t="s">
        <v>23</v>
      </c>
      <c r="K512">
        <v>7.1</v>
      </c>
    </row>
    <row r="513" spans="1:11">
      <c r="A513">
        <v>2025</v>
      </c>
      <c r="B513">
        <v>2</v>
      </c>
      <c r="C513">
        <v>6</v>
      </c>
      <c r="D513" s="5">
        <v>45821</v>
      </c>
      <c r="E513" s="5">
        <v>45821</v>
      </c>
      <c r="F513" t="s">
        <v>21</v>
      </c>
      <c r="G513" t="s">
        <v>12</v>
      </c>
      <c r="H513" t="s">
        <v>13</v>
      </c>
      <c r="I513" t="s">
        <v>14</v>
      </c>
      <c r="J513" t="s">
        <v>80</v>
      </c>
      <c r="K513">
        <v>11</v>
      </c>
    </row>
    <row r="514" spans="1:11">
      <c r="A514">
        <v>2025</v>
      </c>
      <c r="B514">
        <v>2</v>
      </c>
      <c r="C514">
        <v>6</v>
      </c>
      <c r="D514" s="5">
        <v>45821</v>
      </c>
      <c r="E514" s="5">
        <v>45821</v>
      </c>
      <c r="F514" t="s">
        <v>21</v>
      </c>
      <c r="G514" t="s">
        <v>12</v>
      </c>
      <c r="H514" t="s">
        <v>13</v>
      </c>
      <c r="I514" t="s">
        <v>14</v>
      </c>
      <c r="J514" t="s">
        <v>77</v>
      </c>
      <c r="K514">
        <v>16.100000000000001</v>
      </c>
    </row>
    <row r="515" spans="1:11">
      <c r="A515">
        <v>2025</v>
      </c>
      <c r="B515">
        <v>2</v>
      </c>
      <c r="C515">
        <v>6</v>
      </c>
      <c r="D515" s="5">
        <v>45821</v>
      </c>
      <c r="E515" s="5">
        <v>45821</v>
      </c>
      <c r="F515" t="s">
        <v>21</v>
      </c>
      <c r="G515" t="s">
        <v>12</v>
      </c>
      <c r="H515" t="s">
        <v>13</v>
      </c>
      <c r="I515" t="s">
        <v>28</v>
      </c>
      <c r="J515" t="s">
        <v>29</v>
      </c>
      <c r="K515">
        <v>4.3</v>
      </c>
    </row>
    <row r="516" spans="1:11">
      <c r="A516">
        <v>2025</v>
      </c>
      <c r="B516">
        <v>2</v>
      </c>
      <c r="C516">
        <v>6</v>
      </c>
      <c r="D516" s="5">
        <v>45821</v>
      </c>
      <c r="E516" s="5">
        <v>45821</v>
      </c>
      <c r="F516" t="s">
        <v>25</v>
      </c>
      <c r="G516" t="s">
        <v>12</v>
      </c>
      <c r="H516" t="s">
        <v>13</v>
      </c>
      <c r="I516" t="s">
        <v>14</v>
      </c>
      <c r="J516" t="s">
        <v>37</v>
      </c>
      <c r="K516">
        <v>0.5</v>
      </c>
    </row>
    <row r="517" spans="1:11">
      <c r="A517">
        <v>2025</v>
      </c>
      <c r="B517">
        <v>2</v>
      </c>
      <c r="C517">
        <v>6</v>
      </c>
      <c r="D517" s="5">
        <v>45821</v>
      </c>
      <c r="E517" s="5">
        <v>45821</v>
      </c>
      <c r="F517" t="s">
        <v>25</v>
      </c>
      <c r="G517" t="s">
        <v>12</v>
      </c>
      <c r="H517" t="s">
        <v>13</v>
      </c>
      <c r="I517" t="s">
        <v>28</v>
      </c>
      <c r="J517" t="s">
        <v>29</v>
      </c>
      <c r="K517">
        <v>7.5</v>
      </c>
    </row>
    <row r="518" spans="1:11">
      <c r="A518">
        <v>2025</v>
      </c>
      <c r="B518">
        <v>2</v>
      </c>
      <c r="C518">
        <v>6</v>
      </c>
      <c r="D518" s="5">
        <v>45821</v>
      </c>
      <c r="E518" s="5">
        <v>45821</v>
      </c>
      <c r="F518" t="s">
        <v>25</v>
      </c>
      <c r="G518" t="s">
        <v>12</v>
      </c>
      <c r="H518" t="s">
        <v>13</v>
      </c>
      <c r="I518" t="s">
        <v>44</v>
      </c>
      <c r="J518" t="s">
        <v>45</v>
      </c>
      <c r="K518">
        <v>20</v>
      </c>
    </row>
    <row r="519" spans="1:11">
      <c r="A519">
        <v>2025</v>
      </c>
      <c r="B519">
        <v>2</v>
      </c>
      <c r="C519">
        <v>6</v>
      </c>
      <c r="D519" s="5">
        <v>45821</v>
      </c>
      <c r="E519" s="5">
        <v>45821</v>
      </c>
      <c r="F519" t="s">
        <v>25</v>
      </c>
      <c r="G519" t="s">
        <v>12</v>
      </c>
      <c r="H519" t="s">
        <v>13</v>
      </c>
      <c r="I519" t="s">
        <v>38</v>
      </c>
      <c r="J519" t="s">
        <v>46</v>
      </c>
      <c r="K519">
        <v>3</v>
      </c>
    </row>
    <row r="520" spans="1:11">
      <c r="A520">
        <v>2025</v>
      </c>
      <c r="B520">
        <v>2</v>
      </c>
      <c r="C520">
        <v>6</v>
      </c>
      <c r="D520" s="5">
        <v>45821</v>
      </c>
      <c r="E520" s="5">
        <v>45821</v>
      </c>
      <c r="F520" t="s">
        <v>25</v>
      </c>
      <c r="G520" t="s">
        <v>12</v>
      </c>
      <c r="H520" t="s">
        <v>13</v>
      </c>
      <c r="I520" t="s">
        <v>30</v>
      </c>
      <c r="J520" t="s">
        <v>67</v>
      </c>
      <c r="K520">
        <v>11.7</v>
      </c>
    </row>
    <row r="521" spans="1:11">
      <c r="A521">
        <v>2025</v>
      </c>
      <c r="B521">
        <v>2</v>
      </c>
      <c r="C521">
        <v>6</v>
      </c>
      <c r="D521" s="5">
        <v>45821</v>
      </c>
      <c r="E521" s="5">
        <v>45821</v>
      </c>
      <c r="F521" t="s">
        <v>25</v>
      </c>
      <c r="G521" t="s">
        <v>12</v>
      </c>
      <c r="H521" t="s">
        <v>13</v>
      </c>
      <c r="I521" t="s">
        <v>30</v>
      </c>
      <c r="J521" t="s">
        <v>62</v>
      </c>
      <c r="K521">
        <v>3.7</v>
      </c>
    </row>
    <row r="522" spans="1:11">
      <c r="A522">
        <v>2025</v>
      </c>
      <c r="B522">
        <v>2</v>
      </c>
      <c r="C522">
        <v>6</v>
      </c>
      <c r="D522" s="5">
        <v>45821</v>
      </c>
      <c r="E522" s="5">
        <v>45821</v>
      </c>
      <c r="F522" t="s">
        <v>25</v>
      </c>
      <c r="G522" t="s">
        <v>12</v>
      </c>
      <c r="H522" t="s">
        <v>13</v>
      </c>
      <c r="I522" t="s">
        <v>30</v>
      </c>
      <c r="J522" t="s">
        <v>81</v>
      </c>
      <c r="K522">
        <v>1.3</v>
      </c>
    </row>
    <row r="523" spans="1:11">
      <c r="A523">
        <v>2025</v>
      </c>
      <c r="B523">
        <v>2</v>
      </c>
      <c r="C523">
        <v>6</v>
      </c>
      <c r="D523" s="5">
        <v>45821</v>
      </c>
      <c r="E523" s="5">
        <v>45821</v>
      </c>
      <c r="F523" t="s">
        <v>25</v>
      </c>
      <c r="G523" t="s">
        <v>12</v>
      </c>
      <c r="H523" t="s">
        <v>13</v>
      </c>
      <c r="I523" t="s">
        <v>30</v>
      </c>
      <c r="J523" t="s">
        <v>68</v>
      </c>
      <c r="K523">
        <v>2.8</v>
      </c>
    </row>
    <row r="524" spans="1:11">
      <c r="A524">
        <v>2025</v>
      </c>
      <c r="B524">
        <v>2</v>
      </c>
      <c r="C524">
        <v>6</v>
      </c>
      <c r="D524" s="5">
        <v>45835</v>
      </c>
      <c r="E524" s="5">
        <v>45828</v>
      </c>
      <c r="F524" t="s">
        <v>32</v>
      </c>
      <c r="G524" t="s">
        <v>12</v>
      </c>
      <c r="H524" t="s">
        <v>13</v>
      </c>
      <c r="I524" t="s">
        <v>14</v>
      </c>
      <c r="J524" t="s">
        <v>54</v>
      </c>
      <c r="K524">
        <v>5.5</v>
      </c>
    </row>
    <row r="525" spans="1:11">
      <c r="A525">
        <v>2025</v>
      </c>
      <c r="B525">
        <v>2</v>
      </c>
      <c r="C525">
        <v>6</v>
      </c>
      <c r="D525" s="5">
        <v>45835</v>
      </c>
      <c r="E525" s="5">
        <v>45828</v>
      </c>
      <c r="F525" t="s">
        <v>32</v>
      </c>
      <c r="G525" t="s">
        <v>12</v>
      </c>
      <c r="H525" t="s">
        <v>13</v>
      </c>
      <c r="I525" t="s">
        <v>14</v>
      </c>
      <c r="J525" t="s">
        <v>78</v>
      </c>
      <c r="K525">
        <v>5</v>
      </c>
    </row>
    <row r="526" spans="1:11">
      <c r="A526">
        <v>2025</v>
      </c>
      <c r="B526">
        <v>2</v>
      </c>
      <c r="C526">
        <v>6</v>
      </c>
      <c r="D526" s="5">
        <v>45835</v>
      </c>
      <c r="E526" s="5">
        <v>45828</v>
      </c>
      <c r="F526" t="s">
        <v>32</v>
      </c>
      <c r="G526" t="s">
        <v>12</v>
      </c>
      <c r="H526" t="s">
        <v>13</v>
      </c>
      <c r="I526" t="s">
        <v>44</v>
      </c>
      <c r="J526" t="s">
        <v>47</v>
      </c>
      <c r="K526">
        <v>29.5</v>
      </c>
    </row>
    <row r="527" spans="1:11">
      <c r="A527">
        <v>2025</v>
      </c>
      <c r="B527">
        <v>2</v>
      </c>
      <c r="C527">
        <v>6</v>
      </c>
      <c r="D527" s="5">
        <v>45835</v>
      </c>
      <c r="E527" s="5">
        <v>45828</v>
      </c>
      <c r="F527" t="s">
        <v>11</v>
      </c>
      <c r="G527" t="s">
        <v>12</v>
      </c>
      <c r="H527" t="s">
        <v>13</v>
      </c>
      <c r="I527" t="s">
        <v>83</v>
      </c>
      <c r="J527" t="s">
        <v>84</v>
      </c>
      <c r="K527">
        <v>1.5</v>
      </c>
    </row>
    <row r="528" spans="1:11">
      <c r="A528">
        <v>2025</v>
      </c>
      <c r="B528">
        <v>2</v>
      </c>
      <c r="C528">
        <v>6</v>
      </c>
      <c r="D528" s="5">
        <v>45835</v>
      </c>
      <c r="E528" s="5">
        <v>45828</v>
      </c>
      <c r="F528" t="s">
        <v>11</v>
      </c>
      <c r="G528" t="s">
        <v>12</v>
      </c>
      <c r="H528" t="s">
        <v>13</v>
      </c>
      <c r="I528" t="s">
        <v>14</v>
      </c>
      <c r="J528" t="s">
        <v>24</v>
      </c>
      <c r="K528">
        <v>0.9</v>
      </c>
    </row>
    <row r="529" spans="1:11">
      <c r="A529">
        <v>2025</v>
      </c>
      <c r="B529">
        <v>2</v>
      </c>
      <c r="C529">
        <v>6</v>
      </c>
      <c r="D529" s="5">
        <v>45835</v>
      </c>
      <c r="E529" s="5">
        <v>45828</v>
      </c>
      <c r="F529" t="s">
        <v>11</v>
      </c>
      <c r="G529" t="s">
        <v>12</v>
      </c>
      <c r="H529" t="s">
        <v>13</v>
      </c>
      <c r="I529" t="s">
        <v>14</v>
      </c>
      <c r="J529" t="s">
        <v>79</v>
      </c>
      <c r="K529">
        <v>1</v>
      </c>
    </row>
    <row r="530" spans="1:11">
      <c r="A530">
        <v>2025</v>
      </c>
      <c r="B530">
        <v>2</v>
      </c>
      <c r="C530">
        <v>6</v>
      </c>
      <c r="D530" s="5">
        <v>45835</v>
      </c>
      <c r="E530" s="5">
        <v>45828</v>
      </c>
      <c r="F530" t="s">
        <v>11</v>
      </c>
      <c r="G530" t="s">
        <v>12</v>
      </c>
      <c r="H530" t="s">
        <v>13</v>
      </c>
      <c r="I530" t="s">
        <v>14</v>
      </c>
      <c r="J530" t="s">
        <v>15</v>
      </c>
      <c r="K530">
        <v>0.5</v>
      </c>
    </row>
    <row r="531" spans="1:11">
      <c r="A531">
        <v>2025</v>
      </c>
      <c r="B531">
        <v>2</v>
      </c>
      <c r="C531">
        <v>6</v>
      </c>
      <c r="D531" s="5">
        <v>45835</v>
      </c>
      <c r="E531" s="5">
        <v>45828</v>
      </c>
      <c r="F531" t="s">
        <v>11</v>
      </c>
      <c r="G531" t="s">
        <v>12</v>
      </c>
      <c r="H531" t="s">
        <v>13</v>
      </c>
      <c r="I531" t="s">
        <v>44</v>
      </c>
      <c r="J531" t="s">
        <v>47</v>
      </c>
      <c r="K531">
        <v>7.1</v>
      </c>
    </row>
    <row r="532" spans="1:11">
      <c r="A532">
        <v>2025</v>
      </c>
      <c r="B532">
        <v>2</v>
      </c>
      <c r="C532">
        <v>6</v>
      </c>
      <c r="D532" s="5">
        <v>45835</v>
      </c>
      <c r="E532" s="5">
        <v>45828</v>
      </c>
      <c r="F532" t="s">
        <v>11</v>
      </c>
      <c r="G532" t="s">
        <v>12</v>
      </c>
      <c r="H532" t="s">
        <v>13</v>
      </c>
      <c r="I532" t="s">
        <v>44</v>
      </c>
      <c r="J532" t="s">
        <v>45</v>
      </c>
      <c r="K532">
        <v>2</v>
      </c>
    </row>
    <row r="533" spans="1:11">
      <c r="A533">
        <v>2025</v>
      </c>
      <c r="B533">
        <v>2</v>
      </c>
      <c r="C533">
        <v>6</v>
      </c>
      <c r="D533" s="5">
        <v>45835</v>
      </c>
      <c r="E533" s="5">
        <v>45828</v>
      </c>
      <c r="F533" t="s">
        <v>11</v>
      </c>
      <c r="G533" t="s">
        <v>12</v>
      </c>
      <c r="H533" t="s">
        <v>13</v>
      </c>
      <c r="I533" t="s">
        <v>38</v>
      </c>
      <c r="J533" t="s">
        <v>64</v>
      </c>
      <c r="K533">
        <v>1.5</v>
      </c>
    </row>
    <row r="534" spans="1:11">
      <c r="A534">
        <v>2025</v>
      </c>
      <c r="B534">
        <v>2</v>
      </c>
      <c r="C534">
        <v>6</v>
      </c>
      <c r="D534" s="5">
        <v>45835</v>
      </c>
      <c r="E534" s="5">
        <v>45828</v>
      </c>
      <c r="F534" t="s">
        <v>11</v>
      </c>
      <c r="G534" t="s">
        <v>12</v>
      </c>
      <c r="H534" t="s">
        <v>13</v>
      </c>
      <c r="I534" t="s">
        <v>16</v>
      </c>
      <c r="J534" t="s">
        <v>17</v>
      </c>
      <c r="K534">
        <v>8.3000000000000007</v>
      </c>
    </row>
    <row r="535" spans="1:11">
      <c r="A535">
        <v>2025</v>
      </c>
      <c r="B535">
        <v>2</v>
      </c>
      <c r="C535">
        <v>6</v>
      </c>
      <c r="D535" s="5">
        <v>45835</v>
      </c>
      <c r="E535" s="5">
        <v>45828</v>
      </c>
      <c r="F535" t="s">
        <v>11</v>
      </c>
      <c r="G535" t="s">
        <v>12</v>
      </c>
      <c r="H535" t="s">
        <v>13</v>
      </c>
      <c r="I535" t="s">
        <v>16</v>
      </c>
      <c r="J535" t="s">
        <v>40</v>
      </c>
      <c r="K535">
        <v>3.3</v>
      </c>
    </row>
    <row r="536" spans="1:11">
      <c r="A536">
        <v>2025</v>
      </c>
      <c r="B536">
        <v>2</v>
      </c>
      <c r="C536">
        <v>6</v>
      </c>
      <c r="D536" s="5">
        <v>45835</v>
      </c>
      <c r="E536" s="5">
        <v>45828</v>
      </c>
      <c r="F536" t="s">
        <v>21</v>
      </c>
      <c r="G536" t="s">
        <v>12</v>
      </c>
      <c r="H536" t="s">
        <v>13</v>
      </c>
      <c r="I536" t="s">
        <v>14</v>
      </c>
      <c r="J536" t="s">
        <v>24</v>
      </c>
      <c r="K536">
        <v>4.7</v>
      </c>
    </row>
    <row r="537" spans="1:11">
      <c r="A537">
        <v>2025</v>
      </c>
      <c r="B537">
        <v>2</v>
      </c>
      <c r="C537">
        <v>6</v>
      </c>
      <c r="D537" s="5">
        <v>45835</v>
      </c>
      <c r="E537" s="5">
        <v>45828</v>
      </c>
      <c r="F537" t="s">
        <v>21</v>
      </c>
      <c r="G537" t="s">
        <v>12</v>
      </c>
      <c r="H537" t="s">
        <v>13</v>
      </c>
      <c r="I537" t="s">
        <v>14</v>
      </c>
      <c r="J537" t="s">
        <v>23</v>
      </c>
      <c r="K537">
        <v>20</v>
      </c>
    </row>
    <row r="538" spans="1:11">
      <c r="A538">
        <v>2025</v>
      </c>
      <c r="B538">
        <v>2</v>
      </c>
      <c r="C538">
        <v>6</v>
      </c>
      <c r="D538" s="5">
        <v>45835</v>
      </c>
      <c r="E538" s="5">
        <v>45828</v>
      </c>
      <c r="F538" t="s">
        <v>21</v>
      </c>
      <c r="G538" t="s">
        <v>12</v>
      </c>
      <c r="H538" t="s">
        <v>13</v>
      </c>
      <c r="I538" t="s">
        <v>14</v>
      </c>
      <c r="J538" t="s">
        <v>80</v>
      </c>
      <c r="K538">
        <v>6.2</v>
      </c>
    </row>
    <row r="539" spans="1:11">
      <c r="A539">
        <v>2025</v>
      </c>
      <c r="B539">
        <v>2</v>
      </c>
      <c r="C539">
        <v>6</v>
      </c>
      <c r="D539" s="5">
        <v>45835</v>
      </c>
      <c r="E539" s="5">
        <v>45828</v>
      </c>
      <c r="F539" t="s">
        <v>21</v>
      </c>
      <c r="G539" t="s">
        <v>12</v>
      </c>
      <c r="H539" t="s">
        <v>13</v>
      </c>
      <c r="I539" t="s">
        <v>14</v>
      </c>
      <c r="J539" t="s">
        <v>77</v>
      </c>
      <c r="K539">
        <v>3.4</v>
      </c>
    </row>
    <row r="540" spans="1:11">
      <c r="A540">
        <v>2025</v>
      </c>
      <c r="B540">
        <v>2</v>
      </c>
      <c r="C540">
        <v>6</v>
      </c>
      <c r="D540" s="5">
        <v>45835</v>
      </c>
      <c r="E540" s="5">
        <v>45828</v>
      </c>
      <c r="F540" t="s">
        <v>21</v>
      </c>
      <c r="G540" t="s">
        <v>12</v>
      </c>
      <c r="H540" t="s">
        <v>13</v>
      </c>
      <c r="I540" t="s">
        <v>28</v>
      </c>
      <c r="J540" t="s">
        <v>29</v>
      </c>
      <c r="K540">
        <v>4.5999999999999996</v>
      </c>
    </row>
    <row r="541" spans="1:11">
      <c r="A541">
        <v>2025</v>
      </c>
      <c r="B541">
        <v>2</v>
      </c>
      <c r="C541">
        <v>6</v>
      </c>
      <c r="D541" s="5">
        <v>45835</v>
      </c>
      <c r="E541" s="5">
        <v>45828</v>
      </c>
      <c r="F541" t="s">
        <v>25</v>
      </c>
      <c r="G541" t="s">
        <v>12</v>
      </c>
      <c r="H541" t="s">
        <v>13</v>
      </c>
      <c r="I541" t="s">
        <v>28</v>
      </c>
      <c r="J541" t="s">
        <v>29</v>
      </c>
      <c r="K541">
        <v>1.9</v>
      </c>
    </row>
    <row r="542" spans="1:11">
      <c r="A542">
        <v>2025</v>
      </c>
      <c r="B542">
        <v>2</v>
      </c>
      <c r="C542">
        <v>6</v>
      </c>
      <c r="D542" s="5">
        <v>45835</v>
      </c>
      <c r="E542" s="5">
        <v>45828</v>
      </c>
      <c r="F542" t="s">
        <v>25</v>
      </c>
      <c r="G542" t="s">
        <v>12</v>
      </c>
      <c r="H542" t="s">
        <v>13</v>
      </c>
      <c r="I542" t="s">
        <v>44</v>
      </c>
      <c r="J542" t="s">
        <v>45</v>
      </c>
      <c r="K542">
        <v>14.8</v>
      </c>
    </row>
    <row r="543" spans="1:11">
      <c r="A543">
        <v>2025</v>
      </c>
      <c r="B543">
        <v>2</v>
      </c>
      <c r="C543">
        <v>6</v>
      </c>
      <c r="D543" s="5">
        <v>45835</v>
      </c>
      <c r="E543" s="5">
        <v>45828</v>
      </c>
      <c r="F543" t="s">
        <v>25</v>
      </c>
      <c r="G543" t="s">
        <v>12</v>
      </c>
      <c r="H543" t="s">
        <v>13</v>
      </c>
      <c r="I543" t="s">
        <v>38</v>
      </c>
      <c r="J543" t="s">
        <v>46</v>
      </c>
      <c r="K543">
        <v>1</v>
      </c>
    </row>
    <row r="544" spans="1:11">
      <c r="A544">
        <v>2025</v>
      </c>
      <c r="B544">
        <v>2</v>
      </c>
      <c r="C544">
        <v>6</v>
      </c>
      <c r="D544" s="5">
        <v>45835</v>
      </c>
      <c r="E544" s="5">
        <v>45828</v>
      </c>
      <c r="F544" t="s">
        <v>25</v>
      </c>
      <c r="G544" t="s">
        <v>12</v>
      </c>
      <c r="H544" t="s">
        <v>13</v>
      </c>
      <c r="I544" t="s">
        <v>30</v>
      </c>
      <c r="J544" t="s">
        <v>67</v>
      </c>
      <c r="K544">
        <v>4.2</v>
      </c>
    </row>
    <row r="545" spans="1:11">
      <c r="A545">
        <v>2025</v>
      </c>
      <c r="B545">
        <v>2</v>
      </c>
      <c r="C545">
        <v>6</v>
      </c>
      <c r="D545" s="5">
        <v>45835</v>
      </c>
      <c r="E545" s="5">
        <v>45828</v>
      </c>
      <c r="F545" t="s">
        <v>25</v>
      </c>
      <c r="G545" t="s">
        <v>12</v>
      </c>
      <c r="H545" t="s">
        <v>13</v>
      </c>
      <c r="I545" t="s">
        <v>30</v>
      </c>
      <c r="J545" t="s">
        <v>62</v>
      </c>
      <c r="K545">
        <v>2.7</v>
      </c>
    </row>
    <row r="546" spans="1:11">
      <c r="A546">
        <v>2025</v>
      </c>
      <c r="B546">
        <v>2</v>
      </c>
      <c r="C546">
        <v>6</v>
      </c>
      <c r="D546" s="5">
        <v>45835</v>
      </c>
      <c r="E546" s="5">
        <v>45828</v>
      </c>
      <c r="F546" t="s">
        <v>25</v>
      </c>
      <c r="G546" t="s">
        <v>12</v>
      </c>
      <c r="H546" t="s">
        <v>13</v>
      </c>
      <c r="I546" t="s">
        <v>30</v>
      </c>
      <c r="J546" t="s">
        <v>68</v>
      </c>
      <c r="K546">
        <v>2.9</v>
      </c>
    </row>
    <row r="547" spans="1:11">
      <c r="A547">
        <v>2025</v>
      </c>
      <c r="B547">
        <v>2</v>
      </c>
      <c r="C547">
        <v>6</v>
      </c>
      <c r="D547" s="5">
        <v>45835</v>
      </c>
      <c r="E547" s="5">
        <v>45835</v>
      </c>
      <c r="F547" t="s">
        <v>32</v>
      </c>
      <c r="G547" t="s">
        <v>12</v>
      </c>
      <c r="H547" t="s">
        <v>13</v>
      </c>
      <c r="I547" t="s">
        <v>14</v>
      </c>
      <c r="J547" t="s">
        <v>54</v>
      </c>
      <c r="K547">
        <v>32</v>
      </c>
    </row>
    <row r="548" spans="1:11">
      <c r="A548">
        <v>2025</v>
      </c>
      <c r="B548">
        <v>2</v>
      </c>
      <c r="C548">
        <v>6</v>
      </c>
      <c r="D548" s="5">
        <v>45835</v>
      </c>
      <c r="E548" s="5">
        <v>45835</v>
      </c>
      <c r="F548" t="s">
        <v>32</v>
      </c>
      <c r="G548" t="s">
        <v>12</v>
      </c>
      <c r="H548" t="s">
        <v>13</v>
      </c>
      <c r="I548" t="s">
        <v>44</v>
      </c>
      <c r="J548" t="s">
        <v>47</v>
      </c>
      <c r="K548">
        <v>8</v>
      </c>
    </row>
    <row r="549" spans="1:11">
      <c r="A549">
        <v>2025</v>
      </c>
      <c r="B549">
        <v>2</v>
      </c>
      <c r="C549">
        <v>6</v>
      </c>
      <c r="D549" s="5">
        <v>45835</v>
      </c>
      <c r="E549" s="5">
        <v>45835</v>
      </c>
      <c r="F549" t="s">
        <v>11</v>
      </c>
      <c r="G549" t="s">
        <v>12</v>
      </c>
      <c r="H549" t="s">
        <v>13</v>
      </c>
      <c r="I549" t="s">
        <v>83</v>
      </c>
      <c r="J549" t="s">
        <v>84</v>
      </c>
      <c r="K549">
        <v>1.8</v>
      </c>
    </row>
    <row r="550" spans="1:11">
      <c r="A550">
        <v>2025</v>
      </c>
      <c r="B550">
        <v>2</v>
      </c>
      <c r="C550">
        <v>6</v>
      </c>
      <c r="D550" s="5">
        <v>45835</v>
      </c>
      <c r="E550" s="5">
        <v>45835</v>
      </c>
      <c r="F550" t="s">
        <v>11</v>
      </c>
      <c r="G550" t="s">
        <v>12</v>
      </c>
      <c r="H550" t="s">
        <v>13</v>
      </c>
      <c r="I550" t="s">
        <v>83</v>
      </c>
      <c r="J550" t="s">
        <v>86</v>
      </c>
      <c r="K550">
        <v>2.6</v>
      </c>
    </row>
    <row r="551" spans="1:11">
      <c r="A551">
        <v>2025</v>
      </c>
      <c r="B551">
        <v>2</v>
      </c>
      <c r="C551">
        <v>6</v>
      </c>
      <c r="D551" s="5">
        <v>45835</v>
      </c>
      <c r="E551" s="5">
        <v>45835</v>
      </c>
      <c r="F551" t="s">
        <v>11</v>
      </c>
      <c r="G551" t="s">
        <v>12</v>
      </c>
      <c r="H551" t="s">
        <v>13</v>
      </c>
      <c r="I551" t="s">
        <v>14</v>
      </c>
      <c r="J551" t="s">
        <v>24</v>
      </c>
      <c r="K551">
        <v>1</v>
      </c>
    </row>
    <row r="552" spans="1:11">
      <c r="A552">
        <v>2025</v>
      </c>
      <c r="B552">
        <v>2</v>
      </c>
      <c r="C552">
        <v>6</v>
      </c>
      <c r="D552" s="5">
        <v>45835</v>
      </c>
      <c r="E552" s="5">
        <v>45835</v>
      </c>
      <c r="F552" t="s">
        <v>11</v>
      </c>
      <c r="G552" t="s">
        <v>12</v>
      </c>
      <c r="H552" t="s">
        <v>13</v>
      </c>
      <c r="I552" t="s">
        <v>14</v>
      </c>
      <c r="J552" t="s">
        <v>79</v>
      </c>
      <c r="K552">
        <v>0.7</v>
      </c>
    </row>
    <row r="553" spans="1:11">
      <c r="A553">
        <v>2025</v>
      </c>
      <c r="B553">
        <v>2</v>
      </c>
      <c r="C553">
        <v>6</v>
      </c>
      <c r="D553" s="5">
        <v>45835</v>
      </c>
      <c r="E553" s="5">
        <v>45835</v>
      </c>
      <c r="F553" t="s">
        <v>11</v>
      </c>
      <c r="G553" t="s">
        <v>12</v>
      </c>
      <c r="H553" t="s">
        <v>13</v>
      </c>
      <c r="I553" t="s">
        <v>44</v>
      </c>
      <c r="J553" t="s">
        <v>45</v>
      </c>
      <c r="K553">
        <v>1</v>
      </c>
    </row>
    <row r="554" spans="1:11">
      <c r="A554">
        <v>2025</v>
      </c>
      <c r="B554">
        <v>2</v>
      </c>
      <c r="C554">
        <v>6</v>
      </c>
      <c r="D554" s="5">
        <v>45835</v>
      </c>
      <c r="E554" s="5">
        <v>45835</v>
      </c>
      <c r="F554" t="s">
        <v>11</v>
      </c>
      <c r="G554" t="s">
        <v>12</v>
      </c>
      <c r="H554" t="s">
        <v>13</v>
      </c>
      <c r="I554" t="s">
        <v>16</v>
      </c>
      <c r="J554" t="s">
        <v>17</v>
      </c>
      <c r="K554">
        <v>4.3</v>
      </c>
    </row>
    <row r="555" spans="1:11">
      <c r="A555">
        <v>2025</v>
      </c>
      <c r="B555">
        <v>2</v>
      </c>
      <c r="C555">
        <v>6</v>
      </c>
      <c r="D555" s="5">
        <v>45835</v>
      </c>
      <c r="E555" s="5">
        <v>45835</v>
      </c>
      <c r="F555" t="s">
        <v>11</v>
      </c>
      <c r="G555" t="s">
        <v>12</v>
      </c>
      <c r="H555" t="s">
        <v>13</v>
      </c>
      <c r="I555" t="s">
        <v>16</v>
      </c>
      <c r="J555" t="s">
        <v>87</v>
      </c>
      <c r="K555">
        <v>0.5</v>
      </c>
    </row>
    <row r="556" spans="1:11">
      <c r="A556">
        <v>2025</v>
      </c>
      <c r="B556">
        <v>2</v>
      </c>
      <c r="C556">
        <v>6</v>
      </c>
      <c r="D556" s="5">
        <v>45835</v>
      </c>
      <c r="E556" s="5">
        <v>45835</v>
      </c>
      <c r="F556" t="s">
        <v>11</v>
      </c>
      <c r="G556" t="s">
        <v>12</v>
      </c>
      <c r="H556" t="s">
        <v>13</v>
      </c>
      <c r="I556" t="s">
        <v>16</v>
      </c>
      <c r="J556" t="s">
        <v>40</v>
      </c>
      <c r="K556">
        <v>2.9</v>
      </c>
    </row>
    <row r="557" spans="1:11">
      <c r="A557">
        <v>2025</v>
      </c>
      <c r="B557">
        <v>2</v>
      </c>
      <c r="C557">
        <v>6</v>
      </c>
      <c r="D557" s="5">
        <v>45835</v>
      </c>
      <c r="E557" s="5">
        <v>45835</v>
      </c>
      <c r="F557" t="s">
        <v>11</v>
      </c>
      <c r="G557" t="s">
        <v>12</v>
      </c>
      <c r="H557" t="s">
        <v>13</v>
      </c>
      <c r="I557" t="s">
        <v>16</v>
      </c>
      <c r="J557" t="s">
        <v>88</v>
      </c>
      <c r="K557">
        <v>0.5</v>
      </c>
    </row>
    <row r="558" spans="1:11">
      <c r="A558">
        <v>2025</v>
      </c>
      <c r="B558">
        <v>2</v>
      </c>
      <c r="C558">
        <v>6</v>
      </c>
      <c r="D558" s="5">
        <v>45835</v>
      </c>
      <c r="E558" s="5">
        <v>45835</v>
      </c>
      <c r="F558" t="s">
        <v>11</v>
      </c>
      <c r="G558" t="s">
        <v>12</v>
      </c>
      <c r="H558" t="s">
        <v>13</v>
      </c>
      <c r="I558" t="s">
        <v>16</v>
      </c>
      <c r="J558" t="s">
        <v>85</v>
      </c>
      <c r="K558">
        <v>0.6</v>
      </c>
    </row>
    <row r="559" spans="1:11">
      <c r="A559">
        <v>2025</v>
      </c>
      <c r="B559">
        <v>2</v>
      </c>
      <c r="C559">
        <v>6</v>
      </c>
      <c r="D559" s="5">
        <v>45835</v>
      </c>
      <c r="E559" s="5">
        <v>45835</v>
      </c>
      <c r="F559" t="s">
        <v>41</v>
      </c>
      <c r="G559" t="s">
        <v>12</v>
      </c>
      <c r="H559" t="s">
        <v>13</v>
      </c>
      <c r="I559" t="s">
        <v>14</v>
      </c>
      <c r="J559" t="s">
        <v>54</v>
      </c>
      <c r="K559">
        <v>2</v>
      </c>
    </row>
    <row r="560" spans="1:11">
      <c r="A560">
        <v>2025</v>
      </c>
      <c r="B560">
        <v>2</v>
      </c>
      <c r="C560">
        <v>6</v>
      </c>
      <c r="D560" s="5">
        <v>45835</v>
      </c>
      <c r="E560" s="5">
        <v>45835</v>
      </c>
      <c r="F560" t="s">
        <v>21</v>
      </c>
      <c r="G560" t="s">
        <v>12</v>
      </c>
      <c r="H560" t="s">
        <v>13</v>
      </c>
      <c r="I560" t="s">
        <v>14</v>
      </c>
      <c r="J560" t="s">
        <v>24</v>
      </c>
      <c r="K560">
        <v>2.9</v>
      </c>
    </row>
    <row r="561" spans="1:11">
      <c r="A561">
        <v>2025</v>
      </c>
      <c r="B561">
        <v>2</v>
      </c>
      <c r="C561">
        <v>6</v>
      </c>
      <c r="D561" s="5">
        <v>45835</v>
      </c>
      <c r="E561" s="5">
        <v>45835</v>
      </c>
      <c r="F561" t="s">
        <v>21</v>
      </c>
      <c r="G561" t="s">
        <v>12</v>
      </c>
      <c r="H561" t="s">
        <v>13</v>
      </c>
      <c r="I561" t="s">
        <v>14</v>
      </c>
      <c r="J561" t="s">
        <v>23</v>
      </c>
      <c r="K561">
        <v>19.399999999999999</v>
      </c>
    </row>
    <row r="562" spans="1:11">
      <c r="A562">
        <v>2025</v>
      </c>
      <c r="B562">
        <v>2</v>
      </c>
      <c r="C562">
        <v>6</v>
      </c>
      <c r="D562" s="5">
        <v>45835</v>
      </c>
      <c r="E562" s="5">
        <v>45835</v>
      </c>
      <c r="F562" t="s">
        <v>21</v>
      </c>
      <c r="G562" t="s">
        <v>12</v>
      </c>
      <c r="H562" t="s">
        <v>13</v>
      </c>
      <c r="I562" t="s">
        <v>14</v>
      </c>
      <c r="J562" t="s">
        <v>57</v>
      </c>
      <c r="K562">
        <v>0.5</v>
      </c>
    </row>
    <row r="563" spans="1:11">
      <c r="A563">
        <v>2025</v>
      </c>
      <c r="B563">
        <v>2</v>
      </c>
      <c r="C563">
        <v>6</v>
      </c>
      <c r="D563" s="5">
        <v>45835</v>
      </c>
      <c r="E563" s="5">
        <v>45835</v>
      </c>
      <c r="F563" t="s">
        <v>21</v>
      </c>
      <c r="G563" t="s">
        <v>12</v>
      </c>
      <c r="H563" t="s">
        <v>13</v>
      </c>
      <c r="I563" t="s">
        <v>14</v>
      </c>
      <c r="J563" t="s">
        <v>80</v>
      </c>
      <c r="K563">
        <v>3.9</v>
      </c>
    </row>
    <row r="564" spans="1:11">
      <c r="A564">
        <v>2025</v>
      </c>
      <c r="B564">
        <v>2</v>
      </c>
      <c r="C564">
        <v>6</v>
      </c>
      <c r="D564" s="5">
        <v>45835</v>
      </c>
      <c r="E564" s="5">
        <v>45835</v>
      </c>
      <c r="F564" t="s">
        <v>21</v>
      </c>
      <c r="G564" t="s">
        <v>12</v>
      </c>
      <c r="H564" t="s">
        <v>13</v>
      </c>
      <c r="I564" t="s">
        <v>14</v>
      </c>
      <c r="J564" t="s">
        <v>77</v>
      </c>
      <c r="K564">
        <v>13.2</v>
      </c>
    </row>
    <row r="565" spans="1:11">
      <c r="A565">
        <v>2025</v>
      </c>
      <c r="B565">
        <v>2</v>
      </c>
      <c r="C565">
        <v>6</v>
      </c>
      <c r="D565" s="5">
        <v>45835</v>
      </c>
      <c r="E565" s="5">
        <v>45835</v>
      </c>
      <c r="F565" t="s">
        <v>21</v>
      </c>
      <c r="G565" t="s">
        <v>12</v>
      </c>
      <c r="H565" t="s">
        <v>13</v>
      </c>
      <c r="I565" t="s">
        <v>28</v>
      </c>
      <c r="J565" t="s">
        <v>29</v>
      </c>
      <c r="K565">
        <v>1.2</v>
      </c>
    </row>
    <row r="566" spans="1:11">
      <c r="A566">
        <v>2025</v>
      </c>
      <c r="B566">
        <v>2</v>
      </c>
      <c r="C566">
        <v>6</v>
      </c>
      <c r="D566" s="5">
        <v>45835</v>
      </c>
      <c r="E566" s="5">
        <v>45835</v>
      </c>
      <c r="F566" t="s">
        <v>25</v>
      </c>
      <c r="G566" t="s">
        <v>12</v>
      </c>
      <c r="H566" t="s">
        <v>13</v>
      </c>
      <c r="I566" t="s">
        <v>14</v>
      </c>
      <c r="J566" t="s">
        <v>79</v>
      </c>
      <c r="K566">
        <v>0.5</v>
      </c>
    </row>
    <row r="567" spans="1:11">
      <c r="A567">
        <v>2025</v>
      </c>
      <c r="B567">
        <v>2</v>
      </c>
      <c r="C567">
        <v>6</v>
      </c>
      <c r="D567" s="5">
        <v>45835</v>
      </c>
      <c r="E567" s="5">
        <v>45835</v>
      </c>
      <c r="F567" t="s">
        <v>25</v>
      </c>
      <c r="G567" t="s">
        <v>12</v>
      </c>
      <c r="H567" t="s">
        <v>13</v>
      </c>
      <c r="I567" t="s">
        <v>28</v>
      </c>
      <c r="J567" t="s">
        <v>29</v>
      </c>
      <c r="K567">
        <v>3.3</v>
      </c>
    </row>
    <row r="568" spans="1:11">
      <c r="A568">
        <v>2025</v>
      </c>
      <c r="B568">
        <v>2</v>
      </c>
      <c r="C568">
        <v>6</v>
      </c>
      <c r="D568" s="5">
        <v>45835</v>
      </c>
      <c r="E568" s="5">
        <v>45835</v>
      </c>
      <c r="F568" t="s">
        <v>25</v>
      </c>
      <c r="G568" t="s">
        <v>12</v>
      </c>
      <c r="H568" t="s">
        <v>13</v>
      </c>
      <c r="I568" t="s">
        <v>44</v>
      </c>
      <c r="J568" t="s">
        <v>45</v>
      </c>
      <c r="K568">
        <v>17.2</v>
      </c>
    </row>
    <row r="569" spans="1:11">
      <c r="A569">
        <v>2025</v>
      </c>
      <c r="B569">
        <v>2</v>
      </c>
      <c r="C569">
        <v>6</v>
      </c>
      <c r="D569" s="5">
        <v>45835</v>
      </c>
      <c r="E569" s="5">
        <v>45835</v>
      </c>
      <c r="F569" t="s">
        <v>25</v>
      </c>
      <c r="G569" t="s">
        <v>12</v>
      </c>
      <c r="H569" t="s">
        <v>13</v>
      </c>
      <c r="I569" t="s">
        <v>38</v>
      </c>
      <c r="J569" t="s">
        <v>46</v>
      </c>
      <c r="K569">
        <v>0.5</v>
      </c>
    </row>
    <row r="570" spans="1:11">
      <c r="A570">
        <v>2025</v>
      </c>
      <c r="B570">
        <v>2</v>
      </c>
      <c r="C570">
        <v>6</v>
      </c>
      <c r="D570" s="5">
        <v>45835</v>
      </c>
      <c r="E570" s="5">
        <v>45835</v>
      </c>
      <c r="F570" t="s">
        <v>25</v>
      </c>
      <c r="G570" t="s">
        <v>12</v>
      </c>
      <c r="H570" t="s">
        <v>13</v>
      </c>
      <c r="I570" t="s">
        <v>30</v>
      </c>
      <c r="J570" t="s">
        <v>67</v>
      </c>
      <c r="K570">
        <v>2.5</v>
      </c>
    </row>
    <row r="571" spans="1:11">
      <c r="A571">
        <v>2025</v>
      </c>
      <c r="B571">
        <v>2</v>
      </c>
      <c r="C571">
        <v>6</v>
      </c>
      <c r="D571" s="5">
        <v>45835</v>
      </c>
      <c r="E571" s="5">
        <v>45835</v>
      </c>
      <c r="F571" t="s">
        <v>25</v>
      </c>
      <c r="G571" t="s">
        <v>12</v>
      </c>
      <c r="H571" t="s">
        <v>13</v>
      </c>
      <c r="I571" t="s">
        <v>30</v>
      </c>
      <c r="J571" t="s">
        <v>62</v>
      </c>
      <c r="K571">
        <v>6.7</v>
      </c>
    </row>
    <row r="572" spans="1:11">
      <c r="A572">
        <v>2025</v>
      </c>
      <c r="B572">
        <v>2</v>
      </c>
      <c r="C572">
        <v>6</v>
      </c>
      <c r="D572" s="5">
        <v>45835</v>
      </c>
      <c r="E572" s="5">
        <v>45835</v>
      </c>
      <c r="F572" t="s">
        <v>25</v>
      </c>
      <c r="G572" t="s">
        <v>12</v>
      </c>
      <c r="H572" t="s">
        <v>13</v>
      </c>
      <c r="I572" t="s">
        <v>30</v>
      </c>
      <c r="J572" t="s">
        <v>68</v>
      </c>
      <c r="K572">
        <v>2.5</v>
      </c>
    </row>
    <row r="573" spans="1:11">
      <c r="A573">
        <v>2025</v>
      </c>
      <c r="B573">
        <v>2</v>
      </c>
      <c r="C573">
        <v>7</v>
      </c>
      <c r="D573" s="5">
        <v>45849</v>
      </c>
      <c r="E573" s="5">
        <v>45842</v>
      </c>
      <c r="F573" t="s">
        <v>32</v>
      </c>
      <c r="G573" t="s">
        <v>12</v>
      </c>
      <c r="H573" t="s">
        <v>13</v>
      </c>
      <c r="I573" t="s">
        <v>89</v>
      </c>
      <c r="J573" t="s">
        <v>90</v>
      </c>
      <c r="K573">
        <v>1</v>
      </c>
    </row>
    <row r="574" spans="1:11">
      <c r="A574">
        <v>2025</v>
      </c>
      <c r="B574">
        <v>2</v>
      </c>
      <c r="C574">
        <v>7</v>
      </c>
      <c r="D574" s="5">
        <v>45849</v>
      </c>
      <c r="E574" s="5">
        <v>45842</v>
      </c>
      <c r="F574" t="s">
        <v>32</v>
      </c>
      <c r="G574" t="s">
        <v>12</v>
      </c>
      <c r="H574" t="s">
        <v>13</v>
      </c>
      <c r="I574" t="s">
        <v>14</v>
      </c>
      <c r="J574" t="s">
        <v>54</v>
      </c>
      <c r="K574">
        <v>9</v>
      </c>
    </row>
    <row r="575" spans="1:11">
      <c r="A575">
        <v>2025</v>
      </c>
      <c r="B575">
        <v>2</v>
      </c>
      <c r="C575">
        <v>7</v>
      </c>
      <c r="D575" s="5">
        <v>45849</v>
      </c>
      <c r="E575" s="5">
        <v>45842</v>
      </c>
      <c r="F575" t="s">
        <v>11</v>
      </c>
      <c r="G575" t="s">
        <v>12</v>
      </c>
      <c r="H575" t="s">
        <v>13</v>
      </c>
      <c r="I575" t="s">
        <v>14</v>
      </c>
      <c r="J575" t="s">
        <v>24</v>
      </c>
      <c r="K575">
        <v>1.3</v>
      </c>
    </row>
    <row r="576" spans="1:11">
      <c r="A576">
        <v>2025</v>
      </c>
      <c r="B576">
        <v>2</v>
      </c>
      <c r="C576">
        <v>7</v>
      </c>
      <c r="D576" s="5">
        <v>45849</v>
      </c>
      <c r="E576" s="5">
        <v>45842</v>
      </c>
      <c r="F576" t="s">
        <v>11</v>
      </c>
      <c r="G576" t="s">
        <v>12</v>
      </c>
      <c r="H576" t="s">
        <v>13</v>
      </c>
      <c r="I576" t="s">
        <v>14</v>
      </c>
      <c r="J576" t="s">
        <v>15</v>
      </c>
      <c r="K576">
        <v>1.4</v>
      </c>
    </row>
    <row r="577" spans="1:11">
      <c r="A577">
        <v>2025</v>
      </c>
      <c r="B577">
        <v>2</v>
      </c>
      <c r="C577">
        <v>7</v>
      </c>
      <c r="D577" s="5">
        <v>45849</v>
      </c>
      <c r="E577" s="5">
        <v>45842</v>
      </c>
      <c r="F577" t="s">
        <v>11</v>
      </c>
      <c r="G577" t="s">
        <v>12</v>
      </c>
      <c r="H577" t="s">
        <v>13</v>
      </c>
      <c r="I577" t="s">
        <v>16</v>
      </c>
      <c r="J577" t="s">
        <v>87</v>
      </c>
      <c r="K577">
        <v>0.7</v>
      </c>
    </row>
    <row r="578" spans="1:11">
      <c r="A578">
        <v>2025</v>
      </c>
      <c r="B578">
        <v>2</v>
      </c>
      <c r="C578">
        <v>7</v>
      </c>
      <c r="D578" s="5">
        <v>45849</v>
      </c>
      <c r="E578" s="5">
        <v>45842</v>
      </c>
      <c r="F578" t="s">
        <v>11</v>
      </c>
      <c r="G578" t="s">
        <v>12</v>
      </c>
      <c r="H578" t="s">
        <v>13</v>
      </c>
      <c r="I578" t="s">
        <v>16</v>
      </c>
      <c r="J578" t="s">
        <v>61</v>
      </c>
      <c r="K578">
        <v>1.8</v>
      </c>
    </row>
    <row r="579" spans="1:11">
      <c r="A579">
        <v>2025</v>
      </c>
      <c r="B579">
        <v>2</v>
      </c>
      <c r="C579">
        <v>7</v>
      </c>
      <c r="D579" s="5">
        <v>45849</v>
      </c>
      <c r="E579" s="5">
        <v>45842</v>
      </c>
      <c r="F579" t="s">
        <v>11</v>
      </c>
      <c r="G579" t="s">
        <v>12</v>
      </c>
      <c r="H579" t="s">
        <v>13</v>
      </c>
      <c r="I579" t="s">
        <v>16</v>
      </c>
      <c r="J579" t="s">
        <v>85</v>
      </c>
      <c r="K579">
        <v>0.5</v>
      </c>
    </row>
    <row r="580" spans="1:11">
      <c r="A580">
        <v>2025</v>
      </c>
      <c r="B580">
        <v>2</v>
      </c>
      <c r="C580">
        <v>7</v>
      </c>
      <c r="D580" s="5">
        <v>45849</v>
      </c>
      <c r="E580" s="5">
        <v>45842</v>
      </c>
      <c r="F580" t="s">
        <v>21</v>
      </c>
      <c r="G580" t="s">
        <v>12</v>
      </c>
      <c r="H580" t="s">
        <v>13</v>
      </c>
      <c r="I580" t="s">
        <v>14</v>
      </c>
      <c r="J580" t="s">
        <v>23</v>
      </c>
      <c r="K580">
        <v>1.3</v>
      </c>
    </row>
    <row r="581" spans="1:11">
      <c r="A581">
        <v>2025</v>
      </c>
      <c r="B581">
        <v>2</v>
      </c>
      <c r="C581">
        <v>7</v>
      </c>
      <c r="D581" s="5">
        <v>45849</v>
      </c>
      <c r="E581" s="5">
        <v>45842</v>
      </c>
      <c r="F581" t="s">
        <v>21</v>
      </c>
      <c r="G581" t="s">
        <v>12</v>
      </c>
      <c r="H581" t="s">
        <v>13</v>
      </c>
      <c r="I581" t="s">
        <v>14</v>
      </c>
      <c r="J581" t="s">
        <v>80</v>
      </c>
      <c r="K581">
        <v>1.7</v>
      </c>
    </row>
    <row r="582" spans="1:11">
      <c r="A582">
        <v>2025</v>
      </c>
      <c r="B582">
        <v>2</v>
      </c>
      <c r="C582">
        <v>7</v>
      </c>
      <c r="D582" s="5">
        <v>45849</v>
      </c>
      <c r="E582" s="5">
        <v>45842</v>
      </c>
      <c r="F582" t="s">
        <v>21</v>
      </c>
      <c r="G582" t="s">
        <v>12</v>
      </c>
      <c r="H582" t="s">
        <v>13</v>
      </c>
      <c r="I582" t="s">
        <v>14</v>
      </c>
      <c r="J582" t="s">
        <v>77</v>
      </c>
      <c r="K582">
        <v>8.4</v>
      </c>
    </row>
    <row r="583" spans="1:11">
      <c r="A583">
        <v>2025</v>
      </c>
      <c r="B583">
        <v>2</v>
      </c>
      <c r="C583">
        <v>7</v>
      </c>
      <c r="D583" s="5">
        <v>45849</v>
      </c>
      <c r="E583" s="5">
        <v>45842</v>
      </c>
      <c r="F583" t="s">
        <v>25</v>
      </c>
      <c r="G583" t="s">
        <v>12</v>
      </c>
      <c r="H583" t="s">
        <v>13</v>
      </c>
      <c r="I583" t="s">
        <v>44</v>
      </c>
      <c r="J583" t="s">
        <v>45</v>
      </c>
      <c r="K583">
        <v>3.3</v>
      </c>
    </row>
    <row r="584" spans="1:11">
      <c r="A584">
        <v>2025</v>
      </c>
      <c r="B584">
        <v>2</v>
      </c>
      <c r="C584">
        <v>7</v>
      </c>
      <c r="D584" s="5">
        <v>45849</v>
      </c>
      <c r="E584" s="5">
        <v>45842</v>
      </c>
      <c r="F584" t="s">
        <v>25</v>
      </c>
      <c r="G584" t="s">
        <v>12</v>
      </c>
      <c r="H584" t="s">
        <v>13</v>
      </c>
      <c r="I584" t="s">
        <v>38</v>
      </c>
      <c r="J584" t="s">
        <v>46</v>
      </c>
      <c r="K584">
        <v>0.5</v>
      </c>
    </row>
    <row r="585" spans="1:11">
      <c r="A585">
        <v>2025</v>
      </c>
      <c r="B585">
        <v>2</v>
      </c>
      <c r="C585">
        <v>7</v>
      </c>
      <c r="D585" s="5">
        <v>45849</v>
      </c>
      <c r="E585" s="5">
        <v>45842</v>
      </c>
      <c r="F585" t="s">
        <v>25</v>
      </c>
      <c r="G585" t="s">
        <v>12</v>
      </c>
      <c r="H585" t="s">
        <v>13</v>
      </c>
      <c r="I585" t="s">
        <v>38</v>
      </c>
      <c r="J585" t="s">
        <v>91</v>
      </c>
      <c r="K585">
        <v>2.1</v>
      </c>
    </row>
    <row r="586" spans="1:11">
      <c r="A586">
        <v>2025</v>
      </c>
      <c r="B586">
        <v>2</v>
      </c>
      <c r="C586">
        <v>7</v>
      </c>
      <c r="D586" s="5">
        <v>45849</v>
      </c>
      <c r="E586" s="5">
        <v>45842</v>
      </c>
      <c r="F586" t="s">
        <v>25</v>
      </c>
      <c r="G586" t="s">
        <v>12</v>
      </c>
      <c r="H586" t="s">
        <v>13</v>
      </c>
      <c r="I586" t="s">
        <v>30</v>
      </c>
      <c r="J586" t="s">
        <v>67</v>
      </c>
      <c r="K586">
        <v>1</v>
      </c>
    </row>
    <row r="587" spans="1:11">
      <c r="A587">
        <v>2025</v>
      </c>
      <c r="B587">
        <v>2</v>
      </c>
      <c r="C587">
        <v>7</v>
      </c>
      <c r="D587" s="5">
        <v>45849</v>
      </c>
      <c r="E587" s="5">
        <v>45842</v>
      </c>
      <c r="F587" t="s">
        <v>25</v>
      </c>
      <c r="G587" t="s">
        <v>12</v>
      </c>
      <c r="H587" t="s">
        <v>13</v>
      </c>
      <c r="I587" t="s">
        <v>30</v>
      </c>
      <c r="J587" t="s">
        <v>92</v>
      </c>
      <c r="K587">
        <v>0.3</v>
      </c>
    </row>
    <row r="588" spans="1:11">
      <c r="A588">
        <v>2025</v>
      </c>
      <c r="B588">
        <v>3</v>
      </c>
      <c r="C588">
        <v>7</v>
      </c>
      <c r="D588" s="5">
        <v>45849</v>
      </c>
      <c r="E588" s="5">
        <v>45842</v>
      </c>
      <c r="F588" t="s">
        <v>32</v>
      </c>
      <c r="G588" t="s">
        <v>12</v>
      </c>
      <c r="H588" t="s">
        <v>13</v>
      </c>
      <c r="I588" t="s">
        <v>89</v>
      </c>
      <c r="J588" t="s">
        <v>90</v>
      </c>
      <c r="K588">
        <v>1</v>
      </c>
    </row>
    <row r="589" spans="1:11">
      <c r="A589">
        <v>2025</v>
      </c>
      <c r="B589">
        <v>3</v>
      </c>
      <c r="C589">
        <v>7</v>
      </c>
      <c r="D589" s="5">
        <v>45849</v>
      </c>
      <c r="E589" s="5">
        <v>45842</v>
      </c>
      <c r="F589" t="s">
        <v>32</v>
      </c>
      <c r="G589" t="s">
        <v>12</v>
      </c>
      <c r="H589" t="s">
        <v>13</v>
      </c>
      <c r="I589" t="s">
        <v>14</v>
      </c>
      <c r="J589" t="s">
        <v>54</v>
      </c>
      <c r="K589">
        <v>26</v>
      </c>
    </row>
    <row r="590" spans="1:11">
      <c r="A590">
        <v>2025</v>
      </c>
      <c r="B590">
        <v>3</v>
      </c>
      <c r="C590">
        <v>7</v>
      </c>
      <c r="D590" s="5">
        <v>45849</v>
      </c>
      <c r="E590" s="5">
        <v>45842</v>
      </c>
      <c r="F590" t="s">
        <v>32</v>
      </c>
      <c r="G590" t="s">
        <v>12</v>
      </c>
      <c r="H590" t="s">
        <v>13</v>
      </c>
      <c r="I590" t="s">
        <v>14</v>
      </c>
      <c r="J590" t="s">
        <v>56</v>
      </c>
      <c r="K590">
        <v>1</v>
      </c>
    </row>
    <row r="591" spans="1:11">
      <c r="A591">
        <v>2025</v>
      </c>
      <c r="B591">
        <v>3</v>
      </c>
      <c r="C591">
        <v>7</v>
      </c>
      <c r="D591" s="5">
        <v>45849</v>
      </c>
      <c r="E591" s="5">
        <v>45842</v>
      </c>
      <c r="F591" t="s">
        <v>11</v>
      </c>
      <c r="G591" t="s">
        <v>12</v>
      </c>
      <c r="H591" t="s">
        <v>13</v>
      </c>
      <c r="I591" t="s">
        <v>83</v>
      </c>
      <c r="J591" t="s">
        <v>64</v>
      </c>
      <c r="K591">
        <v>1.9</v>
      </c>
    </row>
    <row r="592" spans="1:11">
      <c r="A592">
        <v>2025</v>
      </c>
      <c r="B592">
        <v>3</v>
      </c>
      <c r="C592">
        <v>7</v>
      </c>
      <c r="D592" s="5">
        <v>45849</v>
      </c>
      <c r="E592" s="5">
        <v>45842</v>
      </c>
      <c r="F592" t="s">
        <v>11</v>
      </c>
      <c r="G592" t="s">
        <v>12</v>
      </c>
      <c r="H592" t="s">
        <v>13</v>
      </c>
      <c r="I592" t="s">
        <v>83</v>
      </c>
      <c r="J592" t="s">
        <v>86</v>
      </c>
      <c r="K592">
        <v>3</v>
      </c>
    </row>
    <row r="593" spans="1:11">
      <c r="A593">
        <v>2025</v>
      </c>
      <c r="B593">
        <v>3</v>
      </c>
      <c r="C593">
        <v>7</v>
      </c>
      <c r="D593" s="5">
        <v>45849</v>
      </c>
      <c r="E593" s="5">
        <v>45842</v>
      </c>
      <c r="F593" t="s">
        <v>11</v>
      </c>
      <c r="G593" t="s">
        <v>12</v>
      </c>
      <c r="H593" t="s">
        <v>13</v>
      </c>
      <c r="I593" t="s">
        <v>14</v>
      </c>
      <c r="J593" t="s">
        <v>24</v>
      </c>
      <c r="K593">
        <v>5.0999999999999996</v>
      </c>
    </row>
    <row r="594" spans="1:11">
      <c r="A594">
        <v>2025</v>
      </c>
      <c r="B594">
        <v>3</v>
      </c>
      <c r="C594">
        <v>7</v>
      </c>
      <c r="D594" s="5">
        <v>45849</v>
      </c>
      <c r="E594" s="5">
        <v>45842</v>
      </c>
      <c r="F594" t="s">
        <v>11</v>
      </c>
      <c r="G594" t="s">
        <v>12</v>
      </c>
      <c r="H594" t="s">
        <v>13</v>
      </c>
      <c r="I594" t="s">
        <v>14</v>
      </c>
      <c r="J594" t="s">
        <v>37</v>
      </c>
      <c r="K594">
        <v>0.5</v>
      </c>
    </row>
    <row r="595" spans="1:11">
      <c r="A595">
        <v>2025</v>
      </c>
      <c r="B595">
        <v>3</v>
      </c>
      <c r="C595">
        <v>7</v>
      </c>
      <c r="D595" s="5">
        <v>45849</v>
      </c>
      <c r="E595" s="5">
        <v>45842</v>
      </c>
      <c r="F595" t="s">
        <v>11</v>
      </c>
      <c r="G595" t="s">
        <v>12</v>
      </c>
      <c r="H595" t="s">
        <v>13</v>
      </c>
      <c r="I595" t="s">
        <v>14</v>
      </c>
      <c r="J595" t="s">
        <v>15</v>
      </c>
      <c r="K595">
        <v>2</v>
      </c>
    </row>
    <row r="596" spans="1:11">
      <c r="A596">
        <v>2025</v>
      </c>
      <c r="B596">
        <v>3</v>
      </c>
      <c r="C596">
        <v>7</v>
      </c>
      <c r="D596" s="5">
        <v>45849</v>
      </c>
      <c r="E596" s="5">
        <v>45842</v>
      </c>
      <c r="F596" t="s">
        <v>11</v>
      </c>
      <c r="G596" t="s">
        <v>12</v>
      </c>
      <c r="H596" t="s">
        <v>13</v>
      </c>
      <c r="I596" t="s">
        <v>44</v>
      </c>
      <c r="J596" t="s">
        <v>45</v>
      </c>
      <c r="K596">
        <v>2</v>
      </c>
    </row>
    <row r="597" spans="1:11">
      <c r="A597">
        <v>2025</v>
      </c>
      <c r="B597">
        <v>3</v>
      </c>
      <c r="C597">
        <v>7</v>
      </c>
      <c r="D597" s="5">
        <v>45849</v>
      </c>
      <c r="E597" s="5">
        <v>45842</v>
      </c>
      <c r="F597" t="s">
        <v>11</v>
      </c>
      <c r="G597" t="s">
        <v>12</v>
      </c>
      <c r="H597" t="s">
        <v>13</v>
      </c>
      <c r="I597" t="s">
        <v>16</v>
      </c>
      <c r="J597" t="s">
        <v>87</v>
      </c>
      <c r="K597">
        <v>1</v>
      </c>
    </row>
    <row r="598" spans="1:11">
      <c r="A598">
        <v>2025</v>
      </c>
      <c r="B598">
        <v>3</v>
      </c>
      <c r="C598">
        <v>7</v>
      </c>
      <c r="D598" s="5">
        <v>45849</v>
      </c>
      <c r="E598" s="5">
        <v>45842</v>
      </c>
      <c r="F598" t="s">
        <v>11</v>
      </c>
      <c r="G598" t="s">
        <v>12</v>
      </c>
      <c r="H598" t="s">
        <v>13</v>
      </c>
      <c r="I598" t="s">
        <v>16</v>
      </c>
      <c r="J598" t="s">
        <v>93</v>
      </c>
      <c r="K598">
        <v>1.9</v>
      </c>
    </row>
    <row r="599" spans="1:11">
      <c r="A599">
        <v>2025</v>
      </c>
      <c r="B599">
        <v>3</v>
      </c>
      <c r="C599">
        <v>7</v>
      </c>
      <c r="D599" s="5">
        <v>45849</v>
      </c>
      <c r="E599" s="5">
        <v>45842</v>
      </c>
      <c r="F599" t="s">
        <v>41</v>
      </c>
      <c r="G599" t="s">
        <v>12</v>
      </c>
      <c r="H599" t="s">
        <v>13</v>
      </c>
      <c r="I599" t="s">
        <v>14</v>
      </c>
      <c r="J599" t="s">
        <v>56</v>
      </c>
      <c r="K599">
        <v>1.5</v>
      </c>
    </row>
    <row r="600" spans="1:11">
      <c r="A600">
        <v>2025</v>
      </c>
      <c r="B600">
        <v>3</v>
      </c>
      <c r="C600">
        <v>7</v>
      </c>
      <c r="D600" s="5">
        <v>45849</v>
      </c>
      <c r="E600" s="5">
        <v>45842</v>
      </c>
      <c r="F600" t="s">
        <v>21</v>
      </c>
      <c r="G600" t="s">
        <v>12</v>
      </c>
      <c r="H600" t="s">
        <v>13</v>
      </c>
      <c r="I600" t="s">
        <v>14</v>
      </c>
      <c r="J600" t="s">
        <v>24</v>
      </c>
      <c r="K600">
        <v>1.2</v>
      </c>
    </row>
    <row r="601" spans="1:11">
      <c r="A601">
        <v>2025</v>
      </c>
      <c r="B601">
        <v>3</v>
      </c>
      <c r="C601">
        <v>7</v>
      </c>
      <c r="D601" s="5">
        <v>45849</v>
      </c>
      <c r="E601" s="5">
        <v>45842</v>
      </c>
      <c r="F601" t="s">
        <v>21</v>
      </c>
      <c r="G601" t="s">
        <v>12</v>
      </c>
      <c r="H601" t="s">
        <v>13</v>
      </c>
      <c r="I601" t="s">
        <v>14</v>
      </c>
      <c r="J601" t="s">
        <v>23</v>
      </c>
      <c r="K601">
        <v>20.6</v>
      </c>
    </row>
    <row r="602" spans="1:11">
      <c r="A602">
        <v>2025</v>
      </c>
      <c r="B602">
        <v>3</v>
      </c>
      <c r="C602">
        <v>7</v>
      </c>
      <c r="D602" s="5">
        <v>45849</v>
      </c>
      <c r="E602" s="5">
        <v>45842</v>
      </c>
      <c r="F602" t="s">
        <v>21</v>
      </c>
      <c r="G602" t="s">
        <v>12</v>
      </c>
      <c r="H602" t="s">
        <v>13</v>
      </c>
      <c r="I602" t="s">
        <v>14</v>
      </c>
      <c r="J602" t="s">
        <v>80</v>
      </c>
      <c r="K602">
        <v>3.8</v>
      </c>
    </row>
    <row r="603" spans="1:11">
      <c r="A603">
        <v>2025</v>
      </c>
      <c r="B603">
        <v>3</v>
      </c>
      <c r="C603">
        <v>7</v>
      </c>
      <c r="D603" s="5">
        <v>45849</v>
      </c>
      <c r="E603" s="5">
        <v>45842</v>
      </c>
      <c r="F603" t="s">
        <v>21</v>
      </c>
      <c r="G603" t="s">
        <v>12</v>
      </c>
      <c r="H603" t="s">
        <v>13</v>
      </c>
      <c r="I603" t="s">
        <v>14</v>
      </c>
      <c r="J603" t="s">
        <v>77</v>
      </c>
      <c r="K603">
        <v>3.4</v>
      </c>
    </row>
    <row r="604" spans="1:11">
      <c r="A604">
        <v>2025</v>
      </c>
      <c r="B604">
        <v>3</v>
      </c>
      <c r="C604">
        <v>7</v>
      </c>
      <c r="D604" s="5">
        <v>45849</v>
      </c>
      <c r="E604" s="5">
        <v>45842</v>
      </c>
      <c r="F604" t="s">
        <v>21</v>
      </c>
      <c r="G604" t="s">
        <v>12</v>
      </c>
      <c r="H604" t="s">
        <v>13</v>
      </c>
      <c r="I604" t="s">
        <v>28</v>
      </c>
      <c r="J604" t="s">
        <v>29</v>
      </c>
      <c r="K604">
        <v>0.8</v>
      </c>
    </row>
    <row r="605" spans="1:11">
      <c r="A605">
        <v>2025</v>
      </c>
      <c r="B605">
        <v>3</v>
      </c>
      <c r="C605">
        <v>7</v>
      </c>
      <c r="D605" s="5">
        <v>45849</v>
      </c>
      <c r="E605" s="5">
        <v>45842</v>
      </c>
      <c r="F605" t="s">
        <v>25</v>
      </c>
      <c r="G605" t="s">
        <v>12</v>
      </c>
      <c r="H605" t="s">
        <v>13</v>
      </c>
      <c r="I605" t="s">
        <v>14</v>
      </c>
      <c r="J605" t="s">
        <v>37</v>
      </c>
      <c r="K605">
        <v>1</v>
      </c>
    </row>
    <row r="606" spans="1:11">
      <c r="A606">
        <v>2025</v>
      </c>
      <c r="B606">
        <v>3</v>
      </c>
      <c r="C606">
        <v>7</v>
      </c>
      <c r="D606" s="5">
        <v>45849</v>
      </c>
      <c r="E606" s="5">
        <v>45842</v>
      </c>
      <c r="F606" t="s">
        <v>25</v>
      </c>
      <c r="G606" t="s">
        <v>12</v>
      </c>
      <c r="H606" t="s">
        <v>13</v>
      </c>
      <c r="I606" t="s">
        <v>28</v>
      </c>
      <c r="J606" t="s">
        <v>29</v>
      </c>
      <c r="K606">
        <v>0.9</v>
      </c>
    </row>
    <row r="607" spans="1:11">
      <c r="A607">
        <v>2025</v>
      </c>
      <c r="B607">
        <v>3</v>
      </c>
      <c r="C607">
        <v>7</v>
      </c>
      <c r="D607" s="5">
        <v>45849</v>
      </c>
      <c r="E607" s="5">
        <v>45842</v>
      </c>
      <c r="F607" t="s">
        <v>25</v>
      </c>
      <c r="G607" t="s">
        <v>12</v>
      </c>
      <c r="H607" t="s">
        <v>13</v>
      </c>
      <c r="I607" t="s">
        <v>44</v>
      </c>
      <c r="J607" t="s">
        <v>45</v>
      </c>
      <c r="K607">
        <v>15.3</v>
      </c>
    </row>
    <row r="608" spans="1:11">
      <c r="A608">
        <v>2025</v>
      </c>
      <c r="B608">
        <v>3</v>
      </c>
      <c r="C608">
        <v>7</v>
      </c>
      <c r="D608" s="5">
        <v>45849</v>
      </c>
      <c r="E608" s="5">
        <v>45842</v>
      </c>
      <c r="F608" t="s">
        <v>25</v>
      </c>
      <c r="G608" t="s">
        <v>12</v>
      </c>
      <c r="H608" t="s">
        <v>13</v>
      </c>
      <c r="I608" t="s">
        <v>38</v>
      </c>
      <c r="J608" t="s">
        <v>46</v>
      </c>
      <c r="K608">
        <v>0.6</v>
      </c>
    </row>
    <row r="609" spans="1:11">
      <c r="A609">
        <v>2025</v>
      </c>
      <c r="B609">
        <v>3</v>
      </c>
      <c r="C609">
        <v>7</v>
      </c>
      <c r="D609" s="5">
        <v>45849</v>
      </c>
      <c r="E609" s="5">
        <v>45842</v>
      </c>
      <c r="F609" t="s">
        <v>25</v>
      </c>
      <c r="G609" t="s">
        <v>12</v>
      </c>
      <c r="H609" t="s">
        <v>13</v>
      </c>
      <c r="I609" t="s">
        <v>30</v>
      </c>
      <c r="J609" t="s">
        <v>67</v>
      </c>
      <c r="K609">
        <v>1.9</v>
      </c>
    </row>
    <row r="610" spans="1:11">
      <c r="A610">
        <v>2025</v>
      </c>
      <c r="B610">
        <v>3</v>
      </c>
      <c r="C610">
        <v>7</v>
      </c>
      <c r="D610" s="5">
        <v>45849</v>
      </c>
      <c r="E610" s="5">
        <v>45842</v>
      </c>
      <c r="F610" t="s">
        <v>25</v>
      </c>
      <c r="G610" t="s">
        <v>12</v>
      </c>
      <c r="H610" t="s">
        <v>13</v>
      </c>
      <c r="I610" t="s">
        <v>30</v>
      </c>
      <c r="J610" t="s">
        <v>68</v>
      </c>
      <c r="K610">
        <v>1</v>
      </c>
    </row>
    <row r="611" spans="1:11">
      <c r="A611">
        <v>2025</v>
      </c>
      <c r="B611">
        <v>3</v>
      </c>
      <c r="C611">
        <v>7</v>
      </c>
      <c r="D611" s="5">
        <v>45849</v>
      </c>
      <c r="E611" s="5">
        <v>45849</v>
      </c>
      <c r="F611" t="s">
        <v>32</v>
      </c>
      <c r="G611" t="s">
        <v>12</v>
      </c>
      <c r="H611" t="s">
        <v>13</v>
      </c>
      <c r="I611" t="s">
        <v>14</v>
      </c>
      <c r="J611" t="s">
        <v>54</v>
      </c>
      <c r="K611">
        <v>27.5</v>
      </c>
    </row>
    <row r="612" spans="1:11">
      <c r="A612">
        <v>2025</v>
      </c>
      <c r="B612">
        <v>3</v>
      </c>
      <c r="C612">
        <v>7</v>
      </c>
      <c r="D612" s="5">
        <v>45849</v>
      </c>
      <c r="E612" s="5">
        <v>45849</v>
      </c>
      <c r="F612" t="s">
        <v>32</v>
      </c>
      <c r="G612" t="s">
        <v>12</v>
      </c>
      <c r="H612" t="s">
        <v>13</v>
      </c>
      <c r="I612" t="s">
        <v>44</v>
      </c>
      <c r="J612" t="s">
        <v>94</v>
      </c>
      <c r="K612">
        <v>14.5</v>
      </c>
    </row>
    <row r="613" spans="1:11">
      <c r="A613">
        <v>2025</v>
      </c>
      <c r="B613">
        <v>3</v>
      </c>
      <c r="C613">
        <v>7</v>
      </c>
      <c r="D613" s="5">
        <v>45849</v>
      </c>
      <c r="E613" s="5">
        <v>45849</v>
      </c>
      <c r="F613" t="s">
        <v>11</v>
      </c>
      <c r="G613" t="s">
        <v>12</v>
      </c>
      <c r="H613" t="s">
        <v>13</v>
      </c>
      <c r="I613" t="s">
        <v>83</v>
      </c>
      <c r="J613" t="s">
        <v>86</v>
      </c>
      <c r="K613">
        <v>1.3</v>
      </c>
    </row>
    <row r="614" spans="1:11">
      <c r="A614">
        <v>2025</v>
      </c>
      <c r="B614">
        <v>3</v>
      </c>
      <c r="C614">
        <v>7</v>
      </c>
      <c r="D614" s="5">
        <v>45849</v>
      </c>
      <c r="E614" s="5">
        <v>45849</v>
      </c>
      <c r="F614" t="s">
        <v>11</v>
      </c>
      <c r="G614" t="s">
        <v>12</v>
      </c>
      <c r="H614" t="s">
        <v>13</v>
      </c>
      <c r="I614" t="s">
        <v>14</v>
      </c>
      <c r="J614" t="s">
        <v>24</v>
      </c>
      <c r="K614">
        <v>0.7</v>
      </c>
    </row>
    <row r="615" spans="1:11">
      <c r="A615">
        <v>2025</v>
      </c>
      <c r="B615">
        <v>3</v>
      </c>
      <c r="C615">
        <v>7</v>
      </c>
      <c r="D615" s="5">
        <v>45849</v>
      </c>
      <c r="E615" s="5">
        <v>45849</v>
      </c>
      <c r="F615" t="s">
        <v>11</v>
      </c>
      <c r="G615" t="s">
        <v>12</v>
      </c>
      <c r="H615" t="s">
        <v>13</v>
      </c>
      <c r="I615" t="s">
        <v>14</v>
      </c>
      <c r="J615" t="s">
        <v>37</v>
      </c>
      <c r="K615">
        <v>0.5</v>
      </c>
    </row>
    <row r="616" spans="1:11">
      <c r="A616">
        <v>2025</v>
      </c>
      <c r="B616">
        <v>3</v>
      </c>
      <c r="C616">
        <v>7</v>
      </c>
      <c r="D616" s="5">
        <v>45849</v>
      </c>
      <c r="E616" s="5">
        <v>45849</v>
      </c>
      <c r="F616" t="s">
        <v>11</v>
      </c>
      <c r="G616" t="s">
        <v>12</v>
      </c>
      <c r="H616" t="s">
        <v>13</v>
      </c>
      <c r="I616" t="s">
        <v>44</v>
      </c>
      <c r="J616" t="s">
        <v>45</v>
      </c>
      <c r="K616">
        <v>2.7</v>
      </c>
    </row>
    <row r="617" spans="1:11">
      <c r="A617">
        <v>2025</v>
      </c>
      <c r="B617">
        <v>3</v>
      </c>
      <c r="C617">
        <v>7</v>
      </c>
      <c r="D617" s="5">
        <v>45849</v>
      </c>
      <c r="E617" s="5">
        <v>45849</v>
      </c>
      <c r="F617" t="s">
        <v>11</v>
      </c>
      <c r="G617" t="s">
        <v>12</v>
      </c>
      <c r="H617" t="s">
        <v>13</v>
      </c>
      <c r="I617" t="s">
        <v>16</v>
      </c>
      <c r="J617" t="s">
        <v>17</v>
      </c>
      <c r="K617">
        <v>10</v>
      </c>
    </row>
    <row r="618" spans="1:11">
      <c r="A618">
        <v>2025</v>
      </c>
      <c r="B618">
        <v>3</v>
      </c>
      <c r="C618">
        <v>7</v>
      </c>
      <c r="D618" s="5">
        <v>45849</v>
      </c>
      <c r="E618" s="5">
        <v>45849</v>
      </c>
      <c r="F618" t="s">
        <v>11</v>
      </c>
      <c r="G618" t="s">
        <v>12</v>
      </c>
      <c r="H618" t="s">
        <v>13</v>
      </c>
      <c r="I618" t="s">
        <v>16</v>
      </c>
      <c r="J618" t="s">
        <v>64</v>
      </c>
      <c r="K618">
        <v>3</v>
      </c>
    </row>
    <row r="619" spans="1:11">
      <c r="A619">
        <v>2025</v>
      </c>
      <c r="B619">
        <v>3</v>
      </c>
      <c r="C619">
        <v>7</v>
      </c>
      <c r="D619" s="5">
        <v>45849</v>
      </c>
      <c r="E619" s="5">
        <v>45849</v>
      </c>
      <c r="F619" t="s">
        <v>11</v>
      </c>
      <c r="G619" t="s">
        <v>12</v>
      </c>
      <c r="H619" t="s">
        <v>13</v>
      </c>
      <c r="I619" t="s">
        <v>16</v>
      </c>
      <c r="J619" t="s">
        <v>40</v>
      </c>
      <c r="K619">
        <v>7.3</v>
      </c>
    </row>
    <row r="620" spans="1:11">
      <c r="A620">
        <v>2025</v>
      </c>
      <c r="B620">
        <v>3</v>
      </c>
      <c r="C620">
        <v>7</v>
      </c>
      <c r="D620" s="5">
        <v>45849</v>
      </c>
      <c r="E620" s="5">
        <v>45849</v>
      </c>
      <c r="F620" t="s">
        <v>11</v>
      </c>
      <c r="G620" t="s">
        <v>12</v>
      </c>
      <c r="H620" t="s">
        <v>13</v>
      </c>
      <c r="I620" t="s">
        <v>16</v>
      </c>
      <c r="J620" t="s">
        <v>74</v>
      </c>
      <c r="K620">
        <v>1.1000000000000001</v>
      </c>
    </row>
    <row r="621" spans="1:11">
      <c r="A621">
        <v>2025</v>
      </c>
      <c r="B621">
        <v>3</v>
      </c>
      <c r="C621">
        <v>7</v>
      </c>
      <c r="D621" s="5">
        <v>45849</v>
      </c>
      <c r="E621" s="5">
        <v>45849</v>
      </c>
      <c r="F621" t="s">
        <v>11</v>
      </c>
      <c r="G621" t="s">
        <v>12</v>
      </c>
      <c r="H621" t="s">
        <v>13</v>
      </c>
      <c r="I621" t="s">
        <v>16</v>
      </c>
      <c r="J621" t="s">
        <v>85</v>
      </c>
      <c r="K621">
        <v>8.6</v>
      </c>
    </row>
    <row r="622" spans="1:11">
      <c r="A622">
        <v>2025</v>
      </c>
      <c r="B622">
        <v>3</v>
      </c>
      <c r="C622">
        <v>7</v>
      </c>
      <c r="D622" s="5">
        <v>45849</v>
      </c>
      <c r="E622" s="5">
        <v>45849</v>
      </c>
      <c r="F622" t="s">
        <v>21</v>
      </c>
      <c r="G622" t="s">
        <v>12</v>
      </c>
      <c r="H622" t="s">
        <v>13</v>
      </c>
      <c r="I622" t="s">
        <v>14</v>
      </c>
      <c r="J622" t="s">
        <v>23</v>
      </c>
      <c r="K622">
        <v>16</v>
      </c>
    </row>
    <row r="623" spans="1:11">
      <c r="A623">
        <v>2025</v>
      </c>
      <c r="B623">
        <v>3</v>
      </c>
      <c r="C623">
        <v>7</v>
      </c>
      <c r="D623" s="5">
        <v>45849</v>
      </c>
      <c r="E623" s="5">
        <v>45849</v>
      </c>
      <c r="F623" t="s">
        <v>21</v>
      </c>
      <c r="G623" t="s">
        <v>12</v>
      </c>
      <c r="H623" t="s">
        <v>13</v>
      </c>
      <c r="I623" t="s">
        <v>14</v>
      </c>
      <c r="J623" t="s">
        <v>57</v>
      </c>
      <c r="K623">
        <v>0.5</v>
      </c>
    </row>
    <row r="624" spans="1:11">
      <c r="A624">
        <v>2025</v>
      </c>
      <c r="B624">
        <v>3</v>
      </c>
      <c r="C624">
        <v>7</v>
      </c>
      <c r="D624" s="5">
        <v>45849</v>
      </c>
      <c r="E624" s="5">
        <v>45849</v>
      </c>
      <c r="F624" t="s">
        <v>21</v>
      </c>
      <c r="G624" t="s">
        <v>12</v>
      </c>
      <c r="H624" t="s">
        <v>13</v>
      </c>
      <c r="I624" t="s">
        <v>14</v>
      </c>
      <c r="J624" t="s">
        <v>80</v>
      </c>
      <c r="K624">
        <v>2.1</v>
      </c>
    </row>
    <row r="625" spans="1:11">
      <c r="A625">
        <v>2025</v>
      </c>
      <c r="B625">
        <v>3</v>
      </c>
      <c r="C625">
        <v>7</v>
      </c>
      <c r="D625" s="5">
        <v>45849</v>
      </c>
      <c r="E625" s="5">
        <v>45849</v>
      </c>
      <c r="F625" t="s">
        <v>21</v>
      </c>
      <c r="G625" t="s">
        <v>12</v>
      </c>
      <c r="H625" t="s">
        <v>13</v>
      </c>
      <c r="I625" t="s">
        <v>14</v>
      </c>
      <c r="J625" t="s">
        <v>77</v>
      </c>
      <c r="K625">
        <v>21.4</v>
      </c>
    </row>
    <row r="626" spans="1:11">
      <c r="A626">
        <v>2025</v>
      </c>
      <c r="B626">
        <v>3</v>
      </c>
      <c r="C626">
        <v>7</v>
      </c>
      <c r="D626" s="5">
        <v>45849</v>
      </c>
      <c r="E626" s="5">
        <v>45849</v>
      </c>
      <c r="F626" t="s">
        <v>21</v>
      </c>
      <c r="G626" t="s">
        <v>12</v>
      </c>
      <c r="H626" t="s">
        <v>13</v>
      </c>
      <c r="I626" t="s">
        <v>28</v>
      </c>
      <c r="J626" t="s">
        <v>95</v>
      </c>
      <c r="K626">
        <v>1</v>
      </c>
    </row>
    <row r="627" spans="1:11">
      <c r="A627">
        <v>2025</v>
      </c>
      <c r="B627">
        <v>3</v>
      </c>
      <c r="C627">
        <v>7</v>
      </c>
      <c r="D627" s="5">
        <v>45849</v>
      </c>
      <c r="E627" s="5">
        <v>45849</v>
      </c>
      <c r="F627" t="s">
        <v>21</v>
      </c>
      <c r="G627" t="s">
        <v>12</v>
      </c>
      <c r="H627" t="s">
        <v>13</v>
      </c>
      <c r="I627" t="s">
        <v>28</v>
      </c>
      <c r="J627" t="s">
        <v>29</v>
      </c>
      <c r="K627">
        <v>1.3</v>
      </c>
    </row>
    <row r="628" spans="1:11">
      <c r="A628">
        <v>2025</v>
      </c>
      <c r="B628">
        <v>3</v>
      </c>
      <c r="C628">
        <v>7</v>
      </c>
      <c r="D628" s="5">
        <v>45849</v>
      </c>
      <c r="E628" s="5">
        <v>45849</v>
      </c>
      <c r="F628" t="s">
        <v>25</v>
      </c>
      <c r="G628" t="s">
        <v>12</v>
      </c>
      <c r="H628" t="s">
        <v>13</v>
      </c>
      <c r="I628" t="s">
        <v>14</v>
      </c>
      <c r="J628" t="s">
        <v>37</v>
      </c>
      <c r="K628">
        <v>1</v>
      </c>
    </row>
    <row r="629" spans="1:11">
      <c r="A629">
        <v>2025</v>
      </c>
      <c r="B629">
        <v>3</v>
      </c>
      <c r="C629">
        <v>7</v>
      </c>
      <c r="D629" s="5">
        <v>45849</v>
      </c>
      <c r="E629" s="5">
        <v>45849</v>
      </c>
      <c r="F629" t="s">
        <v>25</v>
      </c>
      <c r="G629" t="s">
        <v>12</v>
      </c>
      <c r="H629" t="s">
        <v>13</v>
      </c>
      <c r="I629" t="s">
        <v>28</v>
      </c>
      <c r="J629" t="s">
        <v>29</v>
      </c>
      <c r="K629">
        <v>6.4</v>
      </c>
    </row>
    <row r="630" spans="1:11">
      <c r="A630">
        <v>2025</v>
      </c>
      <c r="B630">
        <v>3</v>
      </c>
      <c r="C630">
        <v>7</v>
      </c>
      <c r="D630" s="5">
        <v>45849</v>
      </c>
      <c r="E630" s="5">
        <v>45849</v>
      </c>
      <c r="F630" t="s">
        <v>25</v>
      </c>
      <c r="G630" t="s">
        <v>12</v>
      </c>
      <c r="H630" t="s">
        <v>13</v>
      </c>
      <c r="I630" t="s">
        <v>44</v>
      </c>
      <c r="J630" t="s">
        <v>45</v>
      </c>
      <c r="K630">
        <v>19.600000000000001</v>
      </c>
    </row>
    <row r="631" spans="1:11">
      <c r="A631">
        <v>2025</v>
      </c>
      <c r="B631">
        <v>3</v>
      </c>
      <c r="C631">
        <v>7</v>
      </c>
      <c r="D631" s="5">
        <v>45849</v>
      </c>
      <c r="E631" s="5">
        <v>45849</v>
      </c>
      <c r="F631" t="s">
        <v>25</v>
      </c>
      <c r="G631" t="s">
        <v>12</v>
      </c>
      <c r="H631" t="s">
        <v>13</v>
      </c>
      <c r="I631" t="s">
        <v>38</v>
      </c>
      <c r="J631" t="s">
        <v>46</v>
      </c>
      <c r="K631">
        <v>0.8</v>
      </c>
    </row>
    <row r="632" spans="1:11">
      <c r="A632">
        <v>2025</v>
      </c>
      <c r="B632">
        <v>3</v>
      </c>
      <c r="C632">
        <v>7</v>
      </c>
      <c r="D632" s="5">
        <v>45849</v>
      </c>
      <c r="E632" s="5">
        <v>45849</v>
      </c>
      <c r="F632" t="s">
        <v>25</v>
      </c>
      <c r="G632" t="s">
        <v>12</v>
      </c>
      <c r="H632" t="s">
        <v>13</v>
      </c>
      <c r="I632" t="s">
        <v>38</v>
      </c>
      <c r="J632" t="s">
        <v>91</v>
      </c>
      <c r="K632">
        <v>0.8</v>
      </c>
    </row>
    <row r="633" spans="1:11">
      <c r="A633">
        <v>2025</v>
      </c>
      <c r="B633">
        <v>3</v>
      </c>
      <c r="C633">
        <v>7</v>
      </c>
      <c r="D633" s="5">
        <v>45849</v>
      </c>
      <c r="E633" s="5">
        <v>45849</v>
      </c>
      <c r="F633" t="s">
        <v>25</v>
      </c>
      <c r="G633" t="s">
        <v>12</v>
      </c>
      <c r="H633" t="s">
        <v>13</v>
      </c>
      <c r="I633" t="s">
        <v>38</v>
      </c>
      <c r="J633" t="s">
        <v>51</v>
      </c>
      <c r="K633">
        <v>0.6</v>
      </c>
    </row>
    <row r="634" spans="1:11">
      <c r="A634">
        <v>2025</v>
      </c>
      <c r="B634">
        <v>3</v>
      </c>
      <c r="C634">
        <v>7</v>
      </c>
      <c r="D634" s="5">
        <v>45849</v>
      </c>
      <c r="E634" s="5">
        <v>45849</v>
      </c>
      <c r="F634" t="s">
        <v>25</v>
      </c>
      <c r="G634" t="s">
        <v>12</v>
      </c>
      <c r="H634" t="s">
        <v>13</v>
      </c>
      <c r="I634" t="s">
        <v>30</v>
      </c>
      <c r="J634" t="s">
        <v>67</v>
      </c>
      <c r="K634">
        <v>2.8</v>
      </c>
    </row>
    <row r="635" spans="1:11">
      <c r="A635">
        <v>2025</v>
      </c>
      <c r="B635">
        <v>3</v>
      </c>
      <c r="C635">
        <v>7</v>
      </c>
      <c r="D635" s="5">
        <v>45849</v>
      </c>
      <c r="E635" s="5">
        <v>45849</v>
      </c>
      <c r="F635" t="s">
        <v>25</v>
      </c>
      <c r="G635" t="s">
        <v>12</v>
      </c>
      <c r="H635" t="s">
        <v>13</v>
      </c>
      <c r="I635" t="s">
        <v>30</v>
      </c>
      <c r="J635" t="s">
        <v>62</v>
      </c>
      <c r="K635">
        <v>1.5</v>
      </c>
    </row>
    <row r="636" spans="1:11">
      <c r="A636">
        <v>2025</v>
      </c>
      <c r="B636">
        <v>3</v>
      </c>
      <c r="C636">
        <v>7</v>
      </c>
      <c r="D636" s="5">
        <v>45849</v>
      </c>
      <c r="E636" s="5">
        <v>45849</v>
      </c>
      <c r="F636" t="s">
        <v>25</v>
      </c>
      <c r="G636" t="s">
        <v>12</v>
      </c>
      <c r="H636" t="s">
        <v>13</v>
      </c>
      <c r="I636" t="s">
        <v>30</v>
      </c>
      <c r="J636" t="s">
        <v>68</v>
      </c>
      <c r="K636">
        <v>3.8</v>
      </c>
    </row>
    <row r="637" spans="1:11">
      <c r="A637">
        <v>2025</v>
      </c>
      <c r="B637">
        <v>3</v>
      </c>
      <c r="C637">
        <v>7</v>
      </c>
      <c r="D637" s="5">
        <v>45863</v>
      </c>
      <c r="E637" s="5">
        <v>45856</v>
      </c>
      <c r="F637" t="s">
        <v>32</v>
      </c>
      <c r="G637" t="s">
        <v>12</v>
      </c>
      <c r="H637" t="s">
        <v>13</v>
      </c>
      <c r="I637" t="s">
        <v>14</v>
      </c>
      <c r="J637" t="s">
        <v>54</v>
      </c>
      <c r="K637">
        <v>17</v>
      </c>
    </row>
    <row r="638" spans="1:11">
      <c r="A638">
        <v>2025</v>
      </c>
      <c r="B638">
        <v>3</v>
      </c>
      <c r="C638">
        <v>7</v>
      </c>
      <c r="D638" s="5">
        <v>45863</v>
      </c>
      <c r="E638" s="5">
        <v>45856</v>
      </c>
      <c r="F638" t="s">
        <v>11</v>
      </c>
      <c r="G638" t="s">
        <v>12</v>
      </c>
      <c r="H638" t="s">
        <v>13</v>
      </c>
      <c r="I638" t="s">
        <v>83</v>
      </c>
      <c r="J638" t="s">
        <v>84</v>
      </c>
      <c r="K638">
        <v>1</v>
      </c>
    </row>
    <row r="639" spans="1:11">
      <c r="A639">
        <v>2025</v>
      </c>
      <c r="B639">
        <v>3</v>
      </c>
      <c r="C639">
        <v>7</v>
      </c>
      <c r="D639" s="5">
        <v>45863</v>
      </c>
      <c r="E639" s="5">
        <v>45856</v>
      </c>
      <c r="F639" t="s">
        <v>11</v>
      </c>
      <c r="G639" t="s">
        <v>12</v>
      </c>
      <c r="H639" t="s">
        <v>13</v>
      </c>
      <c r="I639" t="s">
        <v>96</v>
      </c>
      <c r="J639" t="s">
        <v>97</v>
      </c>
      <c r="K639">
        <v>1.5</v>
      </c>
    </row>
    <row r="640" spans="1:11">
      <c r="A640">
        <v>2025</v>
      </c>
      <c r="B640">
        <v>3</v>
      </c>
      <c r="C640">
        <v>7</v>
      </c>
      <c r="D640" s="5">
        <v>45863</v>
      </c>
      <c r="E640" s="5">
        <v>45856</v>
      </c>
      <c r="F640" t="s">
        <v>11</v>
      </c>
      <c r="G640" t="s">
        <v>12</v>
      </c>
      <c r="H640" t="s">
        <v>13</v>
      </c>
      <c r="I640" t="s">
        <v>14</v>
      </c>
      <c r="J640" t="s">
        <v>24</v>
      </c>
      <c r="K640">
        <v>0.8</v>
      </c>
    </row>
    <row r="641" spans="1:11">
      <c r="A641">
        <v>2025</v>
      </c>
      <c r="B641">
        <v>3</v>
      </c>
      <c r="C641">
        <v>7</v>
      </c>
      <c r="D641" s="5">
        <v>45863</v>
      </c>
      <c r="E641" s="5">
        <v>45856</v>
      </c>
      <c r="F641" t="s">
        <v>11</v>
      </c>
      <c r="G641" t="s">
        <v>12</v>
      </c>
      <c r="H641" t="s">
        <v>13</v>
      </c>
      <c r="I641" t="s">
        <v>14</v>
      </c>
      <c r="J641" t="s">
        <v>15</v>
      </c>
      <c r="K641">
        <v>1</v>
      </c>
    </row>
    <row r="642" spans="1:11">
      <c r="A642">
        <v>2025</v>
      </c>
      <c r="B642">
        <v>3</v>
      </c>
      <c r="C642">
        <v>7</v>
      </c>
      <c r="D642" s="5">
        <v>45863</v>
      </c>
      <c r="E642" s="5">
        <v>45856</v>
      </c>
      <c r="F642" t="s">
        <v>11</v>
      </c>
      <c r="G642" t="s">
        <v>12</v>
      </c>
      <c r="H642" t="s">
        <v>13</v>
      </c>
      <c r="I642" t="s">
        <v>44</v>
      </c>
      <c r="J642" t="s">
        <v>45</v>
      </c>
      <c r="K642">
        <v>3.5</v>
      </c>
    </row>
    <row r="643" spans="1:11">
      <c r="A643">
        <v>2025</v>
      </c>
      <c r="B643">
        <v>3</v>
      </c>
      <c r="C643">
        <v>7</v>
      </c>
      <c r="D643" s="5">
        <v>45863</v>
      </c>
      <c r="E643" s="5">
        <v>45856</v>
      </c>
      <c r="F643" t="s">
        <v>11</v>
      </c>
      <c r="G643" t="s">
        <v>12</v>
      </c>
      <c r="H643" t="s">
        <v>13</v>
      </c>
      <c r="I643" t="s">
        <v>16</v>
      </c>
      <c r="J643" t="s">
        <v>17</v>
      </c>
      <c r="K643">
        <v>5.7</v>
      </c>
    </row>
    <row r="644" spans="1:11">
      <c r="A644">
        <v>2025</v>
      </c>
      <c r="B644">
        <v>3</v>
      </c>
      <c r="C644">
        <v>7</v>
      </c>
      <c r="D644" s="5">
        <v>45863</v>
      </c>
      <c r="E644" s="5">
        <v>45856</v>
      </c>
      <c r="F644" t="s">
        <v>11</v>
      </c>
      <c r="G644" t="s">
        <v>12</v>
      </c>
      <c r="H644" t="s">
        <v>13</v>
      </c>
      <c r="I644" t="s">
        <v>16</v>
      </c>
      <c r="J644" t="s">
        <v>40</v>
      </c>
      <c r="K644">
        <v>2.9</v>
      </c>
    </row>
    <row r="645" spans="1:11">
      <c r="A645">
        <v>2025</v>
      </c>
      <c r="B645">
        <v>3</v>
      </c>
      <c r="C645">
        <v>7</v>
      </c>
      <c r="D645" s="5">
        <v>45863</v>
      </c>
      <c r="E645" s="5">
        <v>45856</v>
      </c>
      <c r="F645" t="s">
        <v>11</v>
      </c>
      <c r="G645" t="s">
        <v>12</v>
      </c>
      <c r="H645" t="s">
        <v>13</v>
      </c>
      <c r="I645" t="s">
        <v>16</v>
      </c>
      <c r="J645" t="s">
        <v>74</v>
      </c>
      <c r="K645">
        <v>5.5</v>
      </c>
    </row>
    <row r="646" spans="1:11">
      <c r="A646">
        <v>2025</v>
      </c>
      <c r="B646">
        <v>3</v>
      </c>
      <c r="C646">
        <v>7</v>
      </c>
      <c r="D646" s="5">
        <v>45863</v>
      </c>
      <c r="E646" s="5">
        <v>45856</v>
      </c>
      <c r="F646" t="s">
        <v>11</v>
      </c>
      <c r="G646" t="s">
        <v>12</v>
      </c>
      <c r="H646" t="s">
        <v>13</v>
      </c>
      <c r="I646" t="s">
        <v>16</v>
      </c>
      <c r="J646" t="s">
        <v>93</v>
      </c>
      <c r="K646">
        <v>2</v>
      </c>
    </row>
    <row r="647" spans="1:11">
      <c r="A647">
        <v>2025</v>
      </c>
      <c r="B647">
        <v>3</v>
      </c>
      <c r="C647">
        <v>7</v>
      </c>
      <c r="D647" s="5">
        <v>45863</v>
      </c>
      <c r="E647" s="5">
        <v>45856</v>
      </c>
      <c r="F647" t="s">
        <v>11</v>
      </c>
      <c r="G647" t="s">
        <v>12</v>
      </c>
      <c r="H647" t="s">
        <v>13</v>
      </c>
      <c r="I647" t="s">
        <v>16</v>
      </c>
      <c r="J647" t="s">
        <v>85</v>
      </c>
      <c r="K647">
        <v>0.9</v>
      </c>
    </row>
    <row r="648" spans="1:11">
      <c r="A648">
        <v>2025</v>
      </c>
      <c r="B648">
        <v>3</v>
      </c>
      <c r="C648">
        <v>7</v>
      </c>
      <c r="D648" s="5">
        <v>45863</v>
      </c>
      <c r="E648" s="5">
        <v>45856</v>
      </c>
      <c r="F648" t="s">
        <v>21</v>
      </c>
      <c r="G648" t="s">
        <v>12</v>
      </c>
      <c r="H648" t="s">
        <v>13</v>
      </c>
      <c r="I648" t="s">
        <v>14</v>
      </c>
      <c r="J648" t="s">
        <v>23</v>
      </c>
      <c r="K648">
        <v>16.7</v>
      </c>
    </row>
    <row r="649" spans="1:11">
      <c r="A649">
        <v>2025</v>
      </c>
      <c r="B649">
        <v>3</v>
      </c>
      <c r="C649">
        <v>7</v>
      </c>
      <c r="D649" s="5">
        <v>45863</v>
      </c>
      <c r="E649" s="5">
        <v>45856</v>
      </c>
      <c r="F649" t="s">
        <v>21</v>
      </c>
      <c r="G649" t="s">
        <v>12</v>
      </c>
      <c r="H649" t="s">
        <v>13</v>
      </c>
      <c r="I649" t="s">
        <v>14</v>
      </c>
      <c r="J649" t="s">
        <v>80</v>
      </c>
      <c r="K649">
        <v>8</v>
      </c>
    </row>
    <row r="650" spans="1:11">
      <c r="A650">
        <v>2025</v>
      </c>
      <c r="B650">
        <v>3</v>
      </c>
      <c r="C650">
        <v>7</v>
      </c>
      <c r="D650" s="5">
        <v>45863</v>
      </c>
      <c r="E650" s="5">
        <v>45856</v>
      </c>
      <c r="F650" t="s">
        <v>21</v>
      </c>
      <c r="G650" t="s">
        <v>12</v>
      </c>
      <c r="H650" t="s">
        <v>13</v>
      </c>
      <c r="I650" t="s">
        <v>14</v>
      </c>
      <c r="J650" t="s">
        <v>77</v>
      </c>
      <c r="K650">
        <v>16.2</v>
      </c>
    </row>
    <row r="651" spans="1:11">
      <c r="A651">
        <v>2025</v>
      </c>
      <c r="B651">
        <v>3</v>
      </c>
      <c r="C651">
        <v>7</v>
      </c>
      <c r="D651" s="5">
        <v>45863</v>
      </c>
      <c r="E651" s="5">
        <v>45856</v>
      </c>
      <c r="F651" t="s">
        <v>25</v>
      </c>
      <c r="G651" t="s">
        <v>12</v>
      </c>
      <c r="H651" t="s">
        <v>13</v>
      </c>
      <c r="I651" t="s">
        <v>44</v>
      </c>
      <c r="J651" t="s">
        <v>45</v>
      </c>
      <c r="K651">
        <v>19.5</v>
      </c>
    </row>
    <row r="652" spans="1:11">
      <c r="A652">
        <v>2025</v>
      </c>
      <c r="B652">
        <v>3</v>
      </c>
      <c r="C652">
        <v>7</v>
      </c>
      <c r="D652" s="5">
        <v>45863</v>
      </c>
      <c r="E652" s="5">
        <v>45856</v>
      </c>
      <c r="F652" t="s">
        <v>25</v>
      </c>
      <c r="G652" t="s">
        <v>12</v>
      </c>
      <c r="H652" t="s">
        <v>13</v>
      </c>
      <c r="I652" t="s">
        <v>38</v>
      </c>
      <c r="J652" t="s">
        <v>46</v>
      </c>
      <c r="K652">
        <v>3.3</v>
      </c>
    </row>
    <row r="653" spans="1:11">
      <c r="A653">
        <v>2025</v>
      </c>
      <c r="B653">
        <v>3</v>
      </c>
      <c r="C653">
        <v>7</v>
      </c>
      <c r="D653" s="5">
        <v>45863</v>
      </c>
      <c r="E653" s="5">
        <v>45856</v>
      </c>
      <c r="F653" t="s">
        <v>25</v>
      </c>
      <c r="G653" t="s">
        <v>12</v>
      </c>
      <c r="H653" t="s">
        <v>13</v>
      </c>
      <c r="I653" t="s">
        <v>38</v>
      </c>
      <c r="J653" t="s">
        <v>91</v>
      </c>
      <c r="K653">
        <v>1</v>
      </c>
    </row>
    <row r="654" spans="1:11">
      <c r="A654">
        <v>2025</v>
      </c>
      <c r="B654">
        <v>3</v>
      </c>
      <c r="C654">
        <v>7</v>
      </c>
      <c r="D654" s="5">
        <v>45863</v>
      </c>
      <c r="E654" s="5">
        <v>45856</v>
      </c>
      <c r="F654" t="s">
        <v>25</v>
      </c>
      <c r="G654" t="s">
        <v>12</v>
      </c>
      <c r="H654" t="s">
        <v>13</v>
      </c>
      <c r="I654" t="s">
        <v>38</v>
      </c>
      <c r="J654" t="s">
        <v>51</v>
      </c>
      <c r="K654">
        <v>0.3</v>
      </c>
    </row>
    <row r="655" spans="1:11">
      <c r="A655">
        <v>2025</v>
      </c>
      <c r="B655">
        <v>3</v>
      </c>
      <c r="C655">
        <v>7</v>
      </c>
      <c r="D655" s="5">
        <v>45863</v>
      </c>
      <c r="E655" s="5">
        <v>45856</v>
      </c>
      <c r="F655" t="s">
        <v>25</v>
      </c>
      <c r="G655" t="s">
        <v>12</v>
      </c>
      <c r="H655" t="s">
        <v>13</v>
      </c>
      <c r="I655" t="s">
        <v>38</v>
      </c>
      <c r="J655" t="s">
        <v>52</v>
      </c>
      <c r="K655">
        <v>0.3</v>
      </c>
    </row>
    <row r="656" spans="1:11">
      <c r="A656">
        <v>2025</v>
      </c>
      <c r="B656">
        <v>3</v>
      </c>
      <c r="C656">
        <v>7</v>
      </c>
      <c r="D656" s="5">
        <v>45863</v>
      </c>
      <c r="E656" s="5">
        <v>45856</v>
      </c>
      <c r="F656" t="s">
        <v>25</v>
      </c>
      <c r="G656" t="s">
        <v>12</v>
      </c>
      <c r="H656" t="s">
        <v>13</v>
      </c>
      <c r="I656" t="s">
        <v>30</v>
      </c>
      <c r="J656" t="s">
        <v>67</v>
      </c>
      <c r="K656">
        <v>4.5</v>
      </c>
    </row>
    <row r="657" spans="1:11">
      <c r="A657">
        <v>2025</v>
      </c>
      <c r="B657">
        <v>3</v>
      </c>
      <c r="C657">
        <v>7</v>
      </c>
      <c r="D657" s="5">
        <v>45863</v>
      </c>
      <c r="E657" s="5">
        <v>45856</v>
      </c>
      <c r="F657" t="s">
        <v>25</v>
      </c>
      <c r="G657" t="s">
        <v>12</v>
      </c>
      <c r="H657" t="s">
        <v>13</v>
      </c>
      <c r="I657" t="s">
        <v>30</v>
      </c>
      <c r="J657" t="s">
        <v>62</v>
      </c>
      <c r="K657">
        <v>9</v>
      </c>
    </row>
    <row r="658" spans="1:11">
      <c r="A658">
        <v>2025</v>
      </c>
      <c r="B658">
        <v>3</v>
      </c>
      <c r="C658">
        <v>7</v>
      </c>
      <c r="D658" s="5">
        <v>45863</v>
      </c>
      <c r="E658" s="5">
        <v>45856</v>
      </c>
      <c r="F658" t="s">
        <v>25</v>
      </c>
      <c r="G658" t="s">
        <v>12</v>
      </c>
      <c r="H658" t="s">
        <v>13</v>
      </c>
      <c r="I658" t="s">
        <v>30</v>
      </c>
      <c r="J658" t="s">
        <v>68</v>
      </c>
      <c r="K658">
        <v>3.1</v>
      </c>
    </row>
    <row r="659" spans="1:11">
      <c r="A659">
        <v>2025</v>
      </c>
      <c r="B659">
        <v>3</v>
      </c>
      <c r="C659">
        <v>7</v>
      </c>
      <c r="D659" s="5">
        <v>45863</v>
      </c>
      <c r="E659" s="5">
        <v>45863</v>
      </c>
      <c r="F659" t="s">
        <v>32</v>
      </c>
      <c r="G659" t="s">
        <v>12</v>
      </c>
      <c r="H659" t="s">
        <v>13</v>
      </c>
      <c r="I659" t="s">
        <v>14</v>
      </c>
      <c r="J659" t="s">
        <v>54</v>
      </c>
      <c r="K659">
        <v>3</v>
      </c>
    </row>
    <row r="660" spans="1:11">
      <c r="A660">
        <v>2025</v>
      </c>
      <c r="B660">
        <v>3</v>
      </c>
      <c r="C660">
        <v>7</v>
      </c>
      <c r="D660" s="5">
        <v>45863</v>
      </c>
      <c r="E660" s="5">
        <v>45863</v>
      </c>
      <c r="F660" t="s">
        <v>32</v>
      </c>
      <c r="G660" t="s">
        <v>12</v>
      </c>
      <c r="H660" t="s">
        <v>13</v>
      </c>
      <c r="I660" t="s">
        <v>14</v>
      </c>
      <c r="J660" t="s">
        <v>98</v>
      </c>
      <c r="K660">
        <v>11</v>
      </c>
    </row>
    <row r="661" spans="1:11">
      <c r="A661">
        <v>2025</v>
      </c>
      <c r="B661">
        <v>3</v>
      </c>
      <c r="C661">
        <v>7</v>
      </c>
      <c r="D661" s="5">
        <v>45863</v>
      </c>
      <c r="E661" s="5">
        <v>45863</v>
      </c>
      <c r="F661" t="s">
        <v>11</v>
      </c>
      <c r="G661" t="s">
        <v>12</v>
      </c>
      <c r="H661" t="s">
        <v>13</v>
      </c>
      <c r="I661" t="s">
        <v>83</v>
      </c>
      <c r="J661" t="s">
        <v>86</v>
      </c>
      <c r="K661">
        <v>2</v>
      </c>
    </row>
    <row r="662" spans="1:11">
      <c r="A662">
        <v>2025</v>
      </c>
      <c r="B662">
        <v>3</v>
      </c>
      <c r="C662">
        <v>7</v>
      </c>
      <c r="D662" s="5">
        <v>45863</v>
      </c>
      <c r="E662" s="5">
        <v>45863</v>
      </c>
      <c r="F662" t="s">
        <v>11</v>
      </c>
      <c r="G662" t="s">
        <v>12</v>
      </c>
      <c r="H662" t="s">
        <v>13</v>
      </c>
      <c r="I662" t="s">
        <v>44</v>
      </c>
      <c r="J662" t="s">
        <v>45</v>
      </c>
      <c r="K662">
        <v>3</v>
      </c>
    </row>
    <row r="663" spans="1:11">
      <c r="A663">
        <v>2025</v>
      </c>
      <c r="B663">
        <v>3</v>
      </c>
      <c r="C663">
        <v>7</v>
      </c>
      <c r="D663" s="5">
        <v>45863</v>
      </c>
      <c r="E663" s="5">
        <v>45863</v>
      </c>
      <c r="F663" t="s">
        <v>11</v>
      </c>
      <c r="G663" t="s">
        <v>12</v>
      </c>
      <c r="H663" t="s">
        <v>13</v>
      </c>
      <c r="I663" t="s">
        <v>16</v>
      </c>
      <c r="J663" t="s">
        <v>17</v>
      </c>
      <c r="K663">
        <v>4.3</v>
      </c>
    </row>
    <row r="664" spans="1:11">
      <c r="A664">
        <v>2025</v>
      </c>
      <c r="B664">
        <v>3</v>
      </c>
      <c r="C664">
        <v>7</v>
      </c>
      <c r="D664" s="5">
        <v>45863</v>
      </c>
      <c r="E664" s="5">
        <v>45863</v>
      </c>
      <c r="F664" t="s">
        <v>11</v>
      </c>
      <c r="G664" t="s">
        <v>12</v>
      </c>
      <c r="H664" t="s">
        <v>13</v>
      </c>
      <c r="I664" t="s">
        <v>16</v>
      </c>
      <c r="J664" t="s">
        <v>87</v>
      </c>
      <c r="K664">
        <v>1</v>
      </c>
    </row>
    <row r="665" spans="1:11">
      <c r="A665">
        <v>2025</v>
      </c>
      <c r="B665">
        <v>3</v>
      </c>
      <c r="C665">
        <v>7</v>
      </c>
      <c r="D665" s="5">
        <v>45863</v>
      </c>
      <c r="E665" s="5">
        <v>45863</v>
      </c>
      <c r="F665" t="s">
        <v>11</v>
      </c>
      <c r="G665" t="s">
        <v>12</v>
      </c>
      <c r="H665" t="s">
        <v>13</v>
      </c>
      <c r="I665" t="s">
        <v>16</v>
      </c>
      <c r="J665" t="s">
        <v>40</v>
      </c>
      <c r="K665">
        <v>2.9</v>
      </c>
    </row>
    <row r="666" spans="1:11">
      <c r="A666">
        <v>2025</v>
      </c>
      <c r="B666">
        <v>3</v>
      </c>
      <c r="C666">
        <v>7</v>
      </c>
      <c r="D666" s="5">
        <v>45863</v>
      </c>
      <c r="E666" s="5">
        <v>45863</v>
      </c>
      <c r="F666" t="s">
        <v>11</v>
      </c>
      <c r="G666" t="s">
        <v>12</v>
      </c>
      <c r="H666" t="s">
        <v>13</v>
      </c>
      <c r="I666" t="s">
        <v>16</v>
      </c>
      <c r="J666" t="s">
        <v>74</v>
      </c>
      <c r="K666">
        <v>1</v>
      </c>
    </row>
    <row r="667" spans="1:11">
      <c r="A667">
        <v>2025</v>
      </c>
      <c r="B667">
        <v>3</v>
      </c>
      <c r="C667">
        <v>7</v>
      </c>
      <c r="D667" s="5">
        <v>45863</v>
      </c>
      <c r="E667" s="5">
        <v>45863</v>
      </c>
      <c r="F667" t="s">
        <v>11</v>
      </c>
      <c r="G667" t="s">
        <v>12</v>
      </c>
      <c r="H667" t="s">
        <v>13</v>
      </c>
      <c r="I667" t="s">
        <v>16</v>
      </c>
      <c r="J667" t="s">
        <v>61</v>
      </c>
      <c r="K667">
        <v>0.7</v>
      </c>
    </row>
    <row r="668" spans="1:11">
      <c r="A668">
        <v>2025</v>
      </c>
      <c r="B668">
        <v>3</v>
      </c>
      <c r="C668">
        <v>7</v>
      </c>
      <c r="D668" s="5">
        <v>45863</v>
      </c>
      <c r="E668" s="5">
        <v>45863</v>
      </c>
      <c r="F668" t="s">
        <v>11</v>
      </c>
      <c r="G668" t="s">
        <v>12</v>
      </c>
      <c r="H668" t="s">
        <v>13</v>
      </c>
      <c r="I668" t="s">
        <v>16</v>
      </c>
      <c r="J668" t="s">
        <v>85</v>
      </c>
      <c r="K668">
        <v>0.5</v>
      </c>
    </row>
    <row r="669" spans="1:11">
      <c r="A669">
        <v>2025</v>
      </c>
      <c r="B669">
        <v>3</v>
      </c>
      <c r="C669">
        <v>7</v>
      </c>
      <c r="D669" s="5">
        <v>45863</v>
      </c>
      <c r="E669" s="5">
        <v>45863</v>
      </c>
      <c r="F669" t="s">
        <v>41</v>
      </c>
      <c r="G669" t="s">
        <v>12</v>
      </c>
      <c r="H669" t="s">
        <v>13</v>
      </c>
      <c r="I669" t="s">
        <v>14</v>
      </c>
      <c r="J669" t="s">
        <v>24</v>
      </c>
      <c r="K669">
        <v>1</v>
      </c>
    </row>
    <row r="670" spans="1:11">
      <c r="A670">
        <v>2025</v>
      </c>
      <c r="B670">
        <v>3</v>
      </c>
      <c r="C670">
        <v>7</v>
      </c>
      <c r="D670" s="5">
        <v>45863</v>
      </c>
      <c r="E670" s="5">
        <v>45863</v>
      </c>
      <c r="F670" t="s">
        <v>21</v>
      </c>
      <c r="G670" t="s">
        <v>12</v>
      </c>
      <c r="H670" t="s">
        <v>13</v>
      </c>
      <c r="I670" t="s">
        <v>14</v>
      </c>
      <c r="J670" t="s">
        <v>23</v>
      </c>
      <c r="K670">
        <v>13.7</v>
      </c>
    </row>
    <row r="671" spans="1:11">
      <c r="A671">
        <v>2025</v>
      </c>
      <c r="B671">
        <v>3</v>
      </c>
      <c r="C671">
        <v>7</v>
      </c>
      <c r="D671" s="5">
        <v>45863</v>
      </c>
      <c r="E671" s="5">
        <v>45863</v>
      </c>
      <c r="F671" t="s">
        <v>21</v>
      </c>
      <c r="G671" t="s">
        <v>12</v>
      </c>
      <c r="H671" t="s">
        <v>13</v>
      </c>
      <c r="I671" t="s">
        <v>14</v>
      </c>
      <c r="J671" t="s">
        <v>80</v>
      </c>
      <c r="K671">
        <v>2.2999999999999998</v>
      </c>
    </row>
    <row r="672" spans="1:11">
      <c r="A672">
        <v>2025</v>
      </c>
      <c r="B672">
        <v>3</v>
      </c>
      <c r="C672">
        <v>7</v>
      </c>
      <c r="D672" s="5">
        <v>45863</v>
      </c>
      <c r="E672" s="5">
        <v>45863</v>
      </c>
      <c r="F672" t="s">
        <v>21</v>
      </c>
      <c r="G672" t="s">
        <v>12</v>
      </c>
      <c r="H672" t="s">
        <v>13</v>
      </c>
      <c r="I672" t="s">
        <v>14</v>
      </c>
      <c r="J672" t="s">
        <v>77</v>
      </c>
      <c r="K672">
        <v>3.4</v>
      </c>
    </row>
    <row r="673" spans="1:11">
      <c r="A673">
        <v>2025</v>
      </c>
      <c r="B673">
        <v>3</v>
      </c>
      <c r="C673">
        <v>7</v>
      </c>
      <c r="D673" s="5">
        <v>45863</v>
      </c>
      <c r="E673" s="5">
        <v>45863</v>
      </c>
      <c r="F673" t="s">
        <v>25</v>
      </c>
      <c r="G673" t="s">
        <v>12</v>
      </c>
      <c r="H673" t="s">
        <v>13</v>
      </c>
      <c r="I673" t="s">
        <v>28</v>
      </c>
      <c r="J673" t="s">
        <v>29</v>
      </c>
      <c r="K673">
        <v>2.5</v>
      </c>
    </row>
    <row r="674" spans="1:11">
      <c r="A674">
        <v>2025</v>
      </c>
      <c r="B674">
        <v>3</v>
      </c>
      <c r="C674">
        <v>7</v>
      </c>
      <c r="D674" s="5">
        <v>45863</v>
      </c>
      <c r="E674" s="5">
        <v>45863</v>
      </c>
      <c r="F674" t="s">
        <v>25</v>
      </c>
      <c r="G674" t="s">
        <v>12</v>
      </c>
      <c r="H674" t="s">
        <v>13</v>
      </c>
      <c r="I674" t="s">
        <v>44</v>
      </c>
      <c r="J674" t="s">
        <v>45</v>
      </c>
      <c r="K674">
        <v>23</v>
      </c>
    </row>
    <row r="675" spans="1:11">
      <c r="A675">
        <v>2025</v>
      </c>
      <c r="B675">
        <v>3</v>
      </c>
      <c r="C675">
        <v>7</v>
      </c>
      <c r="D675" s="5">
        <v>45863</v>
      </c>
      <c r="E675" s="5">
        <v>45863</v>
      </c>
      <c r="F675" t="s">
        <v>25</v>
      </c>
      <c r="G675" t="s">
        <v>12</v>
      </c>
      <c r="H675" t="s">
        <v>13</v>
      </c>
      <c r="I675" t="s">
        <v>38</v>
      </c>
      <c r="J675" t="s">
        <v>46</v>
      </c>
      <c r="K675">
        <v>1</v>
      </c>
    </row>
    <row r="676" spans="1:11">
      <c r="A676">
        <v>2025</v>
      </c>
      <c r="B676">
        <v>3</v>
      </c>
      <c r="C676">
        <v>7</v>
      </c>
      <c r="D676" s="5">
        <v>45863</v>
      </c>
      <c r="E676" s="5">
        <v>45863</v>
      </c>
      <c r="F676" t="s">
        <v>25</v>
      </c>
      <c r="G676" t="s">
        <v>12</v>
      </c>
      <c r="H676" t="s">
        <v>13</v>
      </c>
      <c r="I676" t="s">
        <v>38</v>
      </c>
      <c r="J676" t="s">
        <v>51</v>
      </c>
      <c r="K676">
        <v>0.5</v>
      </c>
    </row>
    <row r="677" spans="1:11">
      <c r="A677">
        <v>2025</v>
      </c>
      <c r="B677">
        <v>3</v>
      </c>
      <c r="C677">
        <v>7</v>
      </c>
      <c r="D677" s="5">
        <v>45863</v>
      </c>
      <c r="E677" s="5">
        <v>45863</v>
      </c>
      <c r="F677" t="s">
        <v>25</v>
      </c>
      <c r="G677" t="s">
        <v>12</v>
      </c>
      <c r="H677" t="s">
        <v>13</v>
      </c>
      <c r="I677" t="s">
        <v>30</v>
      </c>
      <c r="J677" t="s">
        <v>67</v>
      </c>
      <c r="K677">
        <v>0.5</v>
      </c>
    </row>
    <row r="678" spans="1:11">
      <c r="A678">
        <v>2025</v>
      </c>
      <c r="B678">
        <v>3</v>
      </c>
      <c r="C678">
        <v>7</v>
      </c>
      <c r="D678" s="5">
        <v>45863</v>
      </c>
      <c r="E678" s="5">
        <v>45863</v>
      </c>
      <c r="F678" t="s">
        <v>25</v>
      </c>
      <c r="G678" t="s">
        <v>12</v>
      </c>
      <c r="H678" t="s">
        <v>13</v>
      </c>
      <c r="I678" t="s">
        <v>30</v>
      </c>
      <c r="J678" t="s">
        <v>62</v>
      </c>
      <c r="K678">
        <v>2.5</v>
      </c>
    </row>
    <row r="679" spans="1:11">
      <c r="A679">
        <v>2025</v>
      </c>
      <c r="B679">
        <v>3</v>
      </c>
      <c r="C679">
        <v>7</v>
      </c>
      <c r="D679" s="5">
        <v>45863</v>
      </c>
      <c r="E679" s="5">
        <v>45863</v>
      </c>
      <c r="F679" t="s">
        <v>25</v>
      </c>
      <c r="G679" t="s">
        <v>12</v>
      </c>
      <c r="H679" t="s">
        <v>13</v>
      </c>
      <c r="I679" t="s">
        <v>30</v>
      </c>
      <c r="J679" t="s">
        <v>68</v>
      </c>
      <c r="K679">
        <v>1</v>
      </c>
    </row>
    <row r="680" spans="1:11">
      <c r="A680">
        <v>2024</v>
      </c>
      <c r="B680">
        <v>4</v>
      </c>
      <c r="C680">
        <v>12</v>
      </c>
      <c r="D680" s="5">
        <v>45667</v>
      </c>
      <c r="E680" s="5">
        <v>45660</v>
      </c>
      <c r="F680" t="s">
        <v>21</v>
      </c>
      <c r="G680" t="s">
        <v>22</v>
      </c>
      <c r="H680" t="s">
        <v>13</v>
      </c>
      <c r="I680" t="s">
        <v>14</v>
      </c>
      <c r="J680" t="s">
        <v>23</v>
      </c>
      <c r="K680">
        <v>2.2999999999999998</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99EE1-2F51-4C76-A2FD-2B25707DE689}">
  <sheetPr codeName="Sheet10">
    <tabColor rgb="FF00B050"/>
  </sheetPr>
  <dimension ref="A1:L51"/>
  <sheetViews>
    <sheetView workbookViewId="0">
      <pane ySplit="1" topLeftCell="A8" activePane="bottomLeft" state="frozen"/>
      <selection pane="bottomLeft" activeCell="L23" sqref="L23:L27"/>
    </sheetView>
  </sheetViews>
  <sheetFormatPr defaultRowHeight="15"/>
  <cols>
    <col min="1" max="1" width="11.140625" bestFit="1" customWidth="1"/>
    <col min="2" max="2" width="15.140625" bestFit="1" customWidth="1"/>
    <col min="3" max="3" width="11.28515625" bestFit="1" customWidth="1"/>
    <col min="4" max="4" width="23.140625" bestFit="1" customWidth="1"/>
    <col min="5" max="8" width="5" bestFit="1" customWidth="1"/>
    <col min="9" max="9" width="6" bestFit="1" customWidth="1"/>
    <col min="10" max="11" width="5" bestFit="1" customWidth="1"/>
    <col min="12" max="12" width="11.28515625" bestFit="1" customWidth="1"/>
  </cols>
  <sheetData>
    <row r="1" spans="1:12" s="10" customFormat="1" ht="21.95" customHeight="1">
      <c r="A1" s="15" t="s">
        <v>99</v>
      </c>
      <c r="B1" s="15" t="s">
        <v>100</v>
      </c>
      <c r="C1" s="16" t="s">
        <v>101</v>
      </c>
      <c r="D1" s="16" t="s">
        <v>102</v>
      </c>
      <c r="E1" s="16" t="s">
        <v>103</v>
      </c>
      <c r="F1" s="16" t="s">
        <v>104</v>
      </c>
      <c r="G1" s="16" t="s">
        <v>105</v>
      </c>
      <c r="H1" s="16" t="s">
        <v>106</v>
      </c>
      <c r="I1" s="16" t="s">
        <v>107</v>
      </c>
      <c r="J1" s="16" t="s">
        <v>108</v>
      </c>
      <c r="K1" s="16" t="s">
        <v>109</v>
      </c>
      <c r="L1" s="16" t="s">
        <v>110</v>
      </c>
    </row>
    <row r="2" spans="1:12">
      <c r="A2" s="54" t="s">
        <v>14</v>
      </c>
      <c r="B2" s="54" t="s">
        <v>24</v>
      </c>
      <c r="C2" s="56">
        <v>283.10000000000002</v>
      </c>
      <c r="D2" s="11" t="s">
        <v>21</v>
      </c>
      <c r="E2" s="11">
        <v>39</v>
      </c>
      <c r="F2" s="11">
        <v>48.8</v>
      </c>
      <c r="G2" s="11">
        <v>75.400000000000006</v>
      </c>
      <c r="H2" s="11">
        <v>39.300000000000004</v>
      </c>
      <c r="I2" s="11">
        <v>6.4</v>
      </c>
      <c r="J2" s="11">
        <v>10.4</v>
      </c>
      <c r="K2" s="11">
        <v>1.2</v>
      </c>
      <c r="L2" s="11">
        <v>220.5</v>
      </c>
    </row>
    <row r="3" spans="1:12">
      <c r="A3" s="55"/>
      <c r="B3" s="55"/>
      <c r="C3" s="57"/>
      <c r="D3" s="12" t="s">
        <v>25</v>
      </c>
      <c r="E3" s="12">
        <v>2</v>
      </c>
      <c r="F3" s="12"/>
      <c r="G3" s="12"/>
      <c r="H3" s="12"/>
      <c r="I3" s="12"/>
      <c r="J3" s="12"/>
      <c r="K3" s="12"/>
      <c r="L3" s="12">
        <v>2</v>
      </c>
    </row>
    <row r="4" spans="1:12">
      <c r="A4" s="54"/>
      <c r="B4" s="54"/>
      <c r="C4" s="56"/>
      <c r="D4" s="11" t="s">
        <v>32</v>
      </c>
      <c r="E4" s="11">
        <v>6</v>
      </c>
      <c r="F4" s="11">
        <v>1</v>
      </c>
      <c r="G4" s="11"/>
      <c r="H4" s="11"/>
      <c r="I4" s="11"/>
      <c r="J4" s="11"/>
      <c r="K4" s="11">
        <v>11</v>
      </c>
      <c r="L4" s="11">
        <v>18</v>
      </c>
    </row>
    <row r="5" spans="1:12">
      <c r="A5" s="55"/>
      <c r="B5" s="55"/>
      <c r="C5" s="57"/>
      <c r="D5" s="12" t="s">
        <v>11</v>
      </c>
      <c r="E5" s="12"/>
      <c r="F5" s="12">
        <v>0.7</v>
      </c>
      <c r="G5" s="12">
        <v>1</v>
      </c>
      <c r="H5" s="12">
        <v>12.3</v>
      </c>
      <c r="I5" s="12">
        <v>11.5</v>
      </c>
      <c r="J5" s="12">
        <v>6.2</v>
      </c>
      <c r="K5" s="12">
        <v>7.8999999999999995</v>
      </c>
      <c r="L5" s="12">
        <v>39.6</v>
      </c>
    </row>
    <row r="6" spans="1:12">
      <c r="A6" s="54"/>
      <c r="B6" s="54"/>
      <c r="C6" s="56"/>
      <c r="D6" s="11" t="s">
        <v>41</v>
      </c>
      <c r="E6" s="11"/>
      <c r="F6" s="11"/>
      <c r="G6" s="11"/>
      <c r="H6" s="11"/>
      <c r="I6" s="11"/>
      <c r="J6" s="11">
        <v>2</v>
      </c>
      <c r="K6" s="11">
        <v>1</v>
      </c>
      <c r="L6" s="11">
        <v>3</v>
      </c>
    </row>
    <row r="7" spans="1:12">
      <c r="A7" s="55"/>
      <c r="B7" s="13" t="s">
        <v>23</v>
      </c>
      <c r="C7" s="17">
        <v>194.89999999999998</v>
      </c>
      <c r="D7" s="12" t="s">
        <v>21</v>
      </c>
      <c r="E7" s="12">
        <v>44.2</v>
      </c>
      <c r="F7" s="12"/>
      <c r="G7" s="12">
        <v>5</v>
      </c>
      <c r="H7" s="12"/>
      <c r="I7" s="12"/>
      <c r="J7" s="12">
        <v>77.400000000000006</v>
      </c>
      <c r="K7" s="12">
        <v>68.300000000000011</v>
      </c>
      <c r="L7" s="12">
        <v>194.89999999999998</v>
      </c>
    </row>
    <row r="8" spans="1:12">
      <c r="A8" s="54"/>
      <c r="B8" s="54" t="s">
        <v>111</v>
      </c>
      <c r="C8" s="56">
        <v>18.3</v>
      </c>
      <c r="D8" s="11" t="s">
        <v>25</v>
      </c>
      <c r="E8" s="11">
        <v>1.8</v>
      </c>
      <c r="F8" s="11"/>
      <c r="G8" s="11"/>
      <c r="H8" s="11"/>
      <c r="I8" s="11">
        <v>1.5</v>
      </c>
      <c r="J8" s="11"/>
      <c r="K8" s="11"/>
      <c r="L8" s="11">
        <v>3.3</v>
      </c>
    </row>
    <row r="9" spans="1:12">
      <c r="A9" s="55"/>
      <c r="B9" s="55"/>
      <c r="C9" s="57"/>
      <c r="D9" s="12" t="s">
        <v>11</v>
      </c>
      <c r="E9" s="12">
        <v>0.7</v>
      </c>
      <c r="F9" s="12"/>
      <c r="G9" s="12">
        <v>1</v>
      </c>
      <c r="H9" s="12">
        <v>3.2</v>
      </c>
      <c r="I9" s="12">
        <v>6.1</v>
      </c>
      <c r="J9" s="12"/>
      <c r="K9" s="12"/>
      <c r="L9" s="12">
        <v>11</v>
      </c>
    </row>
    <row r="10" spans="1:12">
      <c r="A10" s="54"/>
      <c r="B10" s="54"/>
      <c r="C10" s="56"/>
      <c r="D10" s="11" t="s">
        <v>41</v>
      </c>
      <c r="E10" s="11"/>
      <c r="F10" s="11"/>
      <c r="G10" s="11"/>
      <c r="H10" s="11">
        <v>1</v>
      </c>
      <c r="I10" s="11"/>
      <c r="J10" s="11"/>
      <c r="K10" s="11"/>
      <c r="L10" s="11">
        <v>1</v>
      </c>
    </row>
    <row r="11" spans="1:12">
      <c r="A11" s="55"/>
      <c r="B11" s="55"/>
      <c r="C11" s="57"/>
      <c r="D11" s="12" t="s">
        <v>32</v>
      </c>
      <c r="E11" s="12"/>
      <c r="F11" s="12"/>
      <c r="G11" s="12"/>
      <c r="H11" s="12"/>
      <c r="I11" s="12"/>
      <c r="J11" s="12">
        <v>3</v>
      </c>
      <c r="K11" s="12"/>
      <c r="L11" s="12">
        <v>3</v>
      </c>
    </row>
    <row r="12" spans="1:12">
      <c r="A12" s="54"/>
      <c r="B12" s="54" t="s">
        <v>112</v>
      </c>
      <c r="C12" s="56">
        <v>264.5</v>
      </c>
      <c r="D12" s="11" t="s">
        <v>32</v>
      </c>
      <c r="E12" s="11">
        <v>8</v>
      </c>
      <c r="F12" s="11">
        <v>59.5</v>
      </c>
      <c r="G12" s="11">
        <v>46</v>
      </c>
      <c r="H12" s="11">
        <v>19.5</v>
      </c>
      <c r="I12" s="11">
        <v>8.5</v>
      </c>
      <c r="J12" s="11">
        <v>38.5</v>
      </c>
      <c r="K12" s="11">
        <v>82.5</v>
      </c>
      <c r="L12" s="11">
        <v>262.5</v>
      </c>
    </row>
    <row r="13" spans="1:12">
      <c r="A13" s="55"/>
      <c r="B13" s="55"/>
      <c r="C13" s="57"/>
      <c r="D13" s="12" t="s">
        <v>41</v>
      </c>
      <c r="E13" s="12"/>
      <c r="F13" s="12"/>
      <c r="G13" s="12"/>
      <c r="H13" s="12"/>
      <c r="I13" s="12"/>
      <c r="J13" s="12">
        <v>2</v>
      </c>
      <c r="K13" s="12"/>
      <c r="L13" s="12">
        <v>2</v>
      </c>
    </row>
    <row r="14" spans="1:12">
      <c r="A14" s="54"/>
      <c r="B14" s="14" t="s">
        <v>57</v>
      </c>
      <c r="C14" s="18">
        <v>8</v>
      </c>
      <c r="D14" s="11" t="s">
        <v>21</v>
      </c>
      <c r="E14" s="11">
        <v>1</v>
      </c>
      <c r="F14" s="11">
        <v>1.5</v>
      </c>
      <c r="G14" s="11">
        <v>1</v>
      </c>
      <c r="H14" s="11">
        <v>1.5</v>
      </c>
      <c r="I14" s="11">
        <v>1</v>
      </c>
      <c r="J14" s="11">
        <v>1.5</v>
      </c>
      <c r="K14" s="11">
        <v>0.5</v>
      </c>
      <c r="L14" s="11">
        <v>8</v>
      </c>
    </row>
    <row r="15" spans="1:12">
      <c r="A15" s="55"/>
      <c r="B15" s="13" t="s">
        <v>113</v>
      </c>
      <c r="C15" s="17">
        <v>164</v>
      </c>
      <c r="D15" s="12" t="s">
        <v>32</v>
      </c>
      <c r="E15" s="12">
        <v>51</v>
      </c>
      <c r="F15" s="12">
        <v>38</v>
      </c>
      <c r="G15" s="12"/>
      <c r="H15" s="12"/>
      <c r="I15" s="12">
        <v>33</v>
      </c>
      <c r="J15" s="12">
        <v>42</v>
      </c>
      <c r="K15" s="12"/>
      <c r="L15" s="12">
        <v>164</v>
      </c>
    </row>
    <row r="16" spans="1:12">
      <c r="A16" s="54"/>
      <c r="B16" s="54" t="s">
        <v>56</v>
      </c>
      <c r="C16" s="56">
        <v>9.6999999999999993</v>
      </c>
      <c r="D16" s="11" t="s">
        <v>11</v>
      </c>
      <c r="E16" s="11">
        <v>3.5</v>
      </c>
      <c r="F16" s="11">
        <v>2.4000000000000004</v>
      </c>
      <c r="G16" s="11"/>
      <c r="H16" s="11"/>
      <c r="I16" s="11">
        <v>1.3</v>
      </c>
      <c r="J16" s="11"/>
      <c r="K16" s="11"/>
      <c r="L16" s="11">
        <v>7.1999999999999993</v>
      </c>
    </row>
    <row r="17" spans="1:12">
      <c r="A17" s="55"/>
      <c r="B17" s="55"/>
      <c r="C17" s="57"/>
      <c r="D17" s="12" t="s">
        <v>32</v>
      </c>
      <c r="E17" s="12"/>
      <c r="F17" s="12"/>
      <c r="G17" s="12"/>
      <c r="H17" s="12"/>
      <c r="I17" s="12"/>
      <c r="J17" s="12"/>
      <c r="K17" s="12">
        <v>1</v>
      </c>
      <c r="L17" s="12">
        <v>1</v>
      </c>
    </row>
    <row r="18" spans="1:12">
      <c r="A18" s="54"/>
      <c r="B18" s="54"/>
      <c r="C18" s="56"/>
      <c r="D18" s="11" t="s">
        <v>41</v>
      </c>
      <c r="E18" s="11"/>
      <c r="F18" s="11"/>
      <c r="G18" s="11"/>
      <c r="H18" s="11"/>
      <c r="I18" s="11"/>
      <c r="J18" s="11"/>
      <c r="K18" s="11">
        <v>1.5</v>
      </c>
      <c r="L18" s="11">
        <v>1.5</v>
      </c>
    </row>
    <row r="19" spans="1:12">
      <c r="A19" s="55"/>
      <c r="B19" s="55" t="s">
        <v>79</v>
      </c>
      <c r="C19" s="57">
        <v>42.400000000000006</v>
      </c>
      <c r="D19" s="12" t="s">
        <v>11</v>
      </c>
      <c r="E19" s="12">
        <v>3.3</v>
      </c>
      <c r="F19" s="12">
        <v>9</v>
      </c>
      <c r="G19" s="12">
        <v>5.0999999999999996</v>
      </c>
      <c r="H19" s="12">
        <v>4.0999999999999996</v>
      </c>
      <c r="I19" s="12">
        <v>3.5</v>
      </c>
      <c r="J19" s="12">
        <v>4.9000000000000004</v>
      </c>
      <c r="K19" s="12">
        <v>1</v>
      </c>
      <c r="L19" s="12">
        <v>30.900000000000002</v>
      </c>
    </row>
    <row r="20" spans="1:12">
      <c r="A20" s="54"/>
      <c r="B20" s="54"/>
      <c r="C20" s="56"/>
      <c r="D20" s="11" t="s">
        <v>25</v>
      </c>
      <c r="E20" s="11">
        <v>1</v>
      </c>
      <c r="F20" s="11">
        <v>1.1000000000000001</v>
      </c>
      <c r="G20" s="11">
        <v>2.4</v>
      </c>
      <c r="H20" s="11">
        <v>1.4</v>
      </c>
      <c r="I20" s="11">
        <v>1.8</v>
      </c>
      <c r="J20" s="11">
        <v>1.8</v>
      </c>
      <c r="K20" s="11">
        <v>2</v>
      </c>
      <c r="L20" s="11">
        <v>11.5</v>
      </c>
    </row>
    <row r="21" spans="1:12">
      <c r="A21" s="55"/>
      <c r="B21" s="13" t="s">
        <v>80</v>
      </c>
      <c r="C21" s="17">
        <v>45.599999999999994</v>
      </c>
      <c r="D21" s="12" t="s">
        <v>21</v>
      </c>
      <c r="E21" s="12"/>
      <c r="F21" s="12"/>
      <c r="G21" s="12"/>
      <c r="H21" s="12"/>
      <c r="I21" s="12"/>
      <c r="J21" s="12">
        <v>27.7</v>
      </c>
      <c r="K21" s="12">
        <v>17.899999999999999</v>
      </c>
      <c r="L21" s="12">
        <v>45.599999999999994</v>
      </c>
    </row>
    <row r="22" spans="1:12">
      <c r="A22" s="54"/>
      <c r="B22" s="14" t="s">
        <v>77</v>
      </c>
      <c r="C22" s="18">
        <v>175.3</v>
      </c>
      <c r="D22" s="11" t="s">
        <v>21</v>
      </c>
      <c r="E22" s="11"/>
      <c r="F22" s="11"/>
      <c r="G22" s="11"/>
      <c r="H22" s="11"/>
      <c r="I22" s="11">
        <v>66.800000000000011</v>
      </c>
      <c r="J22" s="11">
        <v>55.7</v>
      </c>
      <c r="K22" s="11">
        <v>52.800000000000004</v>
      </c>
      <c r="L22" s="11">
        <v>175.3</v>
      </c>
    </row>
    <row r="23" spans="1:12">
      <c r="A23" s="55"/>
      <c r="B23" s="55" t="s">
        <v>15</v>
      </c>
      <c r="C23" s="57">
        <v>382.40000000000003</v>
      </c>
      <c r="D23" s="12" t="s">
        <v>11</v>
      </c>
      <c r="E23" s="12">
        <v>34.200000000000003</v>
      </c>
      <c r="F23" s="12">
        <v>17.600000000000001</v>
      </c>
      <c r="G23" s="12">
        <v>34.699999999999996</v>
      </c>
      <c r="H23" s="12">
        <v>18.600000000000001</v>
      </c>
      <c r="I23" s="12">
        <v>11.899999999999999</v>
      </c>
      <c r="J23" s="12">
        <v>1.2</v>
      </c>
      <c r="K23" s="12">
        <v>4.4000000000000004</v>
      </c>
      <c r="L23" s="12">
        <v>122.6</v>
      </c>
    </row>
    <row r="24" spans="1:12">
      <c r="A24" s="54"/>
      <c r="B24" s="54"/>
      <c r="C24" s="56"/>
      <c r="D24" s="11" t="s">
        <v>21</v>
      </c>
      <c r="E24" s="11">
        <v>28.8</v>
      </c>
      <c r="F24" s="11">
        <v>55.1</v>
      </c>
      <c r="G24" s="11">
        <v>65.599999999999994</v>
      </c>
      <c r="H24" s="11">
        <v>35.799999999999997</v>
      </c>
      <c r="I24" s="11">
        <v>15.3</v>
      </c>
      <c r="J24" s="11">
        <v>9</v>
      </c>
      <c r="K24" s="11"/>
      <c r="L24" s="11">
        <v>209.60000000000002</v>
      </c>
    </row>
    <row r="25" spans="1:12">
      <c r="A25" s="55"/>
      <c r="B25" s="55"/>
      <c r="C25" s="57"/>
      <c r="D25" s="12" t="s">
        <v>32</v>
      </c>
      <c r="E25" s="12"/>
      <c r="F25" s="12"/>
      <c r="G25" s="12">
        <v>17.5</v>
      </c>
      <c r="H25" s="12">
        <v>8</v>
      </c>
      <c r="I25" s="12">
        <v>6</v>
      </c>
      <c r="J25" s="12"/>
      <c r="K25" s="12"/>
      <c r="L25" s="12">
        <v>31.5</v>
      </c>
    </row>
    <row r="26" spans="1:12">
      <c r="A26" s="54"/>
      <c r="B26" s="54"/>
      <c r="C26" s="56"/>
      <c r="D26" s="11" t="s">
        <v>41</v>
      </c>
      <c r="E26" s="11"/>
      <c r="F26" s="11"/>
      <c r="G26" s="11">
        <v>6.5</v>
      </c>
      <c r="H26" s="11">
        <v>0.5</v>
      </c>
      <c r="I26" s="11"/>
      <c r="J26" s="11"/>
      <c r="K26" s="11"/>
      <c r="L26" s="11">
        <v>7</v>
      </c>
    </row>
    <row r="27" spans="1:12">
      <c r="A27" s="55"/>
      <c r="B27" s="55"/>
      <c r="C27" s="57"/>
      <c r="D27" s="12" t="s">
        <v>25</v>
      </c>
      <c r="E27" s="12"/>
      <c r="F27" s="12"/>
      <c r="G27" s="12">
        <v>7.3</v>
      </c>
      <c r="H27" s="12">
        <v>3.4</v>
      </c>
      <c r="I27" s="12">
        <v>1</v>
      </c>
      <c r="J27" s="12"/>
      <c r="K27" s="12"/>
      <c r="L27" s="12">
        <v>11.700000000000001</v>
      </c>
    </row>
    <row r="28" spans="1:12">
      <c r="A28" s="14" t="s">
        <v>83</v>
      </c>
      <c r="B28" s="14" t="s">
        <v>111</v>
      </c>
      <c r="C28" s="18">
        <v>17.700000000000003</v>
      </c>
      <c r="D28" s="11" t="s">
        <v>11</v>
      </c>
      <c r="E28" s="11"/>
      <c r="F28" s="11"/>
      <c r="G28" s="11"/>
      <c r="H28" s="11"/>
      <c r="I28" s="11"/>
      <c r="J28" s="11">
        <v>8.5</v>
      </c>
      <c r="K28" s="11">
        <v>9.1999999999999993</v>
      </c>
      <c r="L28" s="11">
        <v>17.700000000000003</v>
      </c>
    </row>
    <row r="29" spans="1:12">
      <c r="A29" s="13" t="s">
        <v>89</v>
      </c>
      <c r="B29" s="13" t="s">
        <v>111</v>
      </c>
      <c r="C29" s="17">
        <v>2</v>
      </c>
      <c r="D29" s="12" t="s">
        <v>32</v>
      </c>
      <c r="E29" s="12"/>
      <c r="F29" s="12"/>
      <c r="G29" s="12"/>
      <c r="H29" s="12"/>
      <c r="I29" s="12"/>
      <c r="J29" s="12"/>
      <c r="K29" s="12">
        <v>2</v>
      </c>
      <c r="L29" s="12">
        <v>2</v>
      </c>
    </row>
    <row r="30" spans="1:12">
      <c r="A30" s="14" t="s">
        <v>96</v>
      </c>
      <c r="B30" s="14" t="s">
        <v>111</v>
      </c>
      <c r="C30" s="18">
        <v>1.5</v>
      </c>
      <c r="D30" s="11" t="s">
        <v>11</v>
      </c>
      <c r="E30" s="11"/>
      <c r="F30" s="11"/>
      <c r="G30" s="11"/>
      <c r="H30" s="11"/>
      <c r="I30" s="11"/>
      <c r="J30" s="11"/>
      <c r="K30" s="11">
        <v>1.5</v>
      </c>
      <c r="L30" s="11">
        <v>1.5</v>
      </c>
    </row>
    <row r="31" spans="1:12">
      <c r="A31" s="55" t="s">
        <v>28</v>
      </c>
      <c r="B31" s="55" t="s">
        <v>111</v>
      </c>
      <c r="C31" s="57">
        <v>415.40000000000009</v>
      </c>
      <c r="D31" s="12" t="s">
        <v>41</v>
      </c>
      <c r="E31" s="12"/>
      <c r="F31" s="12"/>
      <c r="G31" s="12"/>
      <c r="H31" s="12">
        <v>1</v>
      </c>
      <c r="I31" s="12"/>
      <c r="J31" s="12"/>
      <c r="K31" s="12"/>
      <c r="L31" s="12">
        <v>1</v>
      </c>
    </row>
    <row r="32" spans="1:12">
      <c r="A32" s="54"/>
      <c r="B32" s="54"/>
      <c r="C32" s="56"/>
      <c r="D32" s="11" t="s">
        <v>11</v>
      </c>
      <c r="E32" s="11"/>
      <c r="F32" s="11">
        <v>3</v>
      </c>
      <c r="G32" s="11">
        <v>6.2</v>
      </c>
      <c r="H32" s="11">
        <v>7</v>
      </c>
      <c r="I32" s="11">
        <v>4.8</v>
      </c>
      <c r="J32" s="11"/>
      <c r="K32" s="11"/>
      <c r="L32" s="11">
        <v>21</v>
      </c>
    </row>
    <row r="33" spans="1:12">
      <c r="A33" s="55"/>
      <c r="B33" s="55"/>
      <c r="C33" s="57"/>
      <c r="D33" s="12" t="s">
        <v>25</v>
      </c>
      <c r="E33" s="12">
        <v>9</v>
      </c>
      <c r="F33" s="12">
        <v>3.2</v>
      </c>
      <c r="G33" s="12">
        <v>5</v>
      </c>
      <c r="H33" s="12">
        <v>12.4</v>
      </c>
      <c r="I33" s="12">
        <v>14.8</v>
      </c>
      <c r="J33" s="12">
        <v>19.8</v>
      </c>
      <c r="K33" s="12">
        <v>9.8000000000000007</v>
      </c>
      <c r="L33" s="12">
        <v>74.000000000000014</v>
      </c>
    </row>
    <row r="34" spans="1:12">
      <c r="A34" s="54"/>
      <c r="B34" s="54"/>
      <c r="C34" s="56"/>
      <c r="D34" s="11" t="s">
        <v>21</v>
      </c>
      <c r="E34" s="11">
        <v>32.200000000000003</v>
      </c>
      <c r="F34" s="11">
        <v>53.20000000000001</v>
      </c>
      <c r="G34" s="11">
        <v>67.900000000000006</v>
      </c>
      <c r="H34" s="11">
        <v>84.7</v>
      </c>
      <c r="I34" s="11">
        <v>65</v>
      </c>
      <c r="J34" s="11">
        <v>13.299999999999999</v>
      </c>
      <c r="K34" s="11">
        <v>3.1</v>
      </c>
      <c r="L34" s="11">
        <v>319.40000000000009</v>
      </c>
    </row>
    <row r="35" spans="1:12">
      <c r="A35" s="55" t="s">
        <v>44</v>
      </c>
      <c r="B35" s="55" t="s">
        <v>111</v>
      </c>
      <c r="C35" s="57">
        <v>909.90000000000009</v>
      </c>
      <c r="D35" s="12" t="s">
        <v>21</v>
      </c>
      <c r="E35" s="12"/>
      <c r="F35" s="12"/>
      <c r="G35" s="12"/>
      <c r="H35" s="12"/>
      <c r="I35" s="12">
        <v>1.8</v>
      </c>
      <c r="J35" s="12"/>
      <c r="K35" s="12"/>
      <c r="L35" s="12">
        <v>1.8</v>
      </c>
    </row>
    <row r="36" spans="1:12">
      <c r="A36" s="54"/>
      <c r="B36" s="54"/>
      <c r="C36" s="56"/>
      <c r="D36" s="11" t="s">
        <v>41</v>
      </c>
      <c r="E36" s="11"/>
      <c r="F36" s="11"/>
      <c r="G36" s="11"/>
      <c r="H36" s="11">
        <v>4</v>
      </c>
      <c r="I36" s="11">
        <v>1.5</v>
      </c>
      <c r="J36" s="11">
        <v>7.5</v>
      </c>
      <c r="K36" s="11"/>
      <c r="L36" s="11">
        <v>13</v>
      </c>
    </row>
    <row r="37" spans="1:12">
      <c r="A37" s="55"/>
      <c r="B37" s="55"/>
      <c r="C37" s="57"/>
      <c r="D37" s="12" t="s">
        <v>25</v>
      </c>
      <c r="E37" s="12">
        <v>37.5</v>
      </c>
      <c r="F37" s="12">
        <v>38.5</v>
      </c>
      <c r="G37" s="12">
        <v>46.2</v>
      </c>
      <c r="H37" s="12">
        <v>30.7</v>
      </c>
      <c r="I37" s="12">
        <v>42</v>
      </c>
      <c r="J37" s="12">
        <v>64.7</v>
      </c>
      <c r="K37" s="12">
        <v>80.7</v>
      </c>
      <c r="L37" s="12">
        <v>340.30000000000007</v>
      </c>
    </row>
    <row r="38" spans="1:12">
      <c r="A38" s="54"/>
      <c r="B38" s="54"/>
      <c r="C38" s="56"/>
      <c r="D38" s="11" t="s">
        <v>32</v>
      </c>
      <c r="E38" s="11">
        <v>16</v>
      </c>
      <c r="F38" s="11">
        <v>34</v>
      </c>
      <c r="G38" s="11">
        <v>69</v>
      </c>
      <c r="H38" s="11">
        <v>130</v>
      </c>
      <c r="I38" s="11">
        <v>109.5</v>
      </c>
      <c r="J38" s="11">
        <v>105</v>
      </c>
      <c r="K38" s="11">
        <v>14.5</v>
      </c>
      <c r="L38" s="11">
        <v>478</v>
      </c>
    </row>
    <row r="39" spans="1:12">
      <c r="A39" s="55"/>
      <c r="B39" s="55"/>
      <c r="C39" s="57"/>
      <c r="D39" s="12" t="s">
        <v>11</v>
      </c>
      <c r="E39" s="12"/>
      <c r="F39" s="12">
        <v>5.7</v>
      </c>
      <c r="G39" s="12">
        <v>6.1</v>
      </c>
      <c r="H39" s="12">
        <v>10</v>
      </c>
      <c r="I39" s="12">
        <v>11</v>
      </c>
      <c r="J39" s="12">
        <v>32.800000000000004</v>
      </c>
      <c r="K39" s="12">
        <v>11.2</v>
      </c>
      <c r="L39" s="12">
        <v>76.8</v>
      </c>
    </row>
    <row r="40" spans="1:12">
      <c r="A40" s="54" t="s">
        <v>38</v>
      </c>
      <c r="B40" s="54" t="s">
        <v>111</v>
      </c>
      <c r="C40" s="56">
        <v>103.99999999999997</v>
      </c>
      <c r="D40" s="11" t="s">
        <v>11</v>
      </c>
      <c r="E40" s="11">
        <v>0.4</v>
      </c>
      <c r="F40" s="11"/>
      <c r="G40" s="11"/>
      <c r="H40" s="11">
        <v>2.9</v>
      </c>
      <c r="I40" s="11">
        <v>0.3</v>
      </c>
      <c r="J40" s="11">
        <v>4.3</v>
      </c>
      <c r="K40" s="11"/>
      <c r="L40" s="11">
        <v>7.8999999999999995</v>
      </c>
    </row>
    <row r="41" spans="1:12">
      <c r="A41" s="55"/>
      <c r="B41" s="55"/>
      <c r="C41" s="57"/>
      <c r="D41" s="12" t="s">
        <v>25</v>
      </c>
      <c r="E41" s="12">
        <v>11.7</v>
      </c>
      <c r="F41" s="12">
        <v>23.8</v>
      </c>
      <c r="G41" s="12">
        <v>9.6000000000000014</v>
      </c>
      <c r="H41" s="12">
        <v>20</v>
      </c>
      <c r="I41" s="12">
        <v>13.200000000000001</v>
      </c>
      <c r="J41" s="12">
        <v>6</v>
      </c>
      <c r="K41" s="12">
        <v>11.8</v>
      </c>
      <c r="L41" s="12">
        <v>96.099999999999966</v>
      </c>
    </row>
    <row r="42" spans="1:12">
      <c r="A42" s="54" t="s">
        <v>16</v>
      </c>
      <c r="B42" s="54" t="s">
        <v>111</v>
      </c>
      <c r="C42" s="56">
        <v>308.20000000000005</v>
      </c>
      <c r="D42" s="11" t="s">
        <v>41</v>
      </c>
      <c r="E42" s="11"/>
      <c r="F42" s="11">
        <v>3</v>
      </c>
      <c r="G42" s="11"/>
      <c r="H42" s="11"/>
      <c r="I42" s="11"/>
      <c r="J42" s="11"/>
      <c r="K42" s="11"/>
      <c r="L42" s="11">
        <v>3</v>
      </c>
    </row>
    <row r="43" spans="1:12">
      <c r="A43" s="55"/>
      <c r="B43" s="55"/>
      <c r="C43" s="57"/>
      <c r="D43" s="12" t="s">
        <v>11</v>
      </c>
      <c r="E43" s="12">
        <v>61.7</v>
      </c>
      <c r="F43" s="12">
        <v>70</v>
      </c>
      <c r="G43" s="12">
        <v>20.099999999999998</v>
      </c>
      <c r="H43" s="12">
        <v>3.4</v>
      </c>
      <c r="I43" s="12">
        <v>23.9</v>
      </c>
      <c r="J43" s="12">
        <v>60.3</v>
      </c>
      <c r="K43" s="12">
        <v>63.3</v>
      </c>
      <c r="L43" s="12">
        <v>302.70000000000005</v>
      </c>
    </row>
    <row r="44" spans="1:12">
      <c r="A44" s="54"/>
      <c r="B44" s="54"/>
      <c r="C44" s="56"/>
      <c r="D44" s="11" t="s">
        <v>32</v>
      </c>
      <c r="E44" s="11"/>
      <c r="F44" s="11">
        <v>2.5</v>
      </c>
      <c r="G44" s="11"/>
      <c r="H44" s="11"/>
      <c r="I44" s="11"/>
      <c r="J44" s="11"/>
      <c r="K44" s="11"/>
      <c r="L44" s="11">
        <v>2.5</v>
      </c>
    </row>
    <row r="45" spans="1:12">
      <c r="A45" s="55" t="s">
        <v>19</v>
      </c>
      <c r="B45" s="55" t="s">
        <v>111</v>
      </c>
      <c r="C45" s="57">
        <v>72</v>
      </c>
      <c r="D45" s="12" t="s">
        <v>41</v>
      </c>
      <c r="E45" s="12">
        <v>0.5</v>
      </c>
      <c r="F45" s="12"/>
      <c r="G45" s="12"/>
      <c r="H45" s="12"/>
      <c r="I45" s="12"/>
      <c r="J45" s="12"/>
      <c r="K45" s="12"/>
      <c r="L45" s="12">
        <v>0.5</v>
      </c>
    </row>
    <row r="46" spans="1:12">
      <c r="A46" s="54"/>
      <c r="B46" s="54"/>
      <c r="C46" s="56"/>
      <c r="D46" s="11" t="s">
        <v>11</v>
      </c>
      <c r="E46" s="11">
        <v>19.5</v>
      </c>
      <c r="F46" s="11"/>
      <c r="G46" s="11"/>
      <c r="H46" s="11">
        <v>3.5</v>
      </c>
      <c r="I46" s="11">
        <v>5.5</v>
      </c>
      <c r="J46" s="11"/>
      <c r="K46" s="11"/>
      <c r="L46" s="11">
        <v>28.5</v>
      </c>
    </row>
    <row r="47" spans="1:12">
      <c r="A47" s="55"/>
      <c r="B47" s="55"/>
      <c r="C47" s="57"/>
      <c r="D47" s="12" t="s">
        <v>32</v>
      </c>
      <c r="E47" s="12">
        <v>43</v>
      </c>
      <c r="F47" s="12"/>
      <c r="G47" s="12"/>
      <c r="H47" s="12"/>
      <c r="I47" s="12"/>
      <c r="J47" s="12"/>
      <c r="K47" s="12"/>
      <c r="L47" s="12">
        <v>43</v>
      </c>
    </row>
    <row r="48" spans="1:12">
      <c r="A48" s="54" t="s">
        <v>30</v>
      </c>
      <c r="B48" s="54" t="s">
        <v>111</v>
      </c>
      <c r="C48" s="56">
        <v>392.7999999999999</v>
      </c>
      <c r="D48" s="11" t="s">
        <v>32</v>
      </c>
      <c r="E48" s="11"/>
      <c r="F48" s="11"/>
      <c r="G48" s="11">
        <v>2</v>
      </c>
      <c r="H48" s="11"/>
      <c r="I48" s="11"/>
      <c r="J48" s="11">
        <v>0.5</v>
      </c>
      <c r="K48" s="11"/>
      <c r="L48" s="11">
        <v>2.5</v>
      </c>
    </row>
    <row r="49" spans="1:12">
      <c r="A49" s="55"/>
      <c r="B49" s="55"/>
      <c r="C49" s="57"/>
      <c r="D49" s="12" t="s">
        <v>25</v>
      </c>
      <c r="E49" s="12">
        <v>21.6</v>
      </c>
      <c r="F49" s="12">
        <v>69.899999999999991</v>
      </c>
      <c r="G49" s="12">
        <v>93.9</v>
      </c>
      <c r="H49" s="12">
        <v>51.400000000000006</v>
      </c>
      <c r="I49" s="12">
        <v>47.7</v>
      </c>
      <c r="J49" s="12">
        <v>56.5</v>
      </c>
      <c r="K49" s="12">
        <v>32.900000000000006</v>
      </c>
      <c r="L49" s="12">
        <v>373.89999999999992</v>
      </c>
    </row>
    <row r="50" spans="1:12">
      <c r="A50" s="54"/>
      <c r="B50" s="54"/>
      <c r="C50" s="56"/>
      <c r="D50" s="11" t="s">
        <v>11</v>
      </c>
      <c r="E50" s="11"/>
      <c r="F50" s="11"/>
      <c r="G50" s="11">
        <v>9.3999999999999986</v>
      </c>
      <c r="H50" s="11"/>
      <c r="I50" s="11">
        <v>3</v>
      </c>
      <c r="J50" s="11">
        <v>1</v>
      </c>
      <c r="K50" s="11"/>
      <c r="L50" s="11">
        <v>13.399999999999999</v>
      </c>
    </row>
    <row r="51" spans="1:12">
      <c r="A51" s="55"/>
      <c r="B51" s="55"/>
      <c r="C51" s="57"/>
      <c r="D51" s="12" t="s">
        <v>41</v>
      </c>
      <c r="E51" s="12"/>
      <c r="F51" s="12"/>
      <c r="G51" s="12">
        <v>2</v>
      </c>
      <c r="H51" s="12"/>
      <c r="I51" s="12">
        <v>0.5</v>
      </c>
      <c r="J51" s="12">
        <v>0.5</v>
      </c>
      <c r="K51" s="12"/>
      <c r="L51" s="12">
        <v>3</v>
      </c>
    </row>
  </sheetData>
  <sortState xmlns:xlrd2="http://schemas.microsoft.com/office/spreadsheetml/2017/richdata2" ref="A2:L51">
    <sortCondition ref="B2"/>
    <sortCondition ref="C2"/>
  </sortState>
  <mergeCells count="31">
    <mergeCell ref="C48:C51"/>
    <mergeCell ref="B45:B47"/>
    <mergeCell ref="B48:B51"/>
    <mergeCell ref="A48:A51"/>
    <mergeCell ref="B2:B6"/>
    <mergeCell ref="B8:B11"/>
    <mergeCell ref="B12:B13"/>
    <mergeCell ref="B16:B18"/>
    <mergeCell ref="B19:B20"/>
    <mergeCell ref="B23:B27"/>
    <mergeCell ref="B31:B34"/>
    <mergeCell ref="B35:B39"/>
    <mergeCell ref="B40:B41"/>
    <mergeCell ref="A2:A27"/>
    <mergeCell ref="A31:A34"/>
    <mergeCell ref="A35:A39"/>
    <mergeCell ref="A40:A41"/>
    <mergeCell ref="A42:A44"/>
    <mergeCell ref="A45:A47"/>
    <mergeCell ref="B42:B44"/>
    <mergeCell ref="C2:C6"/>
    <mergeCell ref="C31:C34"/>
    <mergeCell ref="C35:C39"/>
    <mergeCell ref="C40:C41"/>
    <mergeCell ref="C8:C11"/>
    <mergeCell ref="C12:C13"/>
    <mergeCell ref="C16:C18"/>
    <mergeCell ref="C19:C20"/>
    <mergeCell ref="C23:C27"/>
    <mergeCell ref="C42:C44"/>
    <mergeCell ref="C45:C4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EB07-A51A-426F-95B1-5198B771A0C5}">
  <sheetPr codeName="Sheet6">
    <tabColor rgb="FF002060"/>
  </sheetPr>
  <dimension ref="A1:G11"/>
  <sheetViews>
    <sheetView workbookViewId="0">
      <selection activeCell="F55" sqref="F55"/>
    </sheetView>
  </sheetViews>
  <sheetFormatPr defaultRowHeight="15"/>
  <cols>
    <col min="1" max="1" width="8.7109375" bestFit="1" customWidth="1"/>
    <col min="2" max="2" width="10" bestFit="1" customWidth="1"/>
    <col min="3" max="3" width="18.85546875" bestFit="1" customWidth="1"/>
    <col min="4" max="4" width="12" bestFit="1" customWidth="1"/>
  </cols>
  <sheetData>
    <row r="1" spans="1:7">
      <c r="A1" t="s">
        <v>99</v>
      </c>
      <c r="B1" t="s">
        <v>114</v>
      </c>
      <c r="C1" t="s">
        <v>115</v>
      </c>
      <c r="D1" t="s">
        <v>116</v>
      </c>
      <c r="F1" t="s">
        <v>117</v>
      </c>
      <c r="G1">
        <v>1060.8999999999999</v>
      </c>
    </row>
    <row r="2" spans="1:7">
      <c r="A2" t="s">
        <v>14</v>
      </c>
      <c r="B2">
        <v>1588.2</v>
      </c>
      <c r="C2">
        <v>1060.8999999999999</v>
      </c>
      <c r="D2">
        <v>1.497030822886229</v>
      </c>
      <c r="F2" t="s">
        <v>118</v>
      </c>
    </row>
    <row r="3" spans="1:7">
      <c r="A3" t="s">
        <v>44</v>
      </c>
      <c r="B3">
        <v>909.9</v>
      </c>
      <c r="C3">
        <v>1060.8999999999999</v>
      </c>
      <c r="D3">
        <v>0.85766801772080314</v>
      </c>
      <c r="F3" s="52">
        <v>45658</v>
      </c>
      <c r="G3">
        <v>121.2</v>
      </c>
    </row>
    <row r="4" spans="1:7">
      <c r="A4" t="s">
        <v>28</v>
      </c>
      <c r="B4">
        <v>415.40000000000009</v>
      </c>
      <c r="C4">
        <v>1060.8999999999999</v>
      </c>
      <c r="D4">
        <v>0.39155434065416167</v>
      </c>
      <c r="F4" s="52">
        <v>45689</v>
      </c>
      <c r="G4">
        <v>145.80000000000001</v>
      </c>
    </row>
    <row r="5" spans="1:7">
      <c r="A5" t="s">
        <v>30</v>
      </c>
      <c r="B5">
        <v>392.7999999999999</v>
      </c>
      <c r="C5">
        <v>1060.8999999999999</v>
      </c>
      <c r="D5">
        <v>0.37025167310773865</v>
      </c>
      <c r="F5" s="52">
        <v>45717</v>
      </c>
      <c r="G5">
        <v>178.7</v>
      </c>
    </row>
    <row r="6" spans="1:7">
      <c r="A6" t="s">
        <v>16</v>
      </c>
      <c r="B6">
        <v>308.20000000000005</v>
      </c>
      <c r="C6">
        <v>1060.8999999999999</v>
      </c>
      <c r="D6">
        <v>0.29050805919502315</v>
      </c>
      <c r="F6" s="52">
        <v>45748</v>
      </c>
      <c r="G6">
        <v>145.80000000000001</v>
      </c>
    </row>
    <row r="7" spans="1:7">
      <c r="A7" t="s">
        <v>38</v>
      </c>
      <c r="B7">
        <v>103.99999999999996</v>
      </c>
      <c r="C7">
        <v>1060.8999999999999</v>
      </c>
      <c r="D7">
        <v>9.8029974549910429E-2</v>
      </c>
      <c r="F7" s="52">
        <v>45778</v>
      </c>
      <c r="G7">
        <v>145.80000000000001</v>
      </c>
    </row>
    <row r="8" spans="1:7">
      <c r="A8" t="s">
        <v>19</v>
      </c>
      <c r="B8">
        <v>72</v>
      </c>
      <c r="C8">
        <v>1060.8999999999999</v>
      </c>
      <c r="D8">
        <v>6.7866905457630328E-2</v>
      </c>
      <c r="F8" s="52">
        <v>45809</v>
      </c>
      <c r="G8">
        <v>177.8</v>
      </c>
    </row>
    <row r="9" spans="1:7">
      <c r="A9" t="s">
        <v>83</v>
      </c>
      <c r="B9">
        <v>17.700000000000003</v>
      </c>
      <c r="C9">
        <v>1060.8999999999999</v>
      </c>
      <c r="D9">
        <v>1.6683947591667456E-2</v>
      </c>
      <c r="F9" s="52">
        <v>45839</v>
      </c>
      <c r="G9">
        <v>145.80000000000001</v>
      </c>
    </row>
    <row r="10" spans="1:7">
      <c r="A10" t="s">
        <v>89</v>
      </c>
      <c r="B10">
        <v>2</v>
      </c>
      <c r="C10">
        <v>1060.8999999999999</v>
      </c>
      <c r="D10">
        <v>1.8851918182675089E-3</v>
      </c>
    </row>
    <row r="11" spans="1:7">
      <c r="A11" t="s">
        <v>96</v>
      </c>
      <c r="B11">
        <v>1.5</v>
      </c>
      <c r="C11">
        <v>1060.8999999999999</v>
      </c>
      <c r="D11">
        <v>1.4138938637006317E-3</v>
      </c>
    </row>
  </sheetData>
  <sortState xmlns:xlrd2="http://schemas.microsoft.com/office/spreadsheetml/2017/richdata2" ref="A2:D11">
    <sortCondition descending="1" ref="D2"/>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D2330-85A4-4661-A68D-15180DF663D7}">
  <sheetPr codeName="Sheet20">
    <tabColor rgb="FF002060"/>
  </sheetPr>
  <dimension ref="A1:K13"/>
  <sheetViews>
    <sheetView showGridLines="0" topLeftCell="A4" workbookViewId="0">
      <selection activeCell="J33" sqref="J33"/>
    </sheetView>
  </sheetViews>
  <sheetFormatPr defaultRowHeight="15"/>
  <cols>
    <col min="1" max="1" width="12.5703125" bestFit="1" customWidth="1"/>
    <col min="2" max="3" width="18.85546875" bestFit="1" customWidth="1"/>
    <col min="4" max="4" width="22.42578125" bestFit="1" customWidth="1"/>
    <col min="5" max="5" width="18.85546875" bestFit="1" customWidth="1"/>
    <col min="6" max="6" width="12.5703125" bestFit="1" customWidth="1"/>
    <col min="7" max="7" width="28" bestFit="1" customWidth="1"/>
    <col min="8" max="9" width="18.85546875" bestFit="1" customWidth="1"/>
    <col min="10" max="10" width="19" bestFit="1" customWidth="1"/>
    <col min="11" max="11" width="6.140625" bestFit="1" customWidth="1"/>
    <col min="12" max="12" width="19" bestFit="1" customWidth="1"/>
    <col min="13" max="13" width="6.140625" bestFit="1" customWidth="1"/>
    <col min="14" max="14" width="18.85546875" bestFit="1" customWidth="1"/>
  </cols>
  <sheetData>
    <row r="1" spans="1:11">
      <c r="A1" t="s">
        <v>119</v>
      </c>
      <c r="B1" t="s">
        <v>120</v>
      </c>
      <c r="D1" t="s">
        <v>121</v>
      </c>
      <c r="E1" t="s">
        <v>120</v>
      </c>
      <c r="G1" t="s">
        <v>122</v>
      </c>
      <c r="H1" t="s">
        <v>120</v>
      </c>
      <c r="J1" t="s">
        <v>123</v>
      </c>
      <c r="K1" t="s">
        <v>124</v>
      </c>
    </row>
    <row r="2" spans="1:11">
      <c r="A2" t="s">
        <v>125</v>
      </c>
      <c r="B2">
        <v>386</v>
      </c>
      <c r="D2" t="s">
        <v>126</v>
      </c>
      <c r="E2">
        <v>1</v>
      </c>
      <c r="G2" t="s">
        <v>127</v>
      </c>
      <c r="H2">
        <v>2</v>
      </c>
      <c r="J2" t="s">
        <v>128</v>
      </c>
      <c r="K2">
        <v>96</v>
      </c>
    </row>
    <row r="3" spans="1:11">
      <c r="A3" t="s">
        <v>129</v>
      </c>
      <c r="B3">
        <v>523</v>
      </c>
      <c r="D3" t="s">
        <v>130</v>
      </c>
      <c r="E3">
        <v>2</v>
      </c>
      <c r="G3" t="s">
        <v>131</v>
      </c>
      <c r="H3">
        <v>3</v>
      </c>
      <c r="J3" t="s">
        <v>132</v>
      </c>
      <c r="K3">
        <v>813</v>
      </c>
    </row>
    <row r="4" spans="1:11">
      <c r="D4" t="s">
        <v>133</v>
      </c>
      <c r="E4">
        <v>3</v>
      </c>
      <c r="G4" t="s">
        <v>134</v>
      </c>
      <c r="H4">
        <v>3</v>
      </c>
    </row>
    <row r="5" spans="1:11">
      <c r="D5" t="s">
        <v>135</v>
      </c>
      <c r="E5">
        <v>6</v>
      </c>
      <c r="G5" t="s">
        <v>89</v>
      </c>
      <c r="H5">
        <v>7</v>
      </c>
    </row>
    <row r="6" spans="1:11">
      <c r="D6" t="s">
        <v>136</v>
      </c>
      <c r="E6">
        <v>12</v>
      </c>
      <c r="G6" t="s">
        <v>83</v>
      </c>
      <c r="H6">
        <v>10</v>
      </c>
    </row>
    <row r="7" spans="1:11">
      <c r="D7" t="s">
        <v>137</v>
      </c>
      <c r="E7">
        <v>32</v>
      </c>
      <c r="G7" t="s">
        <v>38</v>
      </c>
      <c r="H7">
        <v>14</v>
      </c>
    </row>
    <row r="8" spans="1:11">
      <c r="D8" t="s">
        <v>14</v>
      </c>
      <c r="E8">
        <v>47</v>
      </c>
      <c r="G8" t="s">
        <v>19</v>
      </c>
      <c r="H8">
        <v>14</v>
      </c>
    </row>
    <row r="9" spans="1:11">
      <c r="D9" t="s">
        <v>138</v>
      </c>
      <c r="E9">
        <v>75</v>
      </c>
      <c r="G9" t="s">
        <v>96</v>
      </c>
      <c r="H9">
        <v>21</v>
      </c>
    </row>
    <row r="10" spans="1:11">
      <c r="D10" t="s">
        <v>139</v>
      </c>
      <c r="E10">
        <v>96</v>
      </c>
      <c r="G10" t="s">
        <v>28</v>
      </c>
      <c r="H10">
        <v>34</v>
      </c>
    </row>
    <row r="11" spans="1:11">
      <c r="D11" t="s">
        <v>140</v>
      </c>
      <c r="E11">
        <v>249</v>
      </c>
      <c r="G11" t="s">
        <v>16</v>
      </c>
      <c r="H11">
        <v>55</v>
      </c>
    </row>
    <row r="12" spans="1:11">
      <c r="G12" t="s">
        <v>44</v>
      </c>
      <c r="H12">
        <v>88</v>
      </c>
    </row>
    <row r="13" spans="1:11">
      <c r="G13" t="s">
        <v>30</v>
      </c>
      <c r="H13">
        <v>135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7CAB0-7579-4F03-BC61-522E126CEA2E}">
  <sheetPr codeName="Sheet33">
    <tabColor rgb="FF002060"/>
  </sheetPr>
  <dimension ref="A1:L8"/>
  <sheetViews>
    <sheetView topLeftCell="A7" workbookViewId="0">
      <selection activeCell="X23" sqref="X23"/>
    </sheetView>
  </sheetViews>
  <sheetFormatPr defaultRowHeight="15"/>
  <cols>
    <col min="1" max="1" width="8.7109375" bestFit="1" customWidth="1"/>
    <col min="2" max="2" width="5" bestFit="1" customWidth="1"/>
    <col min="3" max="3" width="6" bestFit="1" customWidth="1"/>
    <col min="4" max="4" width="5" bestFit="1" customWidth="1"/>
    <col min="5" max="5" width="4" bestFit="1" customWidth="1"/>
    <col min="6" max="6" width="5" bestFit="1" customWidth="1"/>
    <col min="7" max="7" width="6" bestFit="1" customWidth="1"/>
    <col min="8" max="9" width="4" bestFit="1" customWidth="1"/>
    <col min="10" max="10" width="3.85546875" bestFit="1" customWidth="1"/>
    <col min="11" max="11" width="18.85546875" bestFit="1" customWidth="1"/>
    <col min="12" max="12" width="10.28515625" bestFit="1" customWidth="1"/>
  </cols>
  <sheetData>
    <row r="1" spans="1:12">
      <c r="A1" t="s">
        <v>141</v>
      </c>
      <c r="B1" t="s">
        <v>30</v>
      </c>
      <c r="C1" t="s">
        <v>44</v>
      </c>
      <c r="D1" t="s">
        <v>38</v>
      </c>
      <c r="E1" t="s">
        <v>83</v>
      </c>
      <c r="F1" t="s">
        <v>16</v>
      </c>
      <c r="G1" t="s">
        <v>28</v>
      </c>
      <c r="H1" t="s">
        <v>19</v>
      </c>
      <c r="I1" t="s">
        <v>96</v>
      </c>
      <c r="J1" t="s">
        <v>89</v>
      </c>
      <c r="K1" t="s">
        <v>120</v>
      </c>
      <c r="L1" t="s">
        <v>142</v>
      </c>
    </row>
    <row r="2" spans="1:12">
      <c r="A2" t="s">
        <v>143</v>
      </c>
      <c r="B2">
        <v>33.6</v>
      </c>
      <c r="C2">
        <v>60.9</v>
      </c>
      <c r="D2">
        <v>13.900000000000002</v>
      </c>
      <c r="E2">
        <v>0</v>
      </c>
      <c r="F2">
        <v>71</v>
      </c>
      <c r="G2">
        <v>62.800000000000004</v>
      </c>
      <c r="H2">
        <v>63</v>
      </c>
      <c r="I2">
        <v>0</v>
      </c>
      <c r="J2">
        <v>0</v>
      </c>
      <c r="K2">
        <v>0</v>
      </c>
      <c r="L2">
        <v>300.50000000000006</v>
      </c>
    </row>
    <row r="3" spans="1:12">
      <c r="A3" t="s">
        <v>144</v>
      </c>
      <c r="B3">
        <v>71.3</v>
      </c>
      <c r="C3">
        <v>92.4</v>
      </c>
      <c r="D3">
        <v>23</v>
      </c>
      <c r="E3">
        <v>0</v>
      </c>
      <c r="F3">
        <v>70.2</v>
      </c>
      <c r="G3">
        <v>45.7</v>
      </c>
      <c r="H3">
        <v>0</v>
      </c>
      <c r="I3">
        <v>0</v>
      </c>
      <c r="J3">
        <v>0</v>
      </c>
      <c r="K3">
        <v>0</v>
      </c>
      <c r="L3">
        <v>220.79999999999998</v>
      </c>
    </row>
    <row r="4" spans="1:12">
      <c r="A4" t="s">
        <v>145</v>
      </c>
      <c r="B4">
        <v>93.90000000000002</v>
      </c>
      <c r="C4">
        <v>99.7</v>
      </c>
      <c r="D4">
        <v>8.6</v>
      </c>
      <c r="E4">
        <v>0</v>
      </c>
      <c r="F4">
        <v>16.100000000000001</v>
      </c>
      <c r="G4">
        <v>71.2</v>
      </c>
      <c r="H4">
        <v>0</v>
      </c>
      <c r="I4">
        <v>0</v>
      </c>
      <c r="J4">
        <v>0</v>
      </c>
      <c r="K4">
        <v>172</v>
      </c>
      <c r="L4">
        <v>208.70000000000002</v>
      </c>
    </row>
    <row r="5" spans="1:12">
      <c r="A5" t="s">
        <v>146</v>
      </c>
      <c r="B5">
        <v>51.400000000000006</v>
      </c>
      <c r="C5">
        <v>174.7</v>
      </c>
      <c r="D5">
        <v>22.9</v>
      </c>
      <c r="E5">
        <v>0</v>
      </c>
      <c r="F5">
        <v>3.4</v>
      </c>
      <c r="G5">
        <v>105.1</v>
      </c>
      <c r="H5">
        <v>3.5</v>
      </c>
      <c r="I5">
        <v>0</v>
      </c>
      <c r="J5">
        <v>0</v>
      </c>
      <c r="K5">
        <v>80</v>
      </c>
      <c r="L5">
        <v>148.6</v>
      </c>
    </row>
    <row r="6" spans="1:12">
      <c r="A6" t="s">
        <v>107</v>
      </c>
      <c r="B6">
        <v>53.7</v>
      </c>
      <c r="C6">
        <v>203.60000000000002</v>
      </c>
      <c r="D6">
        <v>16.3</v>
      </c>
      <c r="E6">
        <v>0</v>
      </c>
      <c r="F6">
        <v>32.200000000000003</v>
      </c>
      <c r="G6">
        <v>89.8</v>
      </c>
      <c r="H6">
        <v>5.5</v>
      </c>
      <c r="I6">
        <v>0</v>
      </c>
      <c r="J6">
        <v>0</v>
      </c>
      <c r="K6">
        <v>334</v>
      </c>
      <c r="L6">
        <v>220.70000000000002</v>
      </c>
    </row>
    <row r="7" spans="1:12">
      <c r="A7" t="s">
        <v>147</v>
      </c>
      <c r="B7">
        <v>56.000000000000007</v>
      </c>
      <c r="C7">
        <v>172.2</v>
      </c>
      <c r="D7">
        <v>7.5</v>
      </c>
      <c r="E7">
        <v>8.5</v>
      </c>
      <c r="F7">
        <v>51.999999999999993</v>
      </c>
      <c r="G7">
        <v>27.9</v>
      </c>
      <c r="H7">
        <v>0</v>
      </c>
      <c r="I7">
        <v>0</v>
      </c>
      <c r="J7">
        <v>0</v>
      </c>
      <c r="K7">
        <v>107</v>
      </c>
      <c r="L7">
        <v>238.2</v>
      </c>
    </row>
    <row r="8" spans="1:12">
      <c r="A8" t="s">
        <v>148</v>
      </c>
      <c r="B8">
        <v>32.900000000000006</v>
      </c>
      <c r="C8">
        <v>106.4</v>
      </c>
      <c r="D8">
        <v>11.8</v>
      </c>
      <c r="E8">
        <v>9.1999999999999993</v>
      </c>
      <c r="F8">
        <v>63.3</v>
      </c>
      <c r="G8">
        <v>12.9</v>
      </c>
      <c r="H8">
        <v>0</v>
      </c>
      <c r="I8">
        <v>1.5</v>
      </c>
      <c r="J8">
        <v>2</v>
      </c>
      <c r="K8">
        <v>216</v>
      </c>
      <c r="L8">
        <v>253</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78FBE-2477-4374-8621-6863E4FE6AC7}">
  <sheetPr codeName="Sheet36">
    <tabColor rgb="FF002060"/>
  </sheetPr>
  <dimension ref="A1:B11"/>
  <sheetViews>
    <sheetView workbookViewId="0">
      <selection activeCell="C6" sqref="C6"/>
    </sheetView>
  </sheetViews>
  <sheetFormatPr defaultRowHeight="15"/>
  <sheetData>
    <row r="1" spans="1:2">
      <c r="A1" t="s">
        <v>99</v>
      </c>
      <c r="B1" t="s">
        <v>101</v>
      </c>
    </row>
    <row r="2" spans="1:2">
      <c r="A2" t="s">
        <v>14</v>
      </c>
      <c r="B2">
        <v>1590.5</v>
      </c>
    </row>
    <row r="3" spans="1:2">
      <c r="A3" t="s">
        <v>16</v>
      </c>
      <c r="B3">
        <v>308.20000000000005</v>
      </c>
    </row>
    <row r="4" spans="1:2">
      <c r="A4" t="s">
        <v>19</v>
      </c>
      <c r="B4">
        <v>72</v>
      </c>
    </row>
    <row r="5" spans="1:2">
      <c r="A5" t="s">
        <v>28</v>
      </c>
      <c r="B5">
        <v>415.40000000000009</v>
      </c>
    </row>
    <row r="6" spans="1:2">
      <c r="A6" t="s">
        <v>30</v>
      </c>
      <c r="B6">
        <v>392.7999999999999</v>
      </c>
    </row>
    <row r="7" spans="1:2">
      <c r="A7" t="s">
        <v>38</v>
      </c>
      <c r="B7">
        <v>103.99999999999996</v>
      </c>
    </row>
    <row r="8" spans="1:2">
      <c r="A8" t="s">
        <v>44</v>
      </c>
      <c r="B8">
        <v>909.9</v>
      </c>
    </row>
    <row r="9" spans="1:2">
      <c r="A9" t="s">
        <v>83</v>
      </c>
      <c r="B9">
        <v>17.700000000000003</v>
      </c>
    </row>
    <row r="10" spans="1:2">
      <c r="A10" t="s">
        <v>89</v>
      </c>
      <c r="B10">
        <v>2</v>
      </c>
    </row>
    <row r="11" spans="1:2">
      <c r="A11" t="s">
        <v>96</v>
      </c>
      <c r="B11">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161F0-034B-4357-A363-3ED31A1B0EE8}">
  <sheetPr codeName="Sheet5">
    <tabColor rgb="FFFF0000"/>
  </sheetPr>
  <dimension ref="A1:BD910"/>
  <sheetViews>
    <sheetView topLeftCell="U1" workbookViewId="0">
      <pane ySplit="1" topLeftCell="A846" activePane="bottomLeft" state="frozen"/>
      <selection pane="bottomLeft" activeCell="V2" sqref="V2:V910"/>
    </sheetView>
  </sheetViews>
  <sheetFormatPr defaultRowHeight="15"/>
  <cols>
    <col min="1" max="1" width="20" customWidth="1"/>
    <col min="2" max="2" width="37" customWidth="1"/>
    <col min="3" max="3" width="54" customWidth="1"/>
    <col min="4" max="4" width="85" customWidth="1"/>
    <col min="5" max="5" width="41" customWidth="1"/>
    <col min="6" max="6" width="34" customWidth="1"/>
    <col min="7" max="15" width="16" customWidth="1"/>
    <col min="16" max="16" width="116" customWidth="1"/>
    <col min="17" max="17" width="33" customWidth="1"/>
    <col min="18" max="18" width="48" customWidth="1"/>
    <col min="19" max="20" width="30" customWidth="1"/>
    <col min="21" max="21" width="85" customWidth="1"/>
    <col min="22" max="22" width="40" customWidth="1"/>
    <col min="23" max="24" width="21" customWidth="1"/>
    <col min="25" max="25" width="73" customWidth="1"/>
    <col min="26" max="26" width="43" customWidth="1"/>
    <col min="27" max="27" width="20" customWidth="1"/>
    <col min="28" max="29" width="16" customWidth="1"/>
    <col min="30" max="30" width="34" customWidth="1"/>
    <col min="31" max="31" width="25" customWidth="1"/>
    <col min="32" max="49" width="16" customWidth="1"/>
    <col min="50" max="50" width="39" customWidth="1"/>
    <col min="51" max="51" width="20" customWidth="1"/>
    <col min="52" max="52" width="16" customWidth="1"/>
    <col min="53" max="53" width="20" customWidth="1"/>
    <col min="54" max="55" width="33" customWidth="1"/>
  </cols>
  <sheetData>
    <row r="1" spans="1:56" ht="51">
      <c r="A1" s="53" t="s">
        <v>149</v>
      </c>
      <c r="B1" s="53" t="s">
        <v>150</v>
      </c>
      <c r="C1" s="53" t="s">
        <v>151</v>
      </c>
      <c r="D1" s="53" t="s">
        <v>152</v>
      </c>
      <c r="E1" s="53" t="s">
        <v>153</v>
      </c>
      <c r="F1" s="53" t="s">
        <v>154</v>
      </c>
      <c r="G1" s="53" t="s">
        <v>155</v>
      </c>
      <c r="H1" s="53" t="s">
        <v>156</v>
      </c>
      <c r="I1" s="53" t="s">
        <v>157</v>
      </c>
      <c r="J1" s="53" t="s">
        <v>158</v>
      </c>
      <c r="K1" s="53" t="s">
        <v>159</v>
      </c>
      <c r="L1" s="53" t="s">
        <v>160</v>
      </c>
      <c r="M1" s="53" t="s">
        <v>161</v>
      </c>
      <c r="N1" s="53" t="s">
        <v>162</v>
      </c>
      <c r="O1" s="53" t="s">
        <v>163</v>
      </c>
      <c r="P1" s="53" t="s">
        <v>164</v>
      </c>
      <c r="Q1" s="53" t="s">
        <v>165</v>
      </c>
      <c r="R1" s="53" t="s">
        <v>166</v>
      </c>
      <c r="S1" s="53" t="s">
        <v>167</v>
      </c>
      <c r="T1" s="53" t="s">
        <v>168</v>
      </c>
      <c r="U1" s="53" t="s">
        <v>169</v>
      </c>
      <c r="V1" s="53" t="s">
        <v>170</v>
      </c>
      <c r="W1" s="53" t="s">
        <v>171</v>
      </c>
      <c r="X1" s="53" t="s">
        <v>172</v>
      </c>
      <c r="Y1" s="53" t="s">
        <v>173</v>
      </c>
      <c r="Z1" s="53" t="s">
        <v>174</v>
      </c>
      <c r="AA1" s="53" t="s">
        <v>175</v>
      </c>
      <c r="AB1" s="53" t="s">
        <v>176</v>
      </c>
      <c r="AC1" s="53" t="s">
        <v>177</v>
      </c>
      <c r="AD1" s="53" t="s">
        <v>178</v>
      </c>
      <c r="AE1" s="53" t="s">
        <v>179</v>
      </c>
      <c r="AF1" s="53" t="s">
        <v>180</v>
      </c>
      <c r="AG1" s="53" t="s">
        <v>181</v>
      </c>
      <c r="AH1" s="53" t="s">
        <v>182</v>
      </c>
      <c r="AI1" s="53" t="s">
        <v>183</v>
      </c>
      <c r="AJ1" s="53" t="s">
        <v>184</v>
      </c>
      <c r="AK1" s="53" t="s">
        <v>185</v>
      </c>
      <c r="AL1" s="53" t="s">
        <v>186</v>
      </c>
      <c r="AM1" s="53" t="s">
        <v>187</v>
      </c>
      <c r="AN1" s="53" t="s">
        <v>188</v>
      </c>
      <c r="AO1" s="53" t="s">
        <v>189</v>
      </c>
      <c r="AP1" s="53" t="s">
        <v>190</v>
      </c>
      <c r="AQ1" s="53" t="s">
        <v>191</v>
      </c>
      <c r="AR1" s="53" t="s">
        <v>192</v>
      </c>
      <c r="AS1" s="53" t="s">
        <v>193</v>
      </c>
      <c r="AT1" s="53" t="s">
        <v>194</v>
      </c>
      <c r="AU1" s="53" t="s">
        <v>195</v>
      </c>
      <c r="AV1" s="53" t="s">
        <v>196</v>
      </c>
      <c r="AW1" s="53" t="s">
        <v>197</v>
      </c>
      <c r="AX1" s="53" t="s">
        <v>198</v>
      </c>
      <c r="AY1" s="53" t="s">
        <v>199</v>
      </c>
      <c r="AZ1" s="53" t="s">
        <v>200</v>
      </c>
      <c r="BA1" s="53" t="s">
        <v>201</v>
      </c>
      <c r="BB1" s="53" t="s">
        <v>202</v>
      </c>
      <c r="BC1" s="53" t="s">
        <v>203</v>
      </c>
    </row>
    <row r="2" spans="1:56">
      <c r="A2" s="6">
        <v>45737</v>
      </c>
      <c r="B2" s="7" t="s">
        <v>204</v>
      </c>
      <c r="C2" t="s">
        <v>205</v>
      </c>
      <c r="D2" t="s">
        <v>206</v>
      </c>
      <c r="G2" t="s">
        <v>207</v>
      </c>
      <c r="H2" s="8" t="s">
        <v>208</v>
      </c>
      <c r="I2" s="8" t="s">
        <v>208</v>
      </c>
      <c r="J2" s="8" t="s">
        <v>208</v>
      </c>
      <c r="K2" s="8" t="s">
        <v>208</v>
      </c>
      <c r="L2" s="8" t="s">
        <v>208</v>
      </c>
      <c r="M2" s="8" t="s">
        <v>208</v>
      </c>
      <c r="N2" s="8" t="s">
        <v>208</v>
      </c>
      <c r="O2" s="8" t="s">
        <v>208</v>
      </c>
      <c r="Q2" t="s">
        <v>209</v>
      </c>
      <c r="R2" t="s">
        <v>210</v>
      </c>
      <c r="S2" t="s">
        <v>210</v>
      </c>
      <c r="T2" t="s">
        <v>204</v>
      </c>
      <c r="U2" t="s">
        <v>211</v>
      </c>
      <c r="V2" t="s">
        <v>140</v>
      </c>
      <c r="W2" t="s">
        <v>212</v>
      </c>
      <c r="Y2" t="s">
        <v>213</v>
      </c>
      <c r="Z2" t="s">
        <v>213</v>
      </c>
      <c r="AA2" t="s">
        <v>214</v>
      </c>
      <c r="AB2" t="s">
        <v>215</v>
      </c>
      <c r="AC2" t="s">
        <v>215</v>
      </c>
      <c r="AD2" t="s">
        <v>216</v>
      </c>
      <c r="AE2" t="s">
        <v>217</v>
      </c>
      <c r="AG2" s="8" t="s">
        <v>218</v>
      </c>
      <c r="AH2" t="s">
        <v>219</v>
      </c>
      <c r="AI2" s="9" t="s">
        <v>218</v>
      </c>
      <c r="AJ2" s="9" t="s">
        <v>218</v>
      </c>
      <c r="AK2" t="s">
        <v>220</v>
      </c>
      <c r="AL2" s="9" t="s">
        <v>218</v>
      </c>
      <c r="AM2" s="8" t="s">
        <v>221</v>
      </c>
      <c r="AN2" s="8" t="s">
        <v>221</v>
      </c>
      <c r="AO2" s="8" t="s">
        <v>222</v>
      </c>
      <c r="AP2" s="8">
        <v>0</v>
      </c>
      <c r="AQ2" s="8">
        <v>0</v>
      </c>
      <c r="AR2" s="8">
        <v>0</v>
      </c>
      <c r="AS2" s="8">
        <v>0</v>
      </c>
      <c r="AT2" s="8">
        <v>0</v>
      </c>
      <c r="AU2" s="8">
        <v>0</v>
      </c>
      <c r="AV2" s="8">
        <v>0</v>
      </c>
      <c r="AW2" s="8">
        <v>0</v>
      </c>
      <c r="AX2" s="9" t="s">
        <v>223</v>
      </c>
      <c r="AY2" s="8"/>
      <c r="AZ2">
        <v>4</v>
      </c>
      <c r="BA2" t="s">
        <v>224</v>
      </c>
      <c r="BB2" t="s">
        <v>225</v>
      </c>
      <c r="BC2" t="s">
        <v>226</v>
      </c>
    </row>
    <row r="3" spans="1:56">
      <c r="A3" s="6">
        <v>45737</v>
      </c>
      <c r="B3" s="7" t="s">
        <v>227</v>
      </c>
      <c r="C3" t="s">
        <v>205</v>
      </c>
      <c r="D3" t="s">
        <v>228</v>
      </c>
      <c r="G3" t="s">
        <v>207</v>
      </c>
      <c r="H3" s="8" t="s">
        <v>208</v>
      </c>
      <c r="I3" s="8" t="s">
        <v>208</v>
      </c>
      <c r="J3" s="8" t="s">
        <v>208</v>
      </c>
      <c r="K3" s="8" t="s">
        <v>208</v>
      </c>
      <c r="L3" s="8" t="s">
        <v>208</v>
      </c>
      <c r="M3" s="8" t="s">
        <v>208</v>
      </c>
      <c r="N3" s="8" t="s">
        <v>208</v>
      </c>
      <c r="O3" s="8" t="s">
        <v>208</v>
      </c>
      <c r="Q3" t="s">
        <v>229</v>
      </c>
      <c r="R3" t="s">
        <v>230</v>
      </c>
      <c r="S3" t="s">
        <v>230</v>
      </c>
      <c r="T3" t="s">
        <v>227</v>
      </c>
      <c r="U3" t="s">
        <v>231</v>
      </c>
      <c r="V3" t="s">
        <v>137</v>
      </c>
      <c r="W3" t="s">
        <v>232</v>
      </c>
      <c r="Y3" t="s">
        <v>233</v>
      </c>
      <c r="Z3" t="s">
        <v>233</v>
      </c>
      <c r="AA3" t="s">
        <v>214</v>
      </c>
      <c r="AB3" t="s">
        <v>215</v>
      </c>
      <c r="AC3" t="s">
        <v>215</v>
      </c>
      <c r="AD3" t="s">
        <v>216</v>
      </c>
      <c r="AE3" t="s">
        <v>217</v>
      </c>
      <c r="AG3" s="8" t="s">
        <v>218</v>
      </c>
      <c r="AH3" t="s">
        <v>219</v>
      </c>
      <c r="AI3" s="9" t="s">
        <v>218</v>
      </c>
      <c r="AJ3" s="9" t="s">
        <v>218</v>
      </c>
      <c r="AK3" t="s">
        <v>234</v>
      </c>
      <c r="AL3" s="9" t="s">
        <v>218</v>
      </c>
      <c r="AM3" s="8" t="s">
        <v>221</v>
      </c>
      <c r="AN3" s="8" t="s">
        <v>221</v>
      </c>
      <c r="AO3" s="8" t="s">
        <v>222</v>
      </c>
      <c r="AP3" s="8">
        <v>0</v>
      </c>
      <c r="AQ3" s="8">
        <v>0</v>
      </c>
      <c r="AR3" s="8">
        <v>0</v>
      </c>
      <c r="AS3" s="8">
        <v>0</v>
      </c>
      <c r="AT3" s="8">
        <v>0</v>
      </c>
      <c r="AU3" s="8">
        <v>0</v>
      </c>
      <c r="AV3" s="8">
        <v>0</v>
      </c>
      <c r="AW3" s="8">
        <v>0</v>
      </c>
      <c r="AX3" s="8"/>
      <c r="AY3" s="8"/>
      <c r="AZ3">
        <v>4</v>
      </c>
      <c r="BA3" t="s">
        <v>235</v>
      </c>
      <c r="BB3" t="s">
        <v>236</v>
      </c>
      <c r="BC3" t="s">
        <v>237</v>
      </c>
      <c r="BD3" t="str" cm="1">
        <f t="array" ref="BD3:BD10">_xlfn.UNIQUE(C2:C910)</f>
        <v>Other Primary</v>
      </c>
    </row>
    <row r="4" spans="1:56">
      <c r="A4" s="6">
        <v>45737</v>
      </c>
      <c r="B4" s="7" t="s">
        <v>238</v>
      </c>
      <c r="C4" t="s">
        <v>205</v>
      </c>
      <c r="D4" t="s">
        <v>228</v>
      </c>
      <c r="G4" t="s">
        <v>207</v>
      </c>
      <c r="H4" s="8" t="s">
        <v>208</v>
      </c>
      <c r="I4" s="8" t="s">
        <v>208</v>
      </c>
      <c r="J4" s="8" t="s">
        <v>208</v>
      </c>
      <c r="K4" s="8" t="s">
        <v>208</v>
      </c>
      <c r="L4" s="8" t="s">
        <v>208</v>
      </c>
      <c r="M4" s="8" t="s">
        <v>208</v>
      </c>
      <c r="N4" s="8" t="s">
        <v>208</v>
      </c>
      <c r="O4" s="8" t="s">
        <v>208</v>
      </c>
      <c r="Q4" t="s">
        <v>239</v>
      </c>
      <c r="R4" t="s">
        <v>240</v>
      </c>
      <c r="S4" t="s">
        <v>240</v>
      </c>
      <c r="T4" t="s">
        <v>238</v>
      </c>
      <c r="U4" t="s">
        <v>241</v>
      </c>
      <c r="V4" t="s">
        <v>137</v>
      </c>
      <c r="W4" t="s">
        <v>212</v>
      </c>
      <c r="Y4" t="s">
        <v>213</v>
      </c>
      <c r="Z4" t="s">
        <v>213</v>
      </c>
      <c r="AA4" t="s">
        <v>214</v>
      </c>
      <c r="AB4" t="s">
        <v>242</v>
      </c>
      <c r="AC4" t="s">
        <v>242</v>
      </c>
      <c r="AD4" t="s">
        <v>216</v>
      </c>
      <c r="AE4" t="s">
        <v>217</v>
      </c>
      <c r="AG4" s="8" t="s">
        <v>218</v>
      </c>
      <c r="AH4" t="s">
        <v>219</v>
      </c>
      <c r="AI4" s="9" t="s">
        <v>218</v>
      </c>
      <c r="AJ4" s="9" t="s">
        <v>218</v>
      </c>
      <c r="AK4" t="s">
        <v>243</v>
      </c>
      <c r="AL4" s="9" t="s">
        <v>218</v>
      </c>
      <c r="AM4" s="8" t="s">
        <v>221</v>
      </c>
      <c r="AN4" s="8" t="s">
        <v>221</v>
      </c>
      <c r="AO4" s="8" t="s">
        <v>222</v>
      </c>
      <c r="AP4" s="8">
        <v>0</v>
      </c>
      <c r="AQ4" s="8">
        <v>0</v>
      </c>
      <c r="AR4" s="8">
        <v>0</v>
      </c>
      <c r="AS4" s="8">
        <v>0</v>
      </c>
      <c r="AT4" s="8">
        <v>0</v>
      </c>
      <c r="AU4" s="8">
        <v>0</v>
      </c>
      <c r="AV4" s="8">
        <v>0</v>
      </c>
      <c r="AW4" s="8">
        <v>0</v>
      </c>
      <c r="AX4" s="8"/>
      <c r="AY4" s="8"/>
      <c r="BC4" t="s">
        <v>244</v>
      </c>
      <c r="BD4" t="str">
        <v>Eng TRB Return (primary)</v>
      </c>
    </row>
    <row r="5" spans="1:56">
      <c r="A5" s="6">
        <v>45737</v>
      </c>
      <c r="B5" s="7" t="s">
        <v>245</v>
      </c>
      <c r="C5" t="s">
        <v>205</v>
      </c>
      <c r="D5" t="s">
        <v>228</v>
      </c>
      <c r="G5" t="s">
        <v>207</v>
      </c>
      <c r="H5" s="8" t="s">
        <v>208</v>
      </c>
      <c r="I5" s="8" t="s">
        <v>208</v>
      </c>
      <c r="J5" s="8" t="s">
        <v>208</v>
      </c>
      <c r="K5" s="8" t="s">
        <v>208</v>
      </c>
      <c r="L5" s="8" t="s">
        <v>208</v>
      </c>
      <c r="M5" s="8" t="s">
        <v>208</v>
      </c>
      <c r="N5" s="8" t="s">
        <v>208</v>
      </c>
      <c r="O5" s="8" t="s">
        <v>208</v>
      </c>
      <c r="Q5" t="s">
        <v>246</v>
      </c>
      <c r="R5" t="s">
        <v>247</v>
      </c>
      <c r="S5" t="s">
        <v>247</v>
      </c>
      <c r="T5" t="s">
        <v>245</v>
      </c>
      <c r="U5" t="s">
        <v>248</v>
      </c>
      <c r="V5" t="s">
        <v>137</v>
      </c>
      <c r="W5" t="s">
        <v>212</v>
      </c>
      <c r="Y5" t="s">
        <v>213</v>
      </c>
      <c r="Z5" t="s">
        <v>213</v>
      </c>
      <c r="AA5" t="s">
        <v>214</v>
      </c>
      <c r="AB5" t="s">
        <v>242</v>
      </c>
      <c r="AC5" t="s">
        <v>242</v>
      </c>
      <c r="AD5" t="s">
        <v>216</v>
      </c>
      <c r="AE5" t="s">
        <v>217</v>
      </c>
      <c r="AG5" s="8" t="s">
        <v>218</v>
      </c>
      <c r="AH5" t="s">
        <v>219</v>
      </c>
      <c r="AI5" s="9" t="s">
        <v>218</v>
      </c>
      <c r="AJ5" s="9" t="s">
        <v>218</v>
      </c>
      <c r="AK5" t="s">
        <v>249</v>
      </c>
      <c r="AL5" s="9" t="s">
        <v>218</v>
      </c>
      <c r="AM5" s="8" t="s">
        <v>221</v>
      </c>
      <c r="AN5" s="8" t="s">
        <v>221</v>
      </c>
      <c r="AO5" s="8" t="s">
        <v>222</v>
      </c>
      <c r="AP5" s="8">
        <v>0</v>
      </c>
      <c r="AQ5" s="8">
        <v>0</v>
      </c>
      <c r="AR5" s="8">
        <v>0</v>
      </c>
      <c r="AS5" s="8">
        <v>0</v>
      </c>
      <c r="AT5" s="8">
        <v>0</v>
      </c>
      <c r="AU5" s="8">
        <v>0</v>
      </c>
      <c r="AV5" s="8">
        <v>0</v>
      </c>
      <c r="AW5" s="8">
        <v>0</v>
      </c>
      <c r="AX5" s="8"/>
      <c r="AY5" s="8"/>
      <c r="BC5" t="s">
        <v>250</v>
      </c>
      <c r="BD5" t="str">
        <v>Eng TRB Initial</v>
      </c>
    </row>
    <row r="6" spans="1:56">
      <c r="A6" s="6">
        <v>45737</v>
      </c>
      <c r="B6" s="7" t="s">
        <v>251</v>
      </c>
      <c r="C6" t="s">
        <v>205</v>
      </c>
      <c r="D6" t="s">
        <v>228</v>
      </c>
      <c r="G6" t="s">
        <v>207</v>
      </c>
      <c r="H6" s="8" t="s">
        <v>208</v>
      </c>
      <c r="I6" s="8" t="s">
        <v>208</v>
      </c>
      <c r="J6" s="8" t="s">
        <v>208</v>
      </c>
      <c r="K6" s="8" t="s">
        <v>208</v>
      </c>
      <c r="L6" s="8" t="s">
        <v>208</v>
      </c>
      <c r="M6" s="8" t="s">
        <v>208</v>
      </c>
      <c r="N6" s="8" t="s">
        <v>208</v>
      </c>
      <c r="O6" s="8" t="s">
        <v>208</v>
      </c>
      <c r="Q6" t="s">
        <v>252</v>
      </c>
      <c r="R6" t="s">
        <v>253</v>
      </c>
      <c r="S6" t="s">
        <v>253</v>
      </c>
      <c r="T6" t="s">
        <v>251</v>
      </c>
      <c r="U6" t="s">
        <v>254</v>
      </c>
      <c r="V6" t="s">
        <v>137</v>
      </c>
      <c r="W6" t="s">
        <v>212</v>
      </c>
      <c r="Y6" t="s">
        <v>213</v>
      </c>
      <c r="Z6" t="s">
        <v>213</v>
      </c>
      <c r="AA6" t="s">
        <v>214</v>
      </c>
      <c r="AB6" t="s">
        <v>242</v>
      </c>
      <c r="AC6" t="s">
        <v>242</v>
      </c>
      <c r="AD6" t="s">
        <v>216</v>
      </c>
      <c r="AE6" t="s">
        <v>217</v>
      </c>
      <c r="AG6" s="8" t="s">
        <v>218</v>
      </c>
      <c r="AH6" t="s">
        <v>219</v>
      </c>
      <c r="AI6" s="9" t="s">
        <v>218</v>
      </c>
      <c r="AJ6" s="9" t="s">
        <v>218</v>
      </c>
      <c r="AK6" t="s">
        <v>249</v>
      </c>
      <c r="AL6" s="9" t="s">
        <v>218</v>
      </c>
      <c r="AM6" s="8" t="s">
        <v>221</v>
      </c>
      <c r="AN6" s="8" t="s">
        <v>221</v>
      </c>
      <c r="AO6" s="8" t="s">
        <v>222</v>
      </c>
      <c r="AP6" s="8">
        <v>0</v>
      </c>
      <c r="AQ6" s="8">
        <v>0</v>
      </c>
      <c r="AR6" s="8">
        <v>0</v>
      </c>
      <c r="AS6" s="8">
        <v>0</v>
      </c>
      <c r="AT6" s="8">
        <v>0</v>
      </c>
      <c r="AU6" s="8">
        <v>0</v>
      </c>
      <c r="AV6" s="8">
        <v>0</v>
      </c>
      <c r="AW6" s="8">
        <v>0</v>
      </c>
      <c r="AX6" s="8"/>
      <c r="AY6" s="8"/>
      <c r="BC6" t="s">
        <v>255</v>
      </c>
      <c r="BD6" t="str">
        <v>Eng TRB Return (secondary / impacted)</v>
      </c>
    </row>
    <row r="7" spans="1:56">
      <c r="A7" s="6">
        <v>45737</v>
      </c>
      <c r="B7" s="7" t="s">
        <v>256</v>
      </c>
      <c r="C7" t="s">
        <v>205</v>
      </c>
      <c r="D7" t="s">
        <v>228</v>
      </c>
      <c r="G7" t="s">
        <v>207</v>
      </c>
      <c r="H7" s="8" t="s">
        <v>208</v>
      </c>
      <c r="I7" s="8" t="s">
        <v>208</v>
      </c>
      <c r="J7" s="8" t="s">
        <v>208</v>
      </c>
      <c r="K7" s="8" t="s">
        <v>208</v>
      </c>
      <c r="L7" s="8" t="s">
        <v>208</v>
      </c>
      <c r="M7" s="8" t="s">
        <v>208</v>
      </c>
      <c r="N7" s="8" t="s">
        <v>208</v>
      </c>
      <c r="O7" s="8" t="s">
        <v>208</v>
      </c>
      <c r="Q7" t="s">
        <v>257</v>
      </c>
      <c r="R7" t="s">
        <v>258</v>
      </c>
      <c r="S7" t="s">
        <v>258</v>
      </c>
      <c r="T7" t="s">
        <v>256</v>
      </c>
      <c r="U7" t="s">
        <v>259</v>
      </c>
      <c r="V7" t="s">
        <v>137</v>
      </c>
      <c r="W7" t="s">
        <v>212</v>
      </c>
      <c r="Y7" t="s">
        <v>213</v>
      </c>
      <c r="Z7" t="s">
        <v>213</v>
      </c>
      <c r="AA7" t="s">
        <v>214</v>
      </c>
      <c r="AB7" t="s">
        <v>242</v>
      </c>
      <c r="AC7" t="s">
        <v>242</v>
      </c>
      <c r="AD7" t="s">
        <v>216</v>
      </c>
      <c r="AE7" t="s">
        <v>217</v>
      </c>
      <c r="AG7" s="8" t="s">
        <v>218</v>
      </c>
      <c r="AH7" t="s">
        <v>219</v>
      </c>
      <c r="AI7" s="9" t="s">
        <v>218</v>
      </c>
      <c r="AJ7" s="9" t="s">
        <v>218</v>
      </c>
      <c r="AK7" t="s">
        <v>249</v>
      </c>
      <c r="AL7" s="9" t="s">
        <v>218</v>
      </c>
      <c r="AM7" s="8" t="s">
        <v>221</v>
      </c>
      <c r="AN7" s="8" t="s">
        <v>221</v>
      </c>
      <c r="AO7" s="8" t="s">
        <v>222</v>
      </c>
      <c r="AP7" s="8">
        <v>0</v>
      </c>
      <c r="AQ7" s="8">
        <v>0</v>
      </c>
      <c r="AR7" s="8">
        <v>0</v>
      </c>
      <c r="AS7" s="8">
        <v>0</v>
      </c>
      <c r="AT7" s="8">
        <v>0</v>
      </c>
      <c r="AU7" s="8">
        <v>0</v>
      </c>
      <c r="AV7" s="8">
        <v>0</v>
      </c>
      <c r="AW7" s="8">
        <v>0</v>
      </c>
      <c r="AX7" s="8"/>
      <c r="AY7" s="8"/>
      <c r="BC7" t="s">
        <v>260</v>
      </c>
      <c r="BD7" t="str">
        <v>Impacted Unclaimed Diagram (not for approval)</v>
      </c>
    </row>
    <row r="8" spans="1:56">
      <c r="A8" s="6">
        <v>45737</v>
      </c>
      <c r="B8" s="7" t="s">
        <v>261</v>
      </c>
      <c r="C8" t="s">
        <v>205</v>
      </c>
      <c r="D8" t="s">
        <v>228</v>
      </c>
      <c r="G8" t="s">
        <v>207</v>
      </c>
      <c r="H8" s="8" t="s">
        <v>208</v>
      </c>
      <c r="I8" s="8" t="s">
        <v>208</v>
      </c>
      <c r="J8" s="8" t="s">
        <v>208</v>
      </c>
      <c r="K8" s="8" t="s">
        <v>208</v>
      </c>
      <c r="L8" s="8" t="s">
        <v>208</v>
      </c>
      <c r="M8" s="8" t="s">
        <v>208</v>
      </c>
      <c r="N8" s="8" t="s">
        <v>208</v>
      </c>
      <c r="O8" s="8" t="s">
        <v>208</v>
      </c>
      <c r="Q8" t="s">
        <v>262</v>
      </c>
      <c r="R8" t="s">
        <v>263</v>
      </c>
      <c r="S8" t="s">
        <v>263</v>
      </c>
      <c r="T8" t="s">
        <v>261</v>
      </c>
      <c r="U8" t="s">
        <v>264</v>
      </c>
      <c r="V8" t="s">
        <v>137</v>
      </c>
      <c r="W8" t="s">
        <v>212</v>
      </c>
      <c r="Y8" t="s">
        <v>213</v>
      </c>
      <c r="Z8" t="s">
        <v>213</v>
      </c>
      <c r="AA8" t="s">
        <v>214</v>
      </c>
      <c r="AB8" t="s">
        <v>242</v>
      </c>
      <c r="AC8" t="s">
        <v>242</v>
      </c>
      <c r="AD8" t="s">
        <v>216</v>
      </c>
      <c r="AE8" t="s">
        <v>217</v>
      </c>
      <c r="AG8" s="8" t="s">
        <v>218</v>
      </c>
      <c r="AH8" t="s">
        <v>219</v>
      </c>
      <c r="AI8" s="9" t="s">
        <v>218</v>
      </c>
      <c r="AJ8" s="9" t="s">
        <v>218</v>
      </c>
      <c r="AK8" t="s">
        <v>249</v>
      </c>
      <c r="AL8" s="9" t="s">
        <v>218</v>
      </c>
      <c r="AM8" s="8" t="s">
        <v>221</v>
      </c>
      <c r="AN8" s="8" t="s">
        <v>221</v>
      </c>
      <c r="AO8" s="8" t="s">
        <v>222</v>
      </c>
      <c r="AP8" s="8">
        <v>0</v>
      </c>
      <c r="AQ8" s="8">
        <v>0</v>
      </c>
      <c r="AR8" s="8">
        <v>0</v>
      </c>
      <c r="AS8" s="8">
        <v>0</v>
      </c>
      <c r="AT8" s="8">
        <v>0</v>
      </c>
      <c r="AU8" s="8">
        <v>0</v>
      </c>
      <c r="AV8" s="8">
        <v>0</v>
      </c>
      <c r="AW8" s="8">
        <v>0</v>
      </c>
      <c r="AX8" s="8"/>
      <c r="AY8" s="8"/>
      <c r="BC8" t="s">
        <v>265</v>
      </c>
      <c r="BD8" t="str">
        <v>Impacted Not to be Claimed Diagram (not for approval)</v>
      </c>
    </row>
    <row r="9" spans="1:56">
      <c r="A9" s="6">
        <v>45737</v>
      </c>
      <c r="B9" s="7" t="s">
        <v>266</v>
      </c>
      <c r="C9" t="s">
        <v>205</v>
      </c>
      <c r="D9" t="s">
        <v>228</v>
      </c>
      <c r="G9" t="s">
        <v>207</v>
      </c>
      <c r="H9" s="8" t="s">
        <v>208</v>
      </c>
      <c r="I9" s="8" t="s">
        <v>208</v>
      </c>
      <c r="J9" s="8" t="s">
        <v>208</v>
      </c>
      <c r="K9" s="8" t="s">
        <v>208</v>
      </c>
      <c r="L9" s="8" t="s">
        <v>208</v>
      </c>
      <c r="M9" s="8" t="s">
        <v>208</v>
      </c>
      <c r="N9" s="8" t="s">
        <v>208</v>
      </c>
      <c r="O9" s="8" t="s">
        <v>208</v>
      </c>
      <c r="Q9" t="s">
        <v>267</v>
      </c>
      <c r="R9" t="s">
        <v>268</v>
      </c>
      <c r="S9" t="s">
        <v>268</v>
      </c>
      <c r="T9" t="s">
        <v>266</v>
      </c>
      <c r="U9" t="s">
        <v>269</v>
      </c>
      <c r="V9" t="s">
        <v>137</v>
      </c>
      <c r="W9" t="s">
        <v>212</v>
      </c>
      <c r="Y9" t="s">
        <v>213</v>
      </c>
      <c r="Z9" t="s">
        <v>213</v>
      </c>
      <c r="AA9" t="s">
        <v>214</v>
      </c>
      <c r="AB9" t="s">
        <v>242</v>
      </c>
      <c r="AC9" t="s">
        <v>242</v>
      </c>
      <c r="AD9" t="s">
        <v>216</v>
      </c>
      <c r="AE9" t="s">
        <v>217</v>
      </c>
      <c r="AG9" s="8" t="s">
        <v>218</v>
      </c>
      <c r="AH9" t="s">
        <v>219</v>
      </c>
      <c r="AI9" s="9" t="s">
        <v>218</v>
      </c>
      <c r="AJ9" s="9" t="s">
        <v>218</v>
      </c>
      <c r="AK9" t="s">
        <v>249</v>
      </c>
      <c r="AL9" s="9" t="s">
        <v>218</v>
      </c>
      <c r="AM9" s="8" t="s">
        <v>221</v>
      </c>
      <c r="AN9" s="8" t="s">
        <v>221</v>
      </c>
      <c r="AO9" s="8" t="s">
        <v>222</v>
      </c>
      <c r="AP9" s="8">
        <v>0</v>
      </c>
      <c r="AQ9" s="8">
        <v>0</v>
      </c>
      <c r="AR9" s="8">
        <v>0</v>
      </c>
      <c r="AS9" s="8">
        <v>0</v>
      </c>
      <c r="AT9" s="8">
        <v>0</v>
      </c>
      <c r="AU9" s="8">
        <v>0</v>
      </c>
      <c r="AV9" s="8">
        <v>0</v>
      </c>
      <c r="AW9" s="8">
        <v>0</v>
      </c>
      <c r="AX9" s="8"/>
      <c r="AY9" s="8"/>
      <c r="BC9" t="s">
        <v>270</v>
      </c>
      <c r="BD9" t="str">
        <v>Promotion Only</v>
      </c>
    </row>
    <row r="10" spans="1:56">
      <c r="A10" s="6">
        <v>45737</v>
      </c>
      <c r="B10" s="7" t="s">
        <v>271</v>
      </c>
      <c r="C10" t="s">
        <v>205</v>
      </c>
      <c r="D10" t="s">
        <v>228</v>
      </c>
      <c r="G10" t="s">
        <v>207</v>
      </c>
      <c r="H10" s="8" t="s">
        <v>208</v>
      </c>
      <c r="I10" s="8" t="s">
        <v>208</v>
      </c>
      <c r="J10" s="8" t="s">
        <v>208</v>
      </c>
      <c r="K10" s="8" t="s">
        <v>208</v>
      </c>
      <c r="L10" s="8" t="s">
        <v>208</v>
      </c>
      <c r="M10" s="8" t="s">
        <v>208</v>
      </c>
      <c r="N10" s="8" t="s">
        <v>208</v>
      </c>
      <c r="O10" s="8" t="s">
        <v>208</v>
      </c>
      <c r="Q10" t="s">
        <v>272</v>
      </c>
      <c r="R10" t="s">
        <v>273</v>
      </c>
      <c r="S10" t="s">
        <v>273</v>
      </c>
      <c r="T10" t="s">
        <v>271</v>
      </c>
      <c r="U10" t="s">
        <v>274</v>
      </c>
      <c r="V10" t="s">
        <v>140</v>
      </c>
      <c r="W10" t="s">
        <v>212</v>
      </c>
      <c r="Y10" t="s">
        <v>275</v>
      </c>
      <c r="Z10" t="s">
        <v>213</v>
      </c>
      <c r="AA10" t="s">
        <v>214</v>
      </c>
      <c r="AB10" t="s">
        <v>276</v>
      </c>
      <c r="AC10" t="s">
        <v>277</v>
      </c>
      <c r="AD10" t="s">
        <v>216</v>
      </c>
      <c r="AE10" t="s">
        <v>217</v>
      </c>
      <c r="AG10" s="8" t="s">
        <v>218</v>
      </c>
      <c r="AH10" t="s">
        <v>219</v>
      </c>
      <c r="AI10" s="9" t="s">
        <v>218</v>
      </c>
      <c r="AJ10" s="9" t="s">
        <v>218</v>
      </c>
      <c r="AK10" t="s">
        <v>234</v>
      </c>
      <c r="AL10" s="8" t="s">
        <v>221</v>
      </c>
      <c r="AM10" s="9" t="s">
        <v>218</v>
      </c>
      <c r="AN10" s="8" t="s">
        <v>221</v>
      </c>
      <c r="AO10" s="8" t="s">
        <v>222</v>
      </c>
      <c r="AP10" s="8">
        <v>0</v>
      </c>
      <c r="AQ10" s="8">
        <v>0</v>
      </c>
      <c r="AR10" s="9">
        <v>46</v>
      </c>
      <c r="AS10" s="8">
        <v>0</v>
      </c>
      <c r="AT10" s="8">
        <v>0</v>
      </c>
      <c r="AU10" s="8">
        <v>0</v>
      </c>
      <c r="AV10" s="8">
        <v>0</v>
      </c>
      <c r="AW10" s="9">
        <v>46</v>
      </c>
      <c r="AX10" s="9" t="s">
        <v>278</v>
      </c>
      <c r="AY10" s="8"/>
      <c r="AZ10">
        <v>0</v>
      </c>
      <c r="BB10" t="s">
        <v>279</v>
      </c>
      <c r="BC10" t="s">
        <v>280</v>
      </c>
      <c r="BD10" t="str">
        <v>Impacted Claimed Diagram (not for approval)</v>
      </c>
    </row>
    <row r="11" spans="1:56">
      <c r="A11" s="6">
        <v>45737</v>
      </c>
      <c r="B11" s="7" t="s">
        <v>281</v>
      </c>
      <c r="C11" t="s">
        <v>205</v>
      </c>
      <c r="D11" t="s">
        <v>228</v>
      </c>
      <c r="G11" t="s">
        <v>207</v>
      </c>
      <c r="H11" s="8" t="s">
        <v>208</v>
      </c>
      <c r="I11" s="8" t="s">
        <v>208</v>
      </c>
      <c r="J11" s="8" t="s">
        <v>208</v>
      </c>
      <c r="K11" s="8" t="s">
        <v>208</v>
      </c>
      <c r="L11" s="8" t="s">
        <v>208</v>
      </c>
      <c r="M11" s="8" t="s">
        <v>208</v>
      </c>
      <c r="N11" s="8" t="s">
        <v>208</v>
      </c>
      <c r="O11" s="8" t="s">
        <v>208</v>
      </c>
      <c r="Q11" t="s">
        <v>282</v>
      </c>
      <c r="R11" t="s">
        <v>283</v>
      </c>
      <c r="S11" t="s">
        <v>283</v>
      </c>
      <c r="T11" t="s">
        <v>281</v>
      </c>
      <c r="U11" t="s">
        <v>284</v>
      </c>
      <c r="V11" t="s">
        <v>140</v>
      </c>
      <c r="W11" t="s">
        <v>212</v>
      </c>
      <c r="Y11" t="s">
        <v>213</v>
      </c>
      <c r="Z11" t="s">
        <v>213</v>
      </c>
      <c r="AA11" t="s">
        <v>214</v>
      </c>
      <c r="AB11" t="s">
        <v>285</v>
      </c>
      <c r="AC11" t="s">
        <v>285</v>
      </c>
      <c r="AD11" t="s">
        <v>216</v>
      </c>
      <c r="AE11" t="s">
        <v>217</v>
      </c>
      <c r="AG11" s="8" t="s">
        <v>218</v>
      </c>
      <c r="AH11" t="s">
        <v>219</v>
      </c>
      <c r="AI11" s="9" t="s">
        <v>218</v>
      </c>
      <c r="AJ11" s="9" t="s">
        <v>218</v>
      </c>
      <c r="AK11" t="s">
        <v>234</v>
      </c>
      <c r="AL11" s="9" t="s">
        <v>218</v>
      </c>
      <c r="AM11" s="8" t="s">
        <v>221</v>
      </c>
      <c r="AN11" s="8" t="s">
        <v>221</v>
      </c>
      <c r="AO11" s="8" t="s">
        <v>222</v>
      </c>
      <c r="AP11" s="8">
        <v>0</v>
      </c>
      <c r="AQ11" s="8">
        <v>0</v>
      </c>
      <c r="AR11" s="9">
        <v>15</v>
      </c>
      <c r="AS11" s="8">
        <v>0</v>
      </c>
      <c r="AT11" s="8">
        <v>0</v>
      </c>
      <c r="AU11" s="8">
        <v>0</v>
      </c>
      <c r="AV11" s="8">
        <v>0</v>
      </c>
      <c r="AW11" s="9">
        <v>15</v>
      </c>
      <c r="AX11" s="8"/>
      <c r="AY11" s="9" t="s">
        <v>286</v>
      </c>
      <c r="AZ11">
        <v>2</v>
      </c>
      <c r="BA11" t="s">
        <v>287</v>
      </c>
      <c r="BB11" t="s">
        <v>288</v>
      </c>
      <c r="BC11" t="s">
        <v>289</v>
      </c>
    </row>
    <row r="12" spans="1:56">
      <c r="A12" s="6">
        <v>45737</v>
      </c>
      <c r="B12" s="7" t="s">
        <v>290</v>
      </c>
      <c r="C12" t="s">
        <v>291</v>
      </c>
      <c r="D12" t="s">
        <v>292</v>
      </c>
      <c r="E12" t="s">
        <v>292</v>
      </c>
      <c r="F12" t="s">
        <v>293</v>
      </c>
      <c r="G12" t="s">
        <v>294</v>
      </c>
      <c r="H12" s="8" t="s">
        <v>208</v>
      </c>
      <c r="I12" s="8" t="s">
        <v>208</v>
      </c>
      <c r="J12" s="8" t="s">
        <v>208</v>
      </c>
      <c r="K12" s="8" t="s">
        <v>208</v>
      </c>
      <c r="L12" s="8" t="s">
        <v>208</v>
      </c>
      <c r="M12" s="8" t="s">
        <v>208</v>
      </c>
      <c r="N12" s="8" t="s">
        <v>208</v>
      </c>
      <c r="O12" s="8" t="s">
        <v>208</v>
      </c>
      <c r="Q12" t="s">
        <v>295</v>
      </c>
      <c r="R12" t="s">
        <v>296</v>
      </c>
      <c r="S12" t="s">
        <v>296</v>
      </c>
      <c r="T12" t="s">
        <v>290</v>
      </c>
      <c r="U12" t="s">
        <v>297</v>
      </c>
      <c r="V12" t="s">
        <v>30</v>
      </c>
      <c r="W12" t="s">
        <v>298</v>
      </c>
      <c r="Y12" t="s">
        <v>299</v>
      </c>
      <c r="Z12" t="s">
        <v>299</v>
      </c>
      <c r="AA12" t="s">
        <v>300</v>
      </c>
      <c r="AB12" t="s">
        <v>301</v>
      </c>
      <c r="AC12" t="s">
        <v>301</v>
      </c>
      <c r="AD12" t="s">
        <v>216</v>
      </c>
      <c r="AE12" t="s">
        <v>300</v>
      </c>
      <c r="AG12" s="8" t="s">
        <v>218</v>
      </c>
      <c r="AH12" t="s">
        <v>302</v>
      </c>
      <c r="AI12" s="9" t="s">
        <v>218</v>
      </c>
      <c r="AJ12" s="9" t="s">
        <v>218</v>
      </c>
      <c r="AK12" t="s">
        <v>303</v>
      </c>
      <c r="AL12" s="9" t="s">
        <v>218</v>
      </c>
      <c r="AM12" s="8" t="s">
        <v>221</v>
      </c>
      <c r="AN12" s="8" t="s">
        <v>221</v>
      </c>
      <c r="AO12" s="8" t="s">
        <v>222</v>
      </c>
      <c r="AP12" s="8">
        <v>0</v>
      </c>
      <c r="AQ12" s="8">
        <v>0</v>
      </c>
      <c r="AR12" s="8">
        <v>0</v>
      </c>
      <c r="AS12" s="8">
        <v>0</v>
      </c>
      <c r="AT12" s="8">
        <v>0</v>
      </c>
      <c r="AU12" s="8">
        <v>0</v>
      </c>
      <c r="AV12" s="8">
        <v>0</v>
      </c>
      <c r="AW12" s="8">
        <v>0</v>
      </c>
      <c r="AX12" s="8"/>
      <c r="AY12" s="8"/>
      <c r="AZ12">
        <v>1</v>
      </c>
      <c r="BA12" t="s">
        <v>304</v>
      </c>
      <c r="BB12" t="s">
        <v>305</v>
      </c>
      <c r="BC12" t="s">
        <v>306</v>
      </c>
    </row>
    <row r="13" spans="1:56">
      <c r="A13" s="6">
        <v>45737</v>
      </c>
      <c r="B13" s="7" t="s">
        <v>307</v>
      </c>
      <c r="C13" t="s">
        <v>308</v>
      </c>
      <c r="D13" t="s">
        <v>292</v>
      </c>
      <c r="E13" t="s">
        <v>292</v>
      </c>
      <c r="F13" t="s">
        <v>293</v>
      </c>
      <c r="G13" t="s">
        <v>294</v>
      </c>
      <c r="H13" s="8" t="s">
        <v>208</v>
      </c>
      <c r="I13" s="8" t="s">
        <v>208</v>
      </c>
      <c r="J13" s="8" t="s">
        <v>208</v>
      </c>
      <c r="K13" s="8" t="s">
        <v>208</v>
      </c>
      <c r="L13" s="8" t="s">
        <v>208</v>
      </c>
      <c r="M13" s="8" t="s">
        <v>208</v>
      </c>
      <c r="N13" s="8" t="s">
        <v>208</v>
      </c>
      <c r="O13" s="8" t="s">
        <v>208</v>
      </c>
      <c r="Q13" t="s">
        <v>309</v>
      </c>
      <c r="R13" t="s">
        <v>310</v>
      </c>
      <c r="S13" t="s">
        <v>310</v>
      </c>
      <c r="T13" t="s">
        <v>307</v>
      </c>
      <c r="U13" t="s">
        <v>311</v>
      </c>
      <c r="V13" t="s">
        <v>30</v>
      </c>
      <c r="W13" t="s">
        <v>298</v>
      </c>
      <c r="Y13" t="s">
        <v>299</v>
      </c>
      <c r="Z13" t="s">
        <v>299</v>
      </c>
      <c r="AA13" t="s">
        <v>300</v>
      </c>
      <c r="AB13" t="s">
        <v>312</v>
      </c>
      <c r="AC13" t="s">
        <v>312</v>
      </c>
      <c r="AD13" t="s">
        <v>216</v>
      </c>
      <c r="AE13" t="s">
        <v>300</v>
      </c>
      <c r="AG13" s="8" t="s">
        <v>218</v>
      </c>
      <c r="AH13" t="s">
        <v>302</v>
      </c>
      <c r="AI13" s="9" t="s">
        <v>218</v>
      </c>
      <c r="AJ13" s="9" t="s">
        <v>218</v>
      </c>
      <c r="AK13" t="s">
        <v>243</v>
      </c>
      <c r="AL13" s="9" t="s">
        <v>218</v>
      </c>
      <c r="AM13" s="8" t="s">
        <v>221</v>
      </c>
      <c r="AN13" s="8" t="s">
        <v>221</v>
      </c>
      <c r="AO13" s="8" t="s">
        <v>222</v>
      </c>
      <c r="AP13" s="8">
        <v>0</v>
      </c>
      <c r="AQ13" s="8">
        <v>0</v>
      </c>
      <c r="AR13" s="8">
        <v>0</v>
      </c>
      <c r="AS13" s="8">
        <v>0</v>
      </c>
      <c r="AT13" s="8">
        <v>0</v>
      </c>
      <c r="AU13" s="8">
        <v>0</v>
      </c>
      <c r="AV13" s="8">
        <v>0</v>
      </c>
      <c r="AW13" s="8">
        <v>0</v>
      </c>
      <c r="AX13" s="8"/>
      <c r="AY13" s="8"/>
      <c r="BC13" t="s">
        <v>313</v>
      </c>
    </row>
    <row r="14" spans="1:56">
      <c r="A14" s="6">
        <v>45737</v>
      </c>
      <c r="B14" s="7" t="s">
        <v>314</v>
      </c>
      <c r="C14" t="s">
        <v>308</v>
      </c>
      <c r="D14" t="s">
        <v>292</v>
      </c>
      <c r="E14" t="s">
        <v>292</v>
      </c>
      <c r="F14" t="s">
        <v>293</v>
      </c>
      <c r="G14" t="s">
        <v>294</v>
      </c>
      <c r="H14" s="8" t="s">
        <v>208</v>
      </c>
      <c r="I14" s="8" t="s">
        <v>208</v>
      </c>
      <c r="J14" s="8" t="s">
        <v>208</v>
      </c>
      <c r="K14" s="8" t="s">
        <v>208</v>
      </c>
      <c r="L14" s="8" t="s">
        <v>208</v>
      </c>
      <c r="M14" s="8" t="s">
        <v>208</v>
      </c>
      <c r="N14" s="8" t="s">
        <v>208</v>
      </c>
      <c r="O14" s="8" t="s">
        <v>208</v>
      </c>
      <c r="Q14" t="s">
        <v>315</v>
      </c>
      <c r="R14" t="s">
        <v>316</v>
      </c>
      <c r="S14" t="s">
        <v>316</v>
      </c>
      <c r="T14" t="s">
        <v>314</v>
      </c>
      <c r="U14" t="s">
        <v>317</v>
      </c>
      <c r="V14" t="s">
        <v>30</v>
      </c>
      <c r="W14" t="s">
        <v>298</v>
      </c>
      <c r="Y14" t="s">
        <v>299</v>
      </c>
      <c r="Z14" t="s">
        <v>299</v>
      </c>
      <c r="AA14" t="s">
        <v>300</v>
      </c>
      <c r="AB14" t="s">
        <v>312</v>
      </c>
      <c r="AC14" t="s">
        <v>312</v>
      </c>
      <c r="AD14" t="s">
        <v>216</v>
      </c>
      <c r="AE14" t="s">
        <v>300</v>
      </c>
      <c r="AG14" s="8" t="s">
        <v>218</v>
      </c>
      <c r="AH14" t="s">
        <v>302</v>
      </c>
      <c r="AI14" s="9" t="s">
        <v>218</v>
      </c>
      <c r="AJ14" s="9" t="s">
        <v>218</v>
      </c>
      <c r="AK14" t="s">
        <v>318</v>
      </c>
      <c r="AL14" s="9" t="s">
        <v>218</v>
      </c>
      <c r="AM14" s="8" t="s">
        <v>221</v>
      </c>
      <c r="AN14" s="8" t="s">
        <v>221</v>
      </c>
      <c r="AO14" s="8" t="s">
        <v>222</v>
      </c>
      <c r="AP14" s="8">
        <v>0</v>
      </c>
      <c r="AQ14" s="8">
        <v>0</v>
      </c>
      <c r="AR14" s="8">
        <v>0</v>
      </c>
      <c r="AS14" s="8">
        <v>0</v>
      </c>
      <c r="AT14" s="8">
        <v>0</v>
      </c>
      <c r="AU14" s="8">
        <v>0</v>
      </c>
      <c r="AV14" s="8">
        <v>0</v>
      </c>
      <c r="AW14" s="8">
        <v>0</v>
      </c>
      <c r="AX14" s="8"/>
      <c r="AY14" s="8"/>
      <c r="BC14" t="s">
        <v>319</v>
      </c>
    </row>
    <row r="15" spans="1:56">
      <c r="A15" s="6">
        <v>45737</v>
      </c>
      <c r="B15" s="7" t="s">
        <v>320</v>
      </c>
      <c r="C15" t="s">
        <v>308</v>
      </c>
      <c r="D15" t="s">
        <v>292</v>
      </c>
      <c r="E15" t="s">
        <v>292</v>
      </c>
      <c r="F15" t="s">
        <v>293</v>
      </c>
      <c r="G15" t="s">
        <v>294</v>
      </c>
      <c r="H15" s="8" t="s">
        <v>208</v>
      </c>
      <c r="I15" s="8" t="s">
        <v>208</v>
      </c>
      <c r="J15" s="8" t="s">
        <v>208</v>
      </c>
      <c r="K15" s="8" t="s">
        <v>208</v>
      </c>
      <c r="L15" s="8" t="s">
        <v>208</v>
      </c>
      <c r="M15" s="8" t="s">
        <v>208</v>
      </c>
      <c r="N15" s="8" t="s">
        <v>208</v>
      </c>
      <c r="O15" s="8" t="s">
        <v>208</v>
      </c>
      <c r="Q15" t="s">
        <v>321</v>
      </c>
      <c r="R15" t="s">
        <v>322</v>
      </c>
      <c r="S15" t="s">
        <v>322</v>
      </c>
      <c r="T15" t="s">
        <v>320</v>
      </c>
      <c r="U15" t="s">
        <v>323</v>
      </c>
      <c r="V15" t="s">
        <v>30</v>
      </c>
      <c r="W15" t="s">
        <v>298</v>
      </c>
      <c r="Y15" t="s">
        <v>299</v>
      </c>
      <c r="Z15" t="s">
        <v>299</v>
      </c>
      <c r="AA15" t="s">
        <v>300</v>
      </c>
      <c r="AB15" t="s">
        <v>312</v>
      </c>
      <c r="AC15" t="s">
        <v>312</v>
      </c>
      <c r="AD15" t="s">
        <v>216</v>
      </c>
      <c r="AE15" t="s">
        <v>300</v>
      </c>
      <c r="AG15" s="8" t="s">
        <v>218</v>
      </c>
      <c r="AH15" t="s">
        <v>302</v>
      </c>
      <c r="AI15" s="9" t="s">
        <v>218</v>
      </c>
      <c r="AJ15" s="9" t="s">
        <v>218</v>
      </c>
      <c r="AK15" t="s">
        <v>318</v>
      </c>
      <c r="AL15" s="9" t="s">
        <v>218</v>
      </c>
      <c r="AM15" s="8" t="s">
        <v>221</v>
      </c>
      <c r="AN15" s="8" t="s">
        <v>221</v>
      </c>
      <c r="AO15" s="8" t="s">
        <v>222</v>
      </c>
      <c r="AP15" s="8">
        <v>0</v>
      </c>
      <c r="AQ15" s="8">
        <v>0</v>
      </c>
      <c r="AR15" s="8">
        <v>0</v>
      </c>
      <c r="AS15" s="8">
        <v>0</v>
      </c>
      <c r="AT15" s="8">
        <v>0</v>
      </c>
      <c r="AU15" s="8">
        <v>0</v>
      </c>
      <c r="AV15" s="8">
        <v>0</v>
      </c>
      <c r="AW15" s="8">
        <v>0</v>
      </c>
      <c r="AX15" s="8"/>
      <c r="AY15" s="8"/>
      <c r="BC15" t="s">
        <v>324</v>
      </c>
    </row>
    <row r="16" spans="1:56">
      <c r="A16" s="6">
        <v>45737</v>
      </c>
      <c r="B16" s="7" t="s">
        <v>325</v>
      </c>
      <c r="C16" t="s">
        <v>308</v>
      </c>
      <c r="D16" t="s">
        <v>292</v>
      </c>
      <c r="E16" t="s">
        <v>292</v>
      </c>
      <c r="F16" t="s">
        <v>293</v>
      </c>
      <c r="G16" t="s">
        <v>294</v>
      </c>
      <c r="H16" s="8" t="s">
        <v>208</v>
      </c>
      <c r="I16" s="8" t="s">
        <v>208</v>
      </c>
      <c r="J16" s="8" t="s">
        <v>208</v>
      </c>
      <c r="K16" s="8" t="s">
        <v>208</v>
      </c>
      <c r="L16" s="8" t="s">
        <v>208</v>
      </c>
      <c r="M16" s="8" t="s">
        <v>208</v>
      </c>
      <c r="N16" s="8" t="s">
        <v>208</v>
      </c>
      <c r="O16" s="8" t="s">
        <v>208</v>
      </c>
      <c r="Q16" t="s">
        <v>326</v>
      </c>
      <c r="R16" t="s">
        <v>327</v>
      </c>
      <c r="S16" t="s">
        <v>327</v>
      </c>
      <c r="T16" t="s">
        <v>325</v>
      </c>
      <c r="U16" t="s">
        <v>328</v>
      </c>
      <c r="V16" t="s">
        <v>30</v>
      </c>
      <c r="W16" t="s">
        <v>298</v>
      </c>
      <c r="Y16" t="s">
        <v>299</v>
      </c>
      <c r="Z16" t="s">
        <v>299</v>
      </c>
      <c r="AA16" t="s">
        <v>300</v>
      </c>
      <c r="AB16" t="s">
        <v>312</v>
      </c>
      <c r="AC16" t="s">
        <v>312</v>
      </c>
      <c r="AD16" t="s">
        <v>216</v>
      </c>
      <c r="AE16" t="s">
        <v>300</v>
      </c>
      <c r="AG16" s="8" t="s">
        <v>218</v>
      </c>
      <c r="AH16" t="s">
        <v>302</v>
      </c>
      <c r="AI16" s="9" t="s">
        <v>218</v>
      </c>
      <c r="AJ16" s="9" t="s">
        <v>218</v>
      </c>
      <c r="AK16" t="s">
        <v>329</v>
      </c>
      <c r="AL16" s="9" t="s">
        <v>218</v>
      </c>
      <c r="AM16" s="8" t="s">
        <v>221</v>
      </c>
      <c r="AN16" s="8" t="s">
        <v>221</v>
      </c>
      <c r="AO16" s="8" t="s">
        <v>222</v>
      </c>
      <c r="AP16" s="8">
        <v>0</v>
      </c>
      <c r="AQ16" s="8">
        <v>0</v>
      </c>
      <c r="AR16" s="8">
        <v>0</v>
      </c>
      <c r="AS16" s="8">
        <v>0</v>
      </c>
      <c r="AT16" s="8">
        <v>0</v>
      </c>
      <c r="AU16" s="8">
        <v>0</v>
      </c>
      <c r="AV16" s="8">
        <v>0</v>
      </c>
      <c r="AW16" s="8">
        <v>0</v>
      </c>
      <c r="AX16" s="8"/>
      <c r="AY16" s="8"/>
      <c r="BC16" t="s">
        <v>330</v>
      </c>
    </row>
    <row r="17" spans="1:55">
      <c r="A17" s="6">
        <v>45737</v>
      </c>
      <c r="B17" s="7" t="s">
        <v>331</v>
      </c>
      <c r="C17" t="s">
        <v>308</v>
      </c>
      <c r="D17" t="s">
        <v>292</v>
      </c>
      <c r="E17" t="s">
        <v>292</v>
      </c>
      <c r="F17" t="s">
        <v>293</v>
      </c>
      <c r="G17" t="s">
        <v>294</v>
      </c>
      <c r="H17" s="8" t="s">
        <v>208</v>
      </c>
      <c r="I17" s="8" t="s">
        <v>208</v>
      </c>
      <c r="J17" s="8" t="s">
        <v>208</v>
      </c>
      <c r="K17" s="8" t="s">
        <v>208</v>
      </c>
      <c r="L17" s="8" t="s">
        <v>208</v>
      </c>
      <c r="M17" s="8" t="s">
        <v>208</v>
      </c>
      <c r="N17" s="8" t="s">
        <v>208</v>
      </c>
      <c r="O17" s="8" t="s">
        <v>208</v>
      </c>
      <c r="Q17" t="s">
        <v>332</v>
      </c>
      <c r="R17" t="s">
        <v>333</v>
      </c>
      <c r="S17" t="s">
        <v>333</v>
      </c>
      <c r="T17" t="s">
        <v>331</v>
      </c>
      <c r="U17" t="s">
        <v>334</v>
      </c>
      <c r="V17" t="s">
        <v>30</v>
      </c>
      <c r="W17" t="s">
        <v>298</v>
      </c>
      <c r="Y17" t="s">
        <v>299</v>
      </c>
      <c r="Z17" t="s">
        <v>299</v>
      </c>
      <c r="AA17" t="s">
        <v>300</v>
      </c>
      <c r="AB17" t="s">
        <v>312</v>
      </c>
      <c r="AC17" t="s">
        <v>312</v>
      </c>
      <c r="AD17" t="s">
        <v>216</v>
      </c>
      <c r="AE17" t="s">
        <v>300</v>
      </c>
      <c r="AG17" s="8" t="s">
        <v>218</v>
      </c>
      <c r="AH17" t="s">
        <v>302</v>
      </c>
      <c r="AI17" s="9" t="s">
        <v>218</v>
      </c>
      <c r="AJ17" s="9" t="s">
        <v>218</v>
      </c>
      <c r="AK17" t="s">
        <v>335</v>
      </c>
      <c r="AL17" s="9" t="s">
        <v>218</v>
      </c>
      <c r="AM17" s="8" t="s">
        <v>221</v>
      </c>
      <c r="AN17" s="8" t="s">
        <v>221</v>
      </c>
      <c r="AO17" s="8" t="s">
        <v>222</v>
      </c>
      <c r="AP17" s="8">
        <v>0</v>
      </c>
      <c r="AQ17" s="8">
        <v>0</v>
      </c>
      <c r="AR17" s="8">
        <v>0</v>
      </c>
      <c r="AS17" s="8">
        <v>0</v>
      </c>
      <c r="AT17" s="8">
        <v>0</v>
      </c>
      <c r="AU17" s="8">
        <v>0</v>
      </c>
      <c r="AV17" s="8">
        <v>0</v>
      </c>
      <c r="AW17" s="8">
        <v>0</v>
      </c>
      <c r="AX17" s="8"/>
      <c r="AY17" s="8"/>
      <c r="BC17" t="s">
        <v>336</v>
      </c>
    </row>
    <row r="18" spans="1:55">
      <c r="A18" s="6">
        <v>45737</v>
      </c>
      <c r="B18" s="7" t="s">
        <v>337</v>
      </c>
      <c r="C18" t="s">
        <v>308</v>
      </c>
      <c r="D18" t="s">
        <v>292</v>
      </c>
      <c r="E18" t="s">
        <v>292</v>
      </c>
      <c r="F18" t="s">
        <v>293</v>
      </c>
      <c r="G18" t="s">
        <v>294</v>
      </c>
      <c r="H18" s="8" t="s">
        <v>208</v>
      </c>
      <c r="I18" s="8" t="s">
        <v>208</v>
      </c>
      <c r="J18" s="8" t="s">
        <v>208</v>
      </c>
      <c r="K18" s="8" t="s">
        <v>208</v>
      </c>
      <c r="L18" s="8" t="s">
        <v>208</v>
      </c>
      <c r="M18" s="8" t="s">
        <v>208</v>
      </c>
      <c r="N18" s="8" t="s">
        <v>208</v>
      </c>
      <c r="O18" s="8" t="s">
        <v>208</v>
      </c>
      <c r="Q18" t="s">
        <v>338</v>
      </c>
      <c r="R18" t="s">
        <v>339</v>
      </c>
      <c r="S18" t="s">
        <v>339</v>
      </c>
      <c r="T18" t="s">
        <v>337</v>
      </c>
      <c r="U18" t="s">
        <v>340</v>
      </c>
      <c r="V18" t="s">
        <v>30</v>
      </c>
      <c r="W18" t="s">
        <v>298</v>
      </c>
      <c r="Y18" t="s">
        <v>299</v>
      </c>
      <c r="Z18" t="s">
        <v>299</v>
      </c>
      <c r="AA18" t="s">
        <v>300</v>
      </c>
      <c r="AB18" t="s">
        <v>312</v>
      </c>
      <c r="AC18" t="s">
        <v>312</v>
      </c>
      <c r="AD18" t="s">
        <v>216</v>
      </c>
      <c r="AE18" t="s">
        <v>300</v>
      </c>
      <c r="AG18" s="8" t="s">
        <v>218</v>
      </c>
      <c r="AH18" t="s">
        <v>302</v>
      </c>
      <c r="AI18" s="9" t="s">
        <v>218</v>
      </c>
      <c r="AJ18" s="9" t="s">
        <v>218</v>
      </c>
      <c r="AK18" t="s">
        <v>249</v>
      </c>
      <c r="AL18" s="9" t="s">
        <v>218</v>
      </c>
      <c r="AM18" s="8" t="s">
        <v>221</v>
      </c>
      <c r="AN18" s="8" t="s">
        <v>221</v>
      </c>
      <c r="AO18" s="8" t="s">
        <v>222</v>
      </c>
      <c r="AP18" s="8">
        <v>0</v>
      </c>
      <c r="AQ18" s="8">
        <v>0</v>
      </c>
      <c r="AR18" s="8">
        <v>0</v>
      </c>
      <c r="AS18" s="8">
        <v>0</v>
      </c>
      <c r="AT18" s="8">
        <v>0</v>
      </c>
      <c r="AU18" s="8">
        <v>0</v>
      </c>
      <c r="AV18" s="8">
        <v>0</v>
      </c>
      <c r="AW18" s="8">
        <v>0</v>
      </c>
      <c r="AX18" s="8"/>
      <c r="AY18" s="8"/>
      <c r="BC18" t="s">
        <v>341</v>
      </c>
    </row>
    <row r="19" spans="1:55">
      <c r="A19" s="6">
        <v>45737</v>
      </c>
      <c r="B19" s="7" t="s">
        <v>342</v>
      </c>
      <c r="C19" t="s">
        <v>308</v>
      </c>
      <c r="D19" t="s">
        <v>292</v>
      </c>
      <c r="E19" t="s">
        <v>292</v>
      </c>
      <c r="F19" t="s">
        <v>293</v>
      </c>
      <c r="G19" t="s">
        <v>294</v>
      </c>
      <c r="H19" s="8" t="s">
        <v>208</v>
      </c>
      <c r="I19" s="8" t="s">
        <v>208</v>
      </c>
      <c r="J19" s="8" t="s">
        <v>208</v>
      </c>
      <c r="K19" s="8" t="s">
        <v>208</v>
      </c>
      <c r="L19" s="8" t="s">
        <v>208</v>
      </c>
      <c r="M19" s="8" t="s">
        <v>208</v>
      </c>
      <c r="N19" s="8" t="s">
        <v>208</v>
      </c>
      <c r="O19" s="8" t="s">
        <v>208</v>
      </c>
      <c r="Q19" t="s">
        <v>343</v>
      </c>
      <c r="R19" t="s">
        <v>344</v>
      </c>
      <c r="S19" t="s">
        <v>344</v>
      </c>
      <c r="T19" t="s">
        <v>342</v>
      </c>
      <c r="U19" t="s">
        <v>345</v>
      </c>
      <c r="V19" t="s">
        <v>30</v>
      </c>
      <c r="W19" t="s">
        <v>298</v>
      </c>
      <c r="Y19" t="s">
        <v>299</v>
      </c>
      <c r="Z19" t="s">
        <v>299</v>
      </c>
      <c r="AA19" t="s">
        <v>300</v>
      </c>
      <c r="AB19" t="s">
        <v>312</v>
      </c>
      <c r="AC19" t="s">
        <v>312</v>
      </c>
      <c r="AD19" t="s">
        <v>216</v>
      </c>
      <c r="AE19" t="s">
        <v>300</v>
      </c>
      <c r="AG19" s="8" t="s">
        <v>218</v>
      </c>
      <c r="AH19" t="s">
        <v>302</v>
      </c>
      <c r="AI19" s="9" t="s">
        <v>218</v>
      </c>
      <c r="AJ19" s="9" t="s">
        <v>218</v>
      </c>
      <c r="AK19" t="s">
        <v>346</v>
      </c>
      <c r="AL19" s="9" t="s">
        <v>218</v>
      </c>
      <c r="AM19" s="8" t="s">
        <v>221</v>
      </c>
      <c r="AN19" s="8" t="s">
        <v>221</v>
      </c>
      <c r="AO19" s="8" t="s">
        <v>222</v>
      </c>
      <c r="AP19" s="8">
        <v>0</v>
      </c>
      <c r="AQ19" s="8">
        <v>0</v>
      </c>
      <c r="AR19" s="8">
        <v>0</v>
      </c>
      <c r="AS19" s="8">
        <v>0</v>
      </c>
      <c r="AT19" s="8">
        <v>0</v>
      </c>
      <c r="AU19" s="8">
        <v>0</v>
      </c>
      <c r="AV19" s="8">
        <v>0</v>
      </c>
      <c r="AW19" s="8">
        <v>0</v>
      </c>
      <c r="AX19" s="8"/>
      <c r="AY19" s="8"/>
      <c r="BC19" t="s">
        <v>347</v>
      </c>
    </row>
    <row r="20" spans="1:55">
      <c r="A20" s="6">
        <v>45737</v>
      </c>
      <c r="B20" s="7" t="s">
        <v>348</v>
      </c>
      <c r="C20" t="s">
        <v>308</v>
      </c>
      <c r="D20" t="s">
        <v>292</v>
      </c>
      <c r="E20" t="s">
        <v>292</v>
      </c>
      <c r="F20" t="s">
        <v>293</v>
      </c>
      <c r="G20" t="s">
        <v>294</v>
      </c>
      <c r="H20" s="8" t="s">
        <v>208</v>
      </c>
      <c r="I20" s="8" t="s">
        <v>208</v>
      </c>
      <c r="J20" s="8" t="s">
        <v>208</v>
      </c>
      <c r="K20" s="8" t="s">
        <v>208</v>
      </c>
      <c r="L20" s="8" t="s">
        <v>208</v>
      </c>
      <c r="M20" s="8" t="s">
        <v>208</v>
      </c>
      <c r="N20" s="8" t="s">
        <v>208</v>
      </c>
      <c r="O20" s="8" t="s">
        <v>208</v>
      </c>
      <c r="Q20" t="s">
        <v>349</v>
      </c>
      <c r="R20" t="s">
        <v>350</v>
      </c>
      <c r="S20" t="s">
        <v>350</v>
      </c>
      <c r="T20" t="s">
        <v>348</v>
      </c>
      <c r="U20" t="s">
        <v>351</v>
      </c>
      <c r="V20" t="s">
        <v>30</v>
      </c>
      <c r="W20" t="s">
        <v>298</v>
      </c>
      <c r="Y20" t="s">
        <v>299</v>
      </c>
      <c r="Z20" t="s">
        <v>299</v>
      </c>
      <c r="AA20" t="s">
        <v>300</v>
      </c>
      <c r="AB20" t="s">
        <v>312</v>
      </c>
      <c r="AC20" t="s">
        <v>312</v>
      </c>
      <c r="AD20" t="s">
        <v>216</v>
      </c>
      <c r="AE20" t="s">
        <v>300</v>
      </c>
      <c r="AG20" s="8" t="s">
        <v>218</v>
      </c>
      <c r="AH20" t="s">
        <v>302</v>
      </c>
      <c r="AI20" s="9" t="s">
        <v>218</v>
      </c>
      <c r="AJ20" s="9" t="s">
        <v>218</v>
      </c>
      <c r="AK20" t="s">
        <v>352</v>
      </c>
      <c r="AL20" s="9" t="s">
        <v>218</v>
      </c>
      <c r="AM20" s="8" t="s">
        <v>221</v>
      </c>
      <c r="AN20" s="8" t="s">
        <v>221</v>
      </c>
      <c r="AO20" s="8" t="s">
        <v>222</v>
      </c>
      <c r="AP20" s="8">
        <v>0</v>
      </c>
      <c r="AQ20" s="8">
        <v>0</v>
      </c>
      <c r="AR20" s="8">
        <v>0</v>
      </c>
      <c r="AS20" s="8">
        <v>0</v>
      </c>
      <c r="AT20" s="8">
        <v>0</v>
      </c>
      <c r="AU20" s="8">
        <v>0</v>
      </c>
      <c r="AV20" s="8">
        <v>0</v>
      </c>
      <c r="AW20" s="8">
        <v>0</v>
      </c>
      <c r="AX20" s="8"/>
      <c r="AY20" s="8"/>
      <c r="BC20" t="s">
        <v>353</v>
      </c>
    </row>
    <row r="21" spans="1:55">
      <c r="A21" s="6">
        <v>45737</v>
      </c>
      <c r="B21" s="7" t="s">
        <v>354</v>
      </c>
      <c r="C21" t="s">
        <v>308</v>
      </c>
      <c r="D21" t="s">
        <v>292</v>
      </c>
      <c r="E21" t="s">
        <v>292</v>
      </c>
      <c r="F21" t="s">
        <v>293</v>
      </c>
      <c r="G21" t="s">
        <v>294</v>
      </c>
      <c r="H21" s="8" t="s">
        <v>208</v>
      </c>
      <c r="I21" s="8" t="s">
        <v>208</v>
      </c>
      <c r="J21" s="8" t="s">
        <v>208</v>
      </c>
      <c r="K21" s="8" t="s">
        <v>208</v>
      </c>
      <c r="L21" s="8" t="s">
        <v>208</v>
      </c>
      <c r="M21" s="8" t="s">
        <v>208</v>
      </c>
      <c r="N21" s="8" t="s">
        <v>208</v>
      </c>
      <c r="O21" s="8" t="s">
        <v>208</v>
      </c>
      <c r="Q21" t="s">
        <v>355</v>
      </c>
      <c r="R21" t="s">
        <v>356</v>
      </c>
      <c r="S21" t="s">
        <v>356</v>
      </c>
      <c r="T21" t="s">
        <v>354</v>
      </c>
      <c r="U21" t="s">
        <v>357</v>
      </c>
      <c r="V21" t="s">
        <v>30</v>
      </c>
      <c r="W21" t="s">
        <v>298</v>
      </c>
      <c r="Y21" t="s">
        <v>299</v>
      </c>
      <c r="Z21" t="s">
        <v>299</v>
      </c>
      <c r="AA21" t="s">
        <v>300</v>
      </c>
      <c r="AB21" t="s">
        <v>312</v>
      </c>
      <c r="AC21" t="s">
        <v>312</v>
      </c>
      <c r="AD21" t="s">
        <v>216</v>
      </c>
      <c r="AE21" t="s">
        <v>300</v>
      </c>
      <c r="AG21" s="8" t="s">
        <v>218</v>
      </c>
      <c r="AH21" t="s">
        <v>302</v>
      </c>
      <c r="AI21" s="9" t="s">
        <v>218</v>
      </c>
      <c r="AJ21" s="9" t="s">
        <v>218</v>
      </c>
      <c r="AK21" t="s">
        <v>358</v>
      </c>
      <c r="AL21" s="9" t="s">
        <v>218</v>
      </c>
      <c r="AM21" s="8" t="s">
        <v>221</v>
      </c>
      <c r="AN21" s="8" t="s">
        <v>221</v>
      </c>
      <c r="AO21" s="8" t="s">
        <v>222</v>
      </c>
      <c r="AP21" s="8">
        <v>0</v>
      </c>
      <c r="AQ21" s="8">
        <v>0</v>
      </c>
      <c r="AR21" s="8">
        <v>0</v>
      </c>
      <c r="AS21" s="8">
        <v>0</v>
      </c>
      <c r="AT21" s="8">
        <v>0</v>
      </c>
      <c r="AU21" s="8">
        <v>0</v>
      </c>
      <c r="AV21" s="8">
        <v>0</v>
      </c>
      <c r="AW21" s="8">
        <v>0</v>
      </c>
      <c r="AX21" s="8"/>
      <c r="AY21" s="8"/>
      <c r="BC21" t="s">
        <v>359</v>
      </c>
    </row>
    <row r="22" spans="1:55">
      <c r="A22" s="6">
        <v>45737</v>
      </c>
      <c r="B22" s="7" t="s">
        <v>360</v>
      </c>
      <c r="C22" t="s">
        <v>308</v>
      </c>
      <c r="D22" t="s">
        <v>292</v>
      </c>
      <c r="E22" t="s">
        <v>292</v>
      </c>
      <c r="F22" t="s">
        <v>293</v>
      </c>
      <c r="G22" t="s">
        <v>294</v>
      </c>
      <c r="H22" s="8" t="s">
        <v>208</v>
      </c>
      <c r="I22" s="8" t="s">
        <v>208</v>
      </c>
      <c r="J22" s="8" t="s">
        <v>208</v>
      </c>
      <c r="K22" s="8" t="s">
        <v>208</v>
      </c>
      <c r="L22" s="8" t="s">
        <v>208</v>
      </c>
      <c r="M22" s="8" t="s">
        <v>208</v>
      </c>
      <c r="N22" s="8" t="s">
        <v>208</v>
      </c>
      <c r="O22" s="8" t="s">
        <v>208</v>
      </c>
      <c r="Q22" t="s">
        <v>361</v>
      </c>
      <c r="R22" t="s">
        <v>362</v>
      </c>
      <c r="S22" t="s">
        <v>362</v>
      </c>
      <c r="T22" t="s">
        <v>360</v>
      </c>
      <c r="U22" t="s">
        <v>363</v>
      </c>
      <c r="V22" t="s">
        <v>30</v>
      </c>
      <c r="W22" t="s">
        <v>298</v>
      </c>
      <c r="Y22" t="s">
        <v>299</v>
      </c>
      <c r="Z22" t="s">
        <v>299</v>
      </c>
      <c r="AA22" t="s">
        <v>300</v>
      </c>
      <c r="AB22" t="s">
        <v>312</v>
      </c>
      <c r="AC22" t="s">
        <v>312</v>
      </c>
      <c r="AD22" t="s">
        <v>216</v>
      </c>
      <c r="AE22" t="s">
        <v>300</v>
      </c>
      <c r="AG22" s="8" t="s">
        <v>218</v>
      </c>
      <c r="AH22" t="s">
        <v>302</v>
      </c>
      <c r="AI22" s="9" t="s">
        <v>218</v>
      </c>
      <c r="AJ22" s="9" t="s">
        <v>218</v>
      </c>
      <c r="AK22" t="s">
        <v>364</v>
      </c>
      <c r="AL22" s="9" t="s">
        <v>218</v>
      </c>
      <c r="AM22" s="8" t="s">
        <v>221</v>
      </c>
      <c r="AN22" s="8" t="s">
        <v>221</v>
      </c>
      <c r="AO22" s="8" t="s">
        <v>222</v>
      </c>
      <c r="AP22" s="8">
        <v>0</v>
      </c>
      <c r="AQ22" s="8">
        <v>0</v>
      </c>
      <c r="AR22" s="8">
        <v>0</v>
      </c>
      <c r="AS22" s="8">
        <v>0</v>
      </c>
      <c r="AT22" s="8">
        <v>0</v>
      </c>
      <c r="AU22" s="8">
        <v>0</v>
      </c>
      <c r="AV22" s="8">
        <v>0</v>
      </c>
      <c r="AW22" s="8">
        <v>0</v>
      </c>
      <c r="AX22" s="8"/>
      <c r="AY22" s="8"/>
      <c r="BC22" t="s">
        <v>365</v>
      </c>
    </row>
    <row r="23" spans="1:55">
      <c r="A23" s="6">
        <v>45737</v>
      </c>
      <c r="B23" s="7" t="s">
        <v>366</v>
      </c>
      <c r="C23" t="s">
        <v>308</v>
      </c>
      <c r="D23" t="s">
        <v>292</v>
      </c>
      <c r="E23" t="s">
        <v>292</v>
      </c>
      <c r="F23" t="s">
        <v>293</v>
      </c>
      <c r="G23" t="s">
        <v>294</v>
      </c>
      <c r="H23" s="8" t="s">
        <v>208</v>
      </c>
      <c r="I23" s="8" t="s">
        <v>208</v>
      </c>
      <c r="J23" s="8" t="s">
        <v>208</v>
      </c>
      <c r="K23" s="8" t="s">
        <v>208</v>
      </c>
      <c r="L23" s="8" t="s">
        <v>208</v>
      </c>
      <c r="M23" s="8" t="s">
        <v>208</v>
      </c>
      <c r="N23" s="8" t="s">
        <v>208</v>
      </c>
      <c r="O23" s="8" t="s">
        <v>208</v>
      </c>
      <c r="Q23" t="s">
        <v>367</v>
      </c>
      <c r="R23" t="s">
        <v>368</v>
      </c>
      <c r="S23" t="s">
        <v>368</v>
      </c>
      <c r="T23" t="s">
        <v>366</v>
      </c>
      <c r="U23" t="s">
        <v>369</v>
      </c>
      <c r="V23" t="s">
        <v>30</v>
      </c>
      <c r="W23" t="s">
        <v>298</v>
      </c>
      <c r="Y23" t="s">
        <v>299</v>
      </c>
      <c r="Z23" t="s">
        <v>299</v>
      </c>
      <c r="AA23" t="s">
        <v>300</v>
      </c>
      <c r="AB23" t="s">
        <v>312</v>
      </c>
      <c r="AC23" t="s">
        <v>312</v>
      </c>
      <c r="AD23" t="s">
        <v>216</v>
      </c>
      <c r="AE23" t="s">
        <v>300</v>
      </c>
      <c r="AG23" s="8" t="s">
        <v>218</v>
      </c>
      <c r="AH23" t="s">
        <v>302</v>
      </c>
      <c r="AI23" s="9" t="s">
        <v>218</v>
      </c>
      <c r="AJ23" s="9" t="s">
        <v>218</v>
      </c>
      <c r="AK23" t="s">
        <v>352</v>
      </c>
      <c r="AL23" s="9" t="s">
        <v>218</v>
      </c>
      <c r="AM23" s="8" t="s">
        <v>221</v>
      </c>
      <c r="AN23" s="8" t="s">
        <v>221</v>
      </c>
      <c r="AO23" s="8" t="s">
        <v>222</v>
      </c>
      <c r="AP23" s="8">
        <v>0</v>
      </c>
      <c r="AQ23" s="8">
        <v>0</v>
      </c>
      <c r="AR23" s="8">
        <v>0</v>
      </c>
      <c r="AS23" s="8">
        <v>0</v>
      </c>
      <c r="AT23" s="8">
        <v>0</v>
      </c>
      <c r="AU23" s="8">
        <v>0</v>
      </c>
      <c r="AV23" s="8">
        <v>0</v>
      </c>
      <c r="AW23" s="8">
        <v>0</v>
      </c>
      <c r="AX23" s="8"/>
      <c r="AY23" s="8"/>
      <c r="BC23" t="s">
        <v>370</v>
      </c>
    </row>
    <row r="24" spans="1:55">
      <c r="A24" s="6">
        <v>45737</v>
      </c>
      <c r="B24" s="7" t="s">
        <v>371</v>
      </c>
      <c r="C24" t="s">
        <v>308</v>
      </c>
      <c r="D24" t="s">
        <v>292</v>
      </c>
      <c r="E24" t="s">
        <v>292</v>
      </c>
      <c r="F24" t="s">
        <v>293</v>
      </c>
      <c r="G24" t="s">
        <v>294</v>
      </c>
      <c r="H24" s="8" t="s">
        <v>208</v>
      </c>
      <c r="I24" s="8" t="s">
        <v>208</v>
      </c>
      <c r="J24" s="8" t="s">
        <v>208</v>
      </c>
      <c r="K24" s="8" t="s">
        <v>208</v>
      </c>
      <c r="L24" s="8" t="s">
        <v>208</v>
      </c>
      <c r="M24" s="8" t="s">
        <v>208</v>
      </c>
      <c r="N24" s="8" t="s">
        <v>208</v>
      </c>
      <c r="O24" s="8" t="s">
        <v>208</v>
      </c>
      <c r="Q24" t="s">
        <v>372</v>
      </c>
      <c r="R24" t="s">
        <v>373</v>
      </c>
      <c r="S24" t="s">
        <v>373</v>
      </c>
      <c r="T24" t="s">
        <v>371</v>
      </c>
      <c r="U24" t="s">
        <v>374</v>
      </c>
      <c r="V24" t="s">
        <v>30</v>
      </c>
      <c r="W24" t="s">
        <v>298</v>
      </c>
      <c r="Y24" t="s">
        <v>299</v>
      </c>
      <c r="Z24" t="s">
        <v>299</v>
      </c>
      <c r="AA24" t="s">
        <v>300</v>
      </c>
      <c r="AB24" t="s">
        <v>312</v>
      </c>
      <c r="AC24" t="s">
        <v>312</v>
      </c>
      <c r="AD24" t="s">
        <v>216</v>
      </c>
      <c r="AE24" t="s">
        <v>300</v>
      </c>
      <c r="AG24" s="8" t="s">
        <v>218</v>
      </c>
      <c r="AH24" t="s">
        <v>302</v>
      </c>
      <c r="AI24" s="9" t="s">
        <v>218</v>
      </c>
      <c r="AJ24" s="9" t="s">
        <v>218</v>
      </c>
      <c r="AK24" t="s">
        <v>329</v>
      </c>
      <c r="AL24" s="9" t="s">
        <v>218</v>
      </c>
      <c r="AM24" s="8" t="s">
        <v>221</v>
      </c>
      <c r="AN24" s="8" t="s">
        <v>221</v>
      </c>
      <c r="AO24" s="8" t="s">
        <v>222</v>
      </c>
      <c r="AP24" s="8">
        <v>0</v>
      </c>
      <c r="AQ24" s="8">
        <v>0</v>
      </c>
      <c r="AR24" s="8">
        <v>0</v>
      </c>
      <c r="AS24" s="8">
        <v>0</v>
      </c>
      <c r="AT24" s="8">
        <v>0</v>
      </c>
      <c r="AU24" s="8">
        <v>0</v>
      </c>
      <c r="AV24" s="8">
        <v>0</v>
      </c>
      <c r="AW24" s="8">
        <v>0</v>
      </c>
      <c r="AX24" s="8"/>
      <c r="AY24" s="8"/>
      <c r="BC24" t="s">
        <v>375</v>
      </c>
    </row>
    <row r="25" spans="1:55">
      <c r="A25" s="6">
        <v>45737</v>
      </c>
      <c r="B25" s="7" t="s">
        <v>376</v>
      </c>
      <c r="C25" t="s">
        <v>308</v>
      </c>
      <c r="D25" t="s">
        <v>292</v>
      </c>
      <c r="E25" t="s">
        <v>292</v>
      </c>
      <c r="F25" t="s">
        <v>293</v>
      </c>
      <c r="G25" t="s">
        <v>294</v>
      </c>
      <c r="H25" s="8" t="s">
        <v>208</v>
      </c>
      <c r="I25" s="8" t="s">
        <v>208</v>
      </c>
      <c r="J25" s="8" t="s">
        <v>208</v>
      </c>
      <c r="K25" s="8" t="s">
        <v>208</v>
      </c>
      <c r="L25" s="8" t="s">
        <v>208</v>
      </c>
      <c r="M25" s="8" t="s">
        <v>208</v>
      </c>
      <c r="N25" s="8" t="s">
        <v>208</v>
      </c>
      <c r="O25" s="8" t="s">
        <v>208</v>
      </c>
      <c r="Q25" t="s">
        <v>377</v>
      </c>
      <c r="R25" t="s">
        <v>378</v>
      </c>
      <c r="S25" t="s">
        <v>378</v>
      </c>
      <c r="T25" t="s">
        <v>376</v>
      </c>
      <c r="U25" t="s">
        <v>379</v>
      </c>
      <c r="V25" t="s">
        <v>30</v>
      </c>
      <c r="W25" t="s">
        <v>298</v>
      </c>
      <c r="Y25" t="s">
        <v>299</v>
      </c>
      <c r="Z25" t="s">
        <v>299</v>
      </c>
      <c r="AA25" t="s">
        <v>300</v>
      </c>
      <c r="AB25" t="s">
        <v>312</v>
      </c>
      <c r="AC25" t="s">
        <v>312</v>
      </c>
      <c r="AD25" t="s">
        <v>216</v>
      </c>
      <c r="AE25" t="s">
        <v>300</v>
      </c>
      <c r="AG25" s="8" t="s">
        <v>218</v>
      </c>
      <c r="AH25" t="s">
        <v>302</v>
      </c>
      <c r="AI25" s="9" t="s">
        <v>218</v>
      </c>
      <c r="AJ25" s="9" t="s">
        <v>218</v>
      </c>
      <c r="AK25" t="s">
        <v>329</v>
      </c>
      <c r="AL25" s="9" t="s">
        <v>218</v>
      </c>
      <c r="AM25" s="8" t="s">
        <v>221</v>
      </c>
      <c r="AN25" s="8" t="s">
        <v>221</v>
      </c>
      <c r="AO25" s="8" t="s">
        <v>222</v>
      </c>
      <c r="AP25" s="8">
        <v>0</v>
      </c>
      <c r="AQ25" s="8">
        <v>0</v>
      </c>
      <c r="AR25" s="8">
        <v>0</v>
      </c>
      <c r="AS25" s="8">
        <v>0</v>
      </c>
      <c r="AT25" s="8">
        <v>0</v>
      </c>
      <c r="AU25" s="8">
        <v>0</v>
      </c>
      <c r="AV25" s="8">
        <v>0</v>
      </c>
      <c r="AW25" s="8">
        <v>0</v>
      </c>
      <c r="AX25" s="8"/>
      <c r="AY25" s="8"/>
      <c r="BC25" t="s">
        <v>380</v>
      </c>
    </row>
    <row r="26" spans="1:55">
      <c r="A26" s="6">
        <v>45737</v>
      </c>
      <c r="B26" s="7" t="s">
        <v>381</v>
      </c>
      <c r="C26" t="s">
        <v>308</v>
      </c>
      <c r="D26" t="s">
        <v>292</v>
      </c>
      <c r="E26" t="s">
        <v>292</v>
      </c>
      <c r="F26" t="s">
        <v>293</v>
      </c>
      <c r="G26" t="s">
        <v>294</v>
      </c>
      <c r="H26" s="8" t="s">
        <v>208</v>
      </c>
      <c r="I26" s="8" t="s">
        <v>208</v>
      </c>
      <c r="J26" s="8" t="s">
        <v>208</v>
      </c>
      <c r="K26" s="8" t="s">
        <v>208</v>
      </c>
      <c r="L26" s="8" t="s">
        <v>208</v>
      </c>
      <c r="M26" s="8" t="s">
        <v>208</v>
      </c>
      <c r="N26" s="8" t="s">
        <v>208</v>
      </c>
      <c r="O26" s="8" t="s">
        <v>208</v>
      </c>
      <c r="Q26" t="s">
        <v>382</v>
      </c>
      <c r="R26" t="s">
        <v>383</v>
      </c>
      <c r="S26" t="s">
        <v>383</v>
      </c>
      <c r="T26" t="s">
        <v>381</v>
      </c>
      <c r="U26" t="s">
        <v>384</v>
      </c>
      <c r="V26" t="s">
        <v>30</v>
      </c>
      <c r="W26" t="s">
        <v>298</v>
      </c>
      <c r="Y26" t="s">
        <v>299</v>
      </c>
      <c r="Z26" t="s">
        <v>299</v>
      </c>
      <c r="AA26" t="s">
        <v>300</v>
      </c>
      <c r="AB26" t="s">
        <v>312</v>
      </c>
      <c r="AC26" t="s">
        <v>312</v>
      </c>
      <c r="AD26" t="s">
        <v>216</v>
      </c>
      <c r="AE26" t="s">
        <v>300</v>
      </c>
      <c r="AG26" s="8" t="s">
        <v>218</v>
      </c>
      <c r="AH26" t="s">
        <v>302</v>
      </c>
      <c r="AI26" s="9" t="s">
        <v>218</v>
      </c>
      <c r="AJ26" s="9" t="s">
        <v>218</v>
      </c>
      <c r="AK26" t="s">
        <v>352</v>
      </c>
      <c r="AL26" s="9" t="s">
        <v>218</v>
      </c>
      <c r="AM26" s="8" t="s">
        <v>221</v>
      </c>
      <c r="AN26" s="8" t="s">
        <v>221</v>
      </c>
      <c r="AO26" s="8" t="s">
        <v>222</v>
      </c>
      <c r="AP26" s="8">
        <v>0</v>
      </c>
      <c r="AQ26" s="8">
        <v>0</v>
      </c>
      <c r="AR26" s="8">
        <v>0</v>
      </c>
      <c r="AS26" s="8">
        <v>0</v>
      </c>
      <c r="AT26" s="8">
        <v>0</v>
      </c>
      <c r="AU26" s="8">
        <v>0</v>
      </c>
      <c r="AV26" s="8">
        <v>0</v>
      </c>
      <c r="AW26" s="8">
        <v>0</v>
      </c>
      <c r="AX26" s="8"/>
      <c r="AY26" s="8"/>
      <c r="BC26" t="s">
        <v>385</v>
      </c>
    </row>
    <row r="27" spans="1:55">
      <c r="A27" s="6">
        <v>45737</v>
      </c>
      <c r="B27" s="7" t="s">
        <v>386</v>
      </c>
      <c r="C27" t="s">
        <v>387</v>
      </c>
      <c r="D27" t="s">
        <v>292</v>
      </c>
      <c r="E27" t="s">
        <v>292</v>
      </c>
      <c r="F27" t="s">
        <v>293</v>
      </c>
      <c r="G27" t="s">
        <v>294</v>
      </c>
      <c r="H27" s="8" t="s">
        <v>208</v>
      </c>
      <c r="I27" s="8" t="s">
        <v>208</v>
      </c>
      <c r="J27" s="8" t="s">
        <v>208</v>
      </c>
      <c r="K27" s="8" t="s">
        <v>208</v>
      </c>
      <c r="L27" s="8" t="s">
        <v>208</v>
      </c>
      <c r="M27" s="8" t="s">
        <v>208</v>
      </c>
      <c r="N27" s="8" t="s">
        <v>208</v>
      </c>
      <c r="O27" s="8" t="s">
        <v>208</v>
      </c>
      <c r="Q27" t="s">
        <v>388</v>
      </c>
      <c r="R27" t="s">
        <v>389</v>
      </c>
      <c r="S27" t="s">
        <v>389</v>
      </c>
      <c r="T27" t="s">
        <v>386</v>
      </c>
      <c r="U27" t="s">
        <v>390</v>
      </c>
      <c r="V27" t="s">
        <v>30</v>
      </c>
      <c r="W27" t="s">
        <v>298</v>
      </c>
      <c r="Y27" t="s">
        <v>299</v>
      </c>
      <c r="Z27" t="s">
        <v>299</v>
      </c>
      <c r="AA27" t="s">
        <v>300</v>
      </c>
      <c r="AB27" t="s">
        <v>391</v>
      </c>
      <c r="AC27" t="s">
        <v>391</v>
      </c>
      <c r="AD27" t="s">
        <v>216</v>
      </c>
      <c r="AE27" t="s">
        <v>300</v>
      </c>
      <c r="AG27" s="8" t="s">
        <v>218</v>
      </c>
      <c r="AH27" t="s">
        <v>302</v>
      </c>
      <c r="AI27" s="9" t="s">
        <v>218</v>
      </c>
      <c r="AJ27" s="9" t="s">
        <v>218</v>
      </c>
      <c r="AK27" t="s">
        <v>392</v>
      </c>
      <c r="AL27" s="9" t="s">
        <v>218</v>
      </c>
      <c r="AM27" s="8" t="s">
        <v>221</v>
      </c>
      <c r="AN27" s="8" t="s">
        <v>221</v>
      </c>
      <c r="AO27" s="8" t="s">
        <v>222</v>
      </c>
      <c r="AP27" s="8">
        <v>0</v>
      </c>
      <c r="AQ27" s="8">
        <v>0</v>
      </c>
      <c r="AR27" s="9">
        <v>10</v>
      </c>
      <c r="AS27" s="8">
        <v>0</v>
      </c>
      <c r="AT27" s="8">
        <v>0</v>
      </c>
      <c r="AU27" s="8">
        <v>0</v>
      </c>
      <c r="AV27" s="8">
        <v>0</v>
      </c>
      <c r="AW27" s="9">
        <v>10</v>
      </c>
      <c r="AX27" s="8"/>
      <c r="AY27" s="8"/>
      <c r="AZ27">
        <v>1</v>
      </c>
      <c r="BA27" t="s">
        <v>304</v>
      </c>
      <c r="BB27" t="s">
        <v>393</v>
      </c>
      <c r="BC27" t="s">
        <v>394</v>
      </c>
    </row>
    <row r="28" spans="1:55">
      <c r="A28" s="6">
        <v>45737</v>
      </c>
      <c r="B28" s="7" t="s">
        <v>395</v>
      </c>
      <c r="C28" t="s">
        <v>387</v>
      </c>
      <c r="D28" t="s">
        <v>292</v>
      </c>
      <c r="E28" t="s">
        <v>292</v>
      </c>
      <c r="F28" t="s">
        <v>293</v>
      </c>
      <c r="G28" t="s">
        <v>294</v>
      </c>
      <c r="H28" s="8" t="s">
        <v>208</v>
      </c>
      <c r="I28" s="8" t="s">
        <v>208</v>
      </c>
      <c r="J28" s="8" t="s">
        <v>208</v>
      </c>
      <c r="K28" s="8" t="s">
        <v>208</v>
      </c>
      <c r="L28" s="8" t="s">
        <v>208</v>
      </c>
      <c r="M28" s="8" t="s">
        <v>208</v>
      </c>
      <c r="N28" s="8" t="s">
        <v>208</v>
      </c>
      <c r="O28" s="8" t="s">
        <v>208</v>
      </c>
      <c r="Q28" t="s">
        <v>396</v>
      </c>
      <c r="R28" t="s">
        <v>397</v>
      </c>
      <c r="S28" t="s">
        <v>397</v>
      </c>
      <c r="T28" t="s">
        <v>395</v>
      </c>
      <c r="U28" t="s">
        <v>398</v>
      </c>
      <c r="V28" t="s">
        <v>30</v>
      </c>
      <c r="W28" t="s">
        <v>298</v>
      </c>
      <c r="Y28" t="s">
        <v>299</v>
      </c>
      <c r="Z28" t="s">
        <v>299</v>
      </c>
      <c r="AA28" t="s">
        <v>300</v>
      </c>
      <c r="AB28" t="s">
        <v>399</v>
      </c>
      <c r="AC28" t="s">
        <v>399</v>
      </c>
      <c r="AD28" t="s">
        <v>216</v>
      </c>
      <c r="AE28" t="s">
        <v>300</v>
      </c>
      <c r="AG28" s="8" t="s">
        <v>218</v>
      </c>
      <c r="AH28" t="s">
        <v>302</v>
      </c>
      <c r="AI28" s="9" t="s">
        <v>218</v>
      </c>
      <c r="AJ28" s="9" t="s">
        <v>218</v>
      </c>
      <c r="AK28" t="s">
        <v>400</v>
      </c>
      <c r="AL28" s="9" t="s">
        <v>218</v>
      </c>
      <c r="AM28" s="8" t="s">
        <v>221</v>
      </c>
      <c r="AN28" s="8" t="s">
        <v>221</v>
      </c>
      <c r="AO28" s="8" t="s">
        <v>222</v>
      </c>
      <c r="AP28" s="8">
        <v>0</v>
      </c>
      <c r="AQ28" s="8">
        <v>0</v>
      </c>
      <c r="AR28" s="8">
        <v>0</v>
      </c>
      <c r="AS28" s="8">
        <v>0</v>
      </c>
      <c r="AT28" s="8">
        <v>0</v>
      </c>
      <c r="AU28" s="8">
        <v>0</v>
      </c>
      <c r="AV28" s="8">
        <v>0</v>
      </c>
      <c r="AW28" s="8">
        <v>0</v>
      </c>
      <c r="AX28" s="8"/>
      <c r="AY28" s="8"/>
      <c r="AZ28">
        <v>4</v>
      </c>
      <c r="BA28" t="s">
        <v>401</v>
      </c>
      <c r="BB28" t="s">
        <v>402</v>
      </c>
      <c r="BC28" t="s">
        <v>403</v>
      </c>
    </row>
    <row r="29" spans="1:55">
      <c r="A29" s="6">
        <v>45737</v>
      </c>
      <c r="B29" s="7" t="s">
        <v>404</v>
      </c>
      <c r="C29" t="s">
        <v>387</v>
      </c>
      <c r="D29" t="s">
        <v>292</v>
      </c>
      <c r="E29" t="s">
        <v>292</v>
      </c>
      <c r="F29" t="s">
        <v>293</v>
      </c>
      <c r="G29" t="s">
        <v>294</v>
      </c>
      <c r="H29" s="8" t="s">
        <v>208</v>
      </c>
      <c r="I29" s="8" t="s">
        <v>208</v>
      </c>
      <c r="J29" s="8" t="s">
        <v>208</v>
      </c>
      <c r="K29" s="8" t="s">
        <v>208</v>
      </c>
      <c r="L29" s="8" t="s">
        <v>208</v>
      </c>
      <c r="M29" s="8" t="s">
        <v>208</v>
      </c>
      <c r="N29" s="8" t="s">
        <v>208</v>
      </c>
      <c r="O29" s="8" t="s">
        <v>208</v>
      </c>
      <c r="Q29" t="s">
        <v>405</v>
      </c>
      <c r="R29" t="s">
        <v>406</v>
      </c>
      <c r="S29" t="s">
        <v>406</v>
      </c>
      <c r="T29" t="s">
        <v>404</v>
      </c>
      <c r="U29" t="s">
        <v>407</v>
      </c>
      <c r="V29" t="s">
        <v>30</v>
      </c>
      <c r="W29" t="s">
        <v>298</v>
      </c>
      <c r="Y29" t="s">
        <v>299</v>
      </c>
      <c r="Z29" t="s">
        <v>299</v>
      </c>
      <c r="AA29" t="s">
        <v>300</v>
      </c>
      <c r="AB29" t="s">
        <v>408</v>
      </c>
      <c r="AC29" t="s">
        <v>408</v>
      </c>
      <c r="AD29" t="s">
        <v>216</v>
      </c>
      <c r="AE29" t="s">
        <v>300</v>
      </c>
      <c r="AG29" s="8" t="s">
        <v>218</v>
      </c>
      <c r="AH29" t="s">
        <v>302</v>
      </c>
      <c r="AI29" s="9" t="s">
        <v>218</v>
      </c>
      <c r="AJ29" s="9" t="s">
        <v>218</v>
      </c>
      <c r="AK29" t="s">
        <v>409</v>
      </c>
      <c r="AL29" s="9" t="s">
        <v>218</v>
      </c>
      <c r="AM29" s="8" t="s">
        <v>221</v>
      </c>
      <c r="AN29" s="8" t="s">
        <v>221</v>
      </c>
      <c r="AO29" s="8" t="s">
        <v>222</v>
      </c>
      <c r="AP29" s="8">
        <v>0</v>
      </c>
      <c r="AQ29" s="8">
        <v>0</v>
      </c>
      <c r="AR29" s="9">
        <v>11</v>
      </c>
      <c r="AS29" s="8">
        <v>0</v>
      </c>
      <c r="AT29" s="8">
        <v>0</v>
      </c>
      <c r="AU29" s="8">
        <v>0</v>
      </c>
      <c r="AV29" s="8">
        <v>0</v>
      </c>
      <c r="AW29" s="9">
        <v>11</v>
      </c>
      <c r="AX29" s="8"/>
      <c r="AY29" s="8"/>
      <c r="AZ29">
        <v>3</v>
      </c>
      <c r="BA29" t="s">
        <v>410</v>
      </c>
      <c r="BB29" t="s">
        <v>411</v>
      </c>
      <c r="BC29" t="s">
        <v>412</v>
      </c>
    </row>
    <row r="30" spans="1:55">
      <c r="A30" s="6">
        <v>45737</v>
      </c>
      <c r="B30" s="7" t="s">
        <v>413</v>
      </c>
      <c r="C30" t="s">
        <v>387</v>
      </c>
      <c r="D30" t="s">
        <v>292</v>
      </c>
      <c r="E30" t="s">
        <v>292</v>
      </c>
      <c r="F30" t="s">
        <v>293</v>
      </c>
      <c r="G30" t="s">
        <v>294</v>
      </c>
      <c r="H30" s="8" t="s">
        <v>208</v>
      </c>
      <c r="I30" s="8" t="s">
        <v>208</v>
      </c>
      <c r="J30" s="8" t="s">
        <v>208</v>
      </c>
      <c r="K30" s="8" t="s">
        <v>208</v>
      </c>
      <c r="L30" s="8" t="s">
        <v>208</v>
      </c>
      <c r="M30" s="8" t="s">
        <v>208</v>
      </c>
      <c r="N30" s="8" t="s">
        <v>208</v>
      </c>
      <c r="O30" s="8" t="s">
        <v>208</v>
      </c>
      <c r="Q30" t="s">
        <v>414</v>
      </c>
      <c r="R30" t="s">
        <v>415</v>
      </c>
      <c r="S30" t="s">
        <v>415</v>
      </c>
      <c r="T30" t="s">
        <v>413</v>
      </c>
      <c r="U30" t="s">
        <v>416</v>
      </c>
      <c r="V30" t="s">
        <v>30</v>
      </c>
      <c r="W30" t="s">
        <v>298</v>
      </c>
      <c r="Y30" t="s">
        <v>299</v>
      </c>
      <c r="Z30" t="s">
        <v>299</v>
      </c>
      <c r="AA30" t="s">
        <v>300</v>
      </c>
      <c r="AB30" t="s">
        <v>417</v>
      </c>
      <c r="AC30" t="s">
        <v>417</v>
      </c>
      <c r="AD30" t="s">
        <v>216</v>
      </c>
      <c r="AE30" t="s">
        <v>300</v>
      </c>
      <c r="AG30" s="8" t="s">
        <v>218</v>
      </c>
      <c r="AH30" t="s">
        <v>302</v>
      </c>
      <c r="AI30" s="9" t="s">
        <v>218</v>
      </c>
      <c r="AJ30" s="9" t="s">
        <v>218</v>
      </c>
      <c r="AK30" t="s">
        <v>400</v>
      </c>
      <c r="AL30" s="9" t="s">
        <v>218</v>
      </c>
      <c r="AM30" s="8" t="s">
        <v>221</v>
      </c>
      <c r="AN30" s="8" t="s">
        <v>221</v>
      </c>
      <c r="AO30" s="8" t="s">
        <v>222</v>
      </c>
      <c r="AP30" s="8">
        <v>0</v>
      </c>
      <c r="AQ30" s="8">
        <v>0</v>
      </c>
      <c r="AR30" s="8">
        <v>0</v>
      </c>
      <c r="AS30" s="8">
        <v>0</v>
      </c>
      <c r="AT30" s="8">
        <v>0</v>
      </c>
      <c r="AU30" s="8">
        <v>0</v>
      </c>
      <c r="AV30" s="8">
        <v>0</v>
      </c>
      <c r="AW30" s="8">
        <v>0</v>
      </c>
      <c r="AX30" s="8"/>
      <c r="AY30" s="8"/>
      <c r="AZ30">
        <v>1</v>
      </c>
      <c r="BA30" t="s">
        <v>418</v>
      </c>
      <c r="BB30" t="s">
        <v>419</v>
      </c>
      <c r="BC30" t="s">
        <v>420</v>
      </c>
    </row>
    <row r="31" spans="1:55">
      <c r="A31" s="6">
        <v>45737</v>
      </c>
      <c r="B31" s="7" t="s">
        <v>421</v>
      </c>
      <c r="C31" t="s">
        <v>387</v>
      </c>
      <c r="D31" t="s">
        <v>292</v>
      </c>
      <c r="E31" t="s">
        <v>292</v>
      </c>
      <c r="F31" t="s">
        <v>293</v>
      </c>
      <c r="G31" t="s">
        <v>294</v>
      </c>
      <c r="H31" s="8" t="s">
        <v>208</v>
      </c>
      <c r="I31" s="8" t="s">
        <v>208</v>
      </c>
      <c r="J31" s="8" t="s">
        <v>208</v>
      </c>
      <c r="K31" s="8" t="s">
        <v>208</v>
      </c>
      <c r="L31" s="8" t="s">
        <v>208</v>
      </c>
      <c r="M31" s="8" t="s">
        <v>208</v>
      </c>
      <c r="N31" s="8" t="s">
        <v>208</v>
      </c>
      <c r="O31" s="8" t="s">
        <v>208</v>
      </c>
      <c r="Q31" t="s">
        <v>422</v>
      </c>
      <c r="R31" t="s">
        <v>423</v>
      </c>
      <c r="S31" t="s">
        <v>423</v>
      </c>
      <c r="T31" t="s">
        <v>421</v>
      </c>
      <c r="U31" t="s">
        <v>424</v>
      </c>
      <c r="V31" t="s">
        <v>30</v>
      </c>
      <c r="W31" t="s">
        <v>298</v>
      </c>
      <c r="Y31" t="s">
        <v>299</v>
      </c>
      <c r="Z31" t="s">
        <v>299</v>
      </c>
      <c r="AA31" t="s">
        <v>300</v>
      </c>
      <c r="AB31" t="s">
        <v>425</v>
      </c>
      <c r="AC31" t="s">
        <v>425</v>
      </c>
      <c r="AD31" t="s">
        <v>216</v>
      </c>
      <c r="AE31" t="s">
        <v>300</v>
      </c>
      <c r="AG31" s="8" t="s">
        <v>218</v>
      </c>
      <c r="AH31" t="s">
        <v>302</v>
      </c>
      <c r="AI31" s="9" t="s">
        <v>218</v>
      </c>
      <c r="AJ31" s="9" t="s">
        <v>218</v>
      </c>
      <c r="AK31" t="s">
        <v>400</v>
      </c>
      <c r="AL31" s="9" t="s">
        <v>218</v>
      </c>
      <c r="AM31" s="8" t="s">
        <v>221</v>
      </c>
      <c r="AN31" s="8" t="s">
        <v>221</v>
      </c>
      <c r="AO31" s="8" t="s">
        <v>222</v>
      </c>
      <c r="AP31" s="8">
        <v>0</v>
      </c>
      <c r="AQ31" s="8">
        <v>0</v>
      </c>
      <c r="AR31" s="8">
        <v>0</v>
      </c>
      <c r="AS31" s="8">
        <v>0</v>
      </c>
      <c r="AT31" s="8">
        <v>0</v>
      </c>
      <c r="AU31" s="8">
        <v>0</v>
      </c>
      <c r="AV31" s="8">
        <v>0</v>
      </c>
      <c r="AW31" s="8">
        <v>0</v>
      </c>
      <c r="AX31" s="8"/>
      <c r="AY31" s="8"/>
      <c r="AZ31">
        <v>1</v>
      </c>
      <c r="BA31" t="s">
        <v>304</v>
      </c>
      <c r="BB31" t="s">
        <v>426</v>
      </c>
      <c r="BC31" t="s">
        <v>427</v>
      </c>
    </row>
    <row r="32" spans="1:55">
      <c r="A32" s="6">
        <v>45737</v>
      </c>
      <c r="B32" s="7" t="s">
        <v>428</v>
      </c>
      <c r="C32" t="s">
        <v>387</v>
      </c>
      <c r="D32" t="s">
        <v>292</v>
      </c>
      <c r="E32" t="s">
        <v>292</v>
      </c>
      <c r="F32" t="s">
        <v>293</v>
      </c>
      <c r="G32" t="s">
        <v>294</v>
      </c>
      <c r="H32" s="8" t="s">
        <v>208</v>
      </c>
      <c r="I32" s="8" t="s">
        <v>208</v>
      </c>
      <c r="J32" s="8" t="s">
        <v>208</v>
      </c>
      <c r="K32" s="8" t="s">
        <v>208</v>
      </c>
      <c r="L32" s="8" t="s">
        <v>208</v>
      </c>
      <c r="M32" s="8" t="s">
        <v>208</v>
      </c>
      <c r="N32" s="8" t="s">
        <v>208</v>
      </c>
      <c r="O32" s="8" t="s">
        <v>208</v>
      </c>
      <c r="Q32" t="s">
        <v>429</v>
      </c>
      <c r="R32" t="s">
        <v>430</v>
      </c>
      <c r="S32" t="s">
        <v>430</v>
      </c>
      <c r="T32" t="s">
        <v>428</v>
      </c>
      <c r="U32" t="s">
        <v>431</v>
      </c>
      <c r="V32" t="s">
        <v>30</v>
      </c>
      <c r="W32" t="s">
        <v>298</v>
      </c>
      <c r="Y32" t="s">
        <v>299</v>
      </c>
      <c r="Z32" t="s">
        <v>299</v>
      </c>
      <c r="AA32" t="s">
        <v>300</v>
      </c>
      <c r="AB32" t="s">
        <v>408</v>
      </c>
      <c r="AC32" t="s">
        <v>408</v>
      </c>
      <c r="AD32" t="s">
        <v>216</v>
      </c>
      <c r="AE32" t="s">
        <v>300</v>
      </c>
      <c r="AG32" s="8" t="s">
        <v>218</v>
      </c>
      <c r="AH32" t="s">
        <v>302</v>
      </c>
      <c r="AI32" s="9" t="s">
        <v>218</v>
      </c>
      <c r="AJ32" s="9" t="s">
        <v>218</v>
      </c>
      <c r="AK32" t="s">
        <v>400</v>
      </c>
      <c r="AL32" s="9" t="s">
        <v>218</v>
      </c>
      <c r="AM32" s="8" t="s">
        <v>221</v>
      </c>
      <c r="AN32" s="8" t="s">
        <v>221</v>
      </c>
      <c r="AO32" s="8" t="s">
        <v>222</v>
      </c>
      <c r="AP32" s="8">
        <v>0</v>
      </c>
      <c r="AQ32" s="8">
        <v>0</v>
      </c>
      <c r="AR32" s="8">
        <v>0</v>
      </c>
      <c r="AS32" s="8">
        <v>0</v>
      </c>
      <c r="AT32" s="8">
        <v>0</v>
      </c>
      <c r="AU32" s="8">
        <v>0</v>
      </c>
      <c r="AV32" s="8">
        <v>0</v>
      </c>
      <c r="AW32" s="8">
        <v>0</v>
      </c>
      <c r="AX32" s="8"/>
      <c r="AY32" s="8"/>
      <c r="AZ32">
        <v>1</v>
      </c>
      <c r="BA32" t="s">
        <v>304</v>
      </c>
      <c r="BB32" t="s">
        <v>432</v>
      </c>
      <c r="BC32" t="s">
        <v>433</v>
      </c>
    </row>
    <row r="33" spans="1:55">
      <c r="A33" s="6">
        <v>45737</v>
      </c>
      <c r="B33" s="7" t="s">
        <v>434</v>
      </c>
      <c r="C33" t="s">
        <v>387</v>
      </c>
      <c r="D33" t="s">
        <v>292</v>
      </c>
      <c r="E33" t="s">
        <v>292</v>
      </c>
      <c r="F33" t="s">
        <v>293</v>
      </c>
      <c r="G33" t="s">
        <v>294</v>
      </c>
      <c r="H33" s="8" t="s">
        <v>208</v>
      </c>
      <c r="I33" s="8" t="s">
        <v>208</v>
      </c>
      <c r="J33" s="8" t="s">
        <v>208</v>
      </c>
      <c r="K33" s="8" t="s">
        <v>208</v>
      </c>
      <c r="L33" s="8" t="s">
        <v>208</v>
      </c>
      <c r="M33" s="8" t="s">
        <v>208</v>
      </c>
      <c r="N33" s="8" t="s">
        <v>208</v>
      </c>
      <c r="O33" s="8" t="s">
        <v>208</v>
      </c>
      <c r="Q33" t="s">
        <v>435</v>
      </c>
      <c r="R33" t="s">
        <v>436</v>
      </c>
      <c r="S33" t="s">
        <v>436</v>
      </c>
      <c r="T33" t="s">
        <v>434</v>
      </c>
      <c r="U33" t="s">
        <v>437</v>
      </c>
      <c r="V33" t="s">
        <v>30</v>
      </c>
      <c r="W33" t="s">
        <v>298</v>
      </c>
      <c r="Y33" t="s">
        <v>299</v>
      </c>
      <c r="Z33" t="s">
        <v>299</v>
      </c>
      <c r="AA33" t="s">
        <v>300</v>
      </c>
      <c r="AB33" t="s">
        <v>425</v>
      </c>
      <c r="AC33" t="s">
        <v>425</v>
      </c>
      <c r="AD33" t="s">
        <v>216</v>
      </c>
      <c r="AE33" t="s">
        <v>300</v>
      </c>
      <c r="AG33" s="8" t="s">
        <v>218</v>
      </c>
      <c r="AH33" t="s">
        <v>302</v>
      </c>
      <c r="AI33" s="9" t="s">
        <v>218</v>
      </c>
      <c r="AJ33" s="9" t="s">
        <v>218</v>
      </c>
      <c r="AK33" t="s">
        <v>438</v>
      </c>
      <c r="AL33" s="9" t="s">
        <v>218</v>
      </c>
      <c r="AM33" s="8" t="s">
        <v>221</v>
      </c>
      <c r="AN33" s="8" t="s">
        <v>221</v>
      </c>
      <c r="AO33" s="8" t="s">
        <v>222</v>
      </c>
      <c r="AP33" s="8">
        <v>0</v>
      </c>
      <c r="AQ33" s="8">
        <v>0</v>
      </c>
      <c r="AR33" s="8">
        <v>0</v>
      </c>
      <c r="AS33" s="8">
        <v>0</v>
      </c>
      <c r="AT33" s="8">
        <v>0</v>
      </c>
      <c r="AU33" s="8">
        <v>0</v>
      </c>
      <c r="AV33" s="8">
        <v>0</v>
      </c>
      <c r="AW33" s="8">
        <v>0</v>
      </c>
      <c r="AX33" s="8"/>
      <c r="AY33" s="8"/>
      <c r="AZ33">
        <v>1</v>
      </c>
      <c r="BA33" t="s">
        <v>304</v>
      </c>
      <c r="BB33" t="s">
        <v>439</v>
      </c>
      <c r="BC33" t="s">
        <v>440</v>
      </c>
    </row>
    <row r="34" spans="1:55">
      <c r="A34" s="6">
        <v>45737</v>
      </c>
      <c r="B34" s="7" t="s">
        <v>441</v>
      </c>
      <c r="C34" t="s">
        <v>387</v>
      </c>
      <c r="D34" t="s">
        <v>292</v>
      </c>
      <c r="E34" t="s">
        <v>292</v>
      </c>
      <c r="F34" t="s">
        <v>293</v>
      </c>
      <c r="G34" t="s">
        <v>294</v>
      </c>
      <c r="H34" s="8" t="s">
        <v>208</v>
      </c>
      <c r="I34" s="8" t="s">
        <v>208</v>
      </c>
      <c r="J34" s="8" t="s">
        <v>208</v>
      </c>
      <c r="K34" s="8" t="s">
        <v>208</v>
      </c>
      <c r="L34" s="8" t="s">
        <v>208</v>
      </c>
      <c r="M34" s="8" t="s">
        <v>208</v>
      </c>
      <c r="N34" s="8" t="s">
        <v>208</v>
      </c>
      <c r="O34" s="8" t="s">
        <v>208</v>
      </c>
      <c r="Q34" t="s">
        <v>442</v>
      </c>
      <c r="R34" t="s">
        <v>443</v>
      </c>
      <c r="S34" t="s">
        <v>443</v>
      </c>
      <c r="T34" t="s">
        <v>441</v>
      </c>
      <c r="U34" t="s">
        <v>444</v>
      </c>
      <c r="V34" t="s">
        <v>30</v>
      </c>
      <c r="W34" t="s">
        <v>298</v>
      </c>
      <c r="Y34" t="s">
        <v>299</v>
      </c>
      <c r="Z34" t="s">
        <v>299</v>
      </c>
      <c r="AA34" t="s">
        <v>300</v>
      </c>
      <c r="AB34" t="s">
        <v>408</v>
      </c>
      <c r="AC34" t="s">
        <v>408</v>
      </c>
      <c r="AD34" t="s">
        <v>216</v>
      </c>
      <c r="AE34" t="s">
        <v>300</v>
      </c>
      <c r="AG34" s="8" t="s">
        <v>218</v>
      </c>
      <c r="AH34" t="s">
        <v>302</v>
      </c>
      <c r="AI34" s="9" t="s">
        <v>218</v>
      </c>
      <c r="AJ34" s="9" t="s">
        <v>218</v>
      </c>
      <c r="AK34" t="s">
        <v>445</v>
      </c>
      <c r="AL34" s="9" t="s">
        <v>218</v>
      </c>
      <c r="AM34" s="8" t="s">
        <v>221</v>
      </c>
      <c r="AN34" s="8" t="s">
        <v>221</v>
      </c>
      <c r="AO34" s="8" t="s">
        <v>222</v>
      </c>
      <c r="AP34" s="8">
        <v>0</v>
      </c>
      <c r="AQ34" s="8">
        <v>0</v>
      </c>
      <c r="AR34" s="8">
        <v>0</v>
      </c>
      <c r="AS34" s="8">
        <v>0</v>
      </c>
      <c r="AT34" s="8">
        <v>0</v>
      </c>
      <c r="AU34" s="8">
        <v>0</v>
      </c>
      <c r="AV34" s="8">
        <v>0</v>
      </c>
      <c r="AW34" s="8">
        <v>0</v>
      </c>
      <c r="AX34" s="8"/>
      <c r="AY34" s="8"/>
      <c r="AZ34">
        <v>1</v>
      </c>
      <c r="BA34" t="s">
        <v>304</v>
      </c>
      <c r="BB34" t="s">
        <v>446</v>
      </c>
      <c r="BC34" t="s">
        <v>447</v>
      </c>
    </row>
    <row r="35" spans="1:55">
      <c r="A35" s="6">
        <v>45737</v>
      </c>
      <c r="B35" s="7" t="s">
        <v>448</v>
      </c>
      <c r="C35" t="s">
        <v>387</v>
      </c>
      <c r="D35" t="s">
        <v>292</v>
      </c>
      <c r="E35" t="s">
        <v>292</v>
      </c>
      <c r="F35" t="s">
        <v>293</v>
      </c>
      <c r="G35" t="s">
        <v>294</v>
      </c>
      <c r="H35" s="8" t="s">
        <v>208</v>
      </c>
      <c r="I35" s="8" t="s">
        <v>208</v>
      </c>
      <c r="J35" s="8" t="s">
        <v>208</v>
      </c>
      <c r="K35" s="8" t="s">
        <v>208</v>
      </c>
      <c r="L35" s="8" t="s">
        <v>208</v>
      </c>
      <c r="M35" s="8" t="s">
        <v>208</v>
      </c>
      <c r="N35" s="8" t="s">
        <v>208</v>
      </c>
      <c r="O35" s="8" t="s">
        <v>208</v>
      </c>
      <c r="Q35" t="s">
        <v>449</v>
      </c>
      <c r="R35" t="s">
        <v>450</v>
      </c>
      <c r="S35" t="s">
        <v>450</v>
      </c>
      <c r="T35" t="s">
        <v>448</v>
      </c>
      <c r="U35" t="s">
        <v>451</v>
      </c>
      <c r="V35" t="s">
        <v>30</v>
      </c>
      <c r="W35" t="s">
        <v>298</v>
      </c>
      <c r="Y35" t="s">
        <v>299</v>
      </c>
      <c r="Z35" t="s">
        <v>299</v>
      </c>
      <c r="AA35" t="s">
        <v>300</v>
      </c>
      <c r="AB35" t="s">
        <v>425</v>
      </c>
      <c r="AC35" t="s">
        <v>425</v>
      </c>
      <c r="AD35" t="s">
        <v>216</v>
      </c>
      <c r="AE35" t="s">
        <v>300</v>
      </c>
      <c r="AG35" s="8" t="s">
        <v>218</v>
      </c>
      <c r="AH35" t="s">
        <v>302</v>
      </c>
      <c r="AI35" s="9" t="s">
        <v>218</v>
      </c>
      <c r="AJ35" s="9" t="s">
        <v>218</v>
      </c>
      <c r="AK35" t="s">
        <v>452</v>
      </c>
      <c r="AL35" s="9" t="s">
        <v>218</v>
      </c>
      <c r="AM35" s="8" t="s">
        <v>221</v>
      </c>
      <c r="AN35" s="8" t="s">
        <v>221</v>
      </c>
      <c r="AO35" s="8" t="s">
        <v>222</v>
      </c>
      <c r="AP35" s="8">
        <v>0</v>
      </c>
      <c r="AQ35" s="8">
        <v>0</v>
      </c>
      <c r="AR35" s="8">
        <v>0</v>
      </c>
      <c r="AS35" s="8">
        <v>0</v>
      </c>
      <c r="AT35" s="8">
        <v>0</v>
      </c>
      <c r="AU35" s="8">
        <v>0</v>
      </c>
      <c r="AV35" s="8">
        <v>0</v>
      </c>
      <c r="AW35" s="8">
        <v>0</v>
      </c>
      <c r="AX35" s="8"/>
      <c r="AY35" s="8"/>
      <c r="AZ35">
        <v>1</v>
      </c>
      <c r="BA35" t="s">
        <v>304</v>
      </c>
      <c r="BB35" t="s">
        <v>453</v>
      </c>
      <c r="BC35" t="s">
        <v>454</v>
      </c>
    </row>
    <row r="36" spans="1:55">
      <c r="A36" s="6">
        <v>45737</v>
      </c>
      <c r="B36" s="7" t="s">
        <v>455</v>
      </c>
      <c r="C36" t="s">
        <v>387</v>
      </c>
      <c r="D36" t="s">
        <v>292</v>
      </c>
      <c r="E36" t="s">
        <v>292</v>
      </c>
      <c r="F36" t="s">
        <v>293</v>
      </c>
      <c r="G36" t="s">
        <v>294</v>
      </c>
      <c r="H36" s="8" t="s">
        <v>208</v>
      </c>
      <c r="I36" s="8" t="s">
        <v>208</v>
      </c>
      <c r="J36" s="8" t="s">
        <v>208</v>
      </c>
      <c r="K36" s="8" t="s">
        <v>208</v>
      </c>
      <c r="L36" s="8" t="s">
        <v>208</v>
      </c>
      <c r="M36" s="8" t="s">
        <v>208</v>
      </c>
      <c r="N36" s="8" t="s">
        <v>208</v>
      </c>
      <c r="O36" s="8" t="s">
        <v>208</v>
      </c>
      <c r="Q36" t="s">
        <v>456</v>
      </c>
      <c r="R36" t="s">
        <v>457</v>
      </c>
      <c r="S36" t="s">
        <v>457</v>
      </c>
      <c r="T36" t="s">
        <v>455</v>
      </c>
      <c r="U36" t="s">
        <v>458</v>
      </c>
      <c r="V36" t="s">
        <v>30</v>
      </c>
      <c r="W36" t="s">
        <v>298</v>
      </c>
      <c r="Y36" t="s">
        <v>299</v>
      </c>
      <c r="Z36" t="s">
        <v>299</v>
      </c>
      <c r="AA36" t="s">
        <v>300</v>
      </c>
      <c r="AB36" t="s">
        <v>301</v>
      </c>
      <c r="AC36" t="s">
        <v>301</v>
      </c>
      <c r="AD36" t="s">
        <v>216</v>
      </c>
      <c r="AE36" t="s">
        <v>300</v>
      </c>
      <c r="AG36" s="8" t="s">
        <v>218</v>
      </c>
      <c r="AH36" t="s">
        <v>302</v>
      </c>
      <c r="AI36" s="9" t="s">
        <v>218</v>
      </c>
      <c r="AJ36" s="9" t="s">
        <v>218</v>
      </c>
      <c r="AK36" t="s">
        <v>459</v>
      </c>
      <c r="AL36" s="9" t="s">
        <v>218</v>
      </c>
      <c r="AM36" s="8" t="s">
        <v>221</v>
      </c>
      <c r="AN36" s="8" t="s">
        <v>221</v>
      </c>
      <c r="AO36" s="8" t="s">
        <v>222</v>
      </c>
      <c r="AP36" s="8">
        <v>0</v>
      </c>
      <c r="AQ36" s="8">
        <v>0</v>
      </c>
      <c r="AR36" s="9">
        <v>23</v>
      </c>
      <c r="AS36" s="8">
        <v>0</v>
      </c>
      <c r="AT36" s="8">
        <v>0</v>
      </c>
      <c r="AU36" s="8">
        <v>0</v>
      </c>
      <c r="AV36" s="8">
        <v>0</v>
      </c>
      <c r="AW36" s="9">
        <v>23</v>
      </c>
      <c r="AX36" s="8"/>
      <c r="AY36" s="8"/>
      <c r="AZ36">
        <v>0</v>
      </c>
      <c r="BC36" t="s">
        <v>460</v>
      </c>
    </row>
    <row r="37" spans="1:55">
      <c r="A37" s="6">
        <v>45737</v>
      </c>
      <c r="B37" s="7" t="s">
        <v>461</v>
      </c>
      <c r="C37" t="s">
        <v>387</v>
      </c>
      <c r="D37" t="s">
        <v>292</v>
      </c>
      <c r="E37" t="s">
        <v>292</v>
      </c>
      <c r="F37" t="s">
        <v>293</v>
      </c>
      <c r="G37" t="s">
        <v>294</v>
      </c>
      <c r="H37" s="8" t="s">
        <v>208</v>
      </c>
      <c r="I37" s="8" t="s">
        <v>208</v>
      </c>
      <c r="J37" s="8" t="s">
        <v>208</v>
      </c>
      <c r="K37" s="8" t="s">
        <v>208</v>
      </c>
      <c r="L37" s="8" t="s">
        <v>208</v>
      </c>
      <c r="M37" s="8" t="s">
        <v>208</v>
      </c>
      <c r="N37" s="8" t="s">
        <v>208</v>
      </c>
      <c r="O37" s="8" t="s">
        <v>208</v>
      </c>
      <c r="Q37" t="s">
        <v>462</v>
      </c>
      <c r="R37" t="s">
        <v>463</v>
      </c>
      <c r="S37" t="s">
        <v>463</v>
      </c>
      <c r="T37" t="s">
        <v>461</v>
      </c>
      <c r="U37" t="s">
        <v>464</v>
      </c>
      <c r="V37" t="s">
        <v>30</v>
      </c>
      <c r="W37" t="s">
        <v>298</v>
      </c>
      <c r="Y37" t="s">
        <v>299</v>
      </c>
      <c r="Z37" t="s">
        <v>299</v>
      </c>
      <c r="AA37" t="s">
        <v>300</v>
      </c>
      <c r="AB37" t="s">
        <v>465</v>
      </c>
      <c r="AC37" t="s">
        <v>465</v>
      </c>
      <c r="AD37" t="s">
        <v>216</v>
      </c>
      <c r="AE37" t="s">
        <v>300</v>
      </c>
      <c r="AG37" s="8" t="s">
        <v>218</v>
      </c>
      <c r="AH37" t="s">
        <v>302</v>
      </c>
      <c r="AI37" s="9" t="s">
        <v>218</v>
      </c>
      <c r="AJ37" s="9" t="s">
        <v>218</v>
      </c>
      <c r="AK37" t="s">
        <v>466</v>
      </c>
      <c r="AL37" s="9" t="s">
        <v>218</v>
      </c>
      <c r="AM37" s="8" t="s">
        <v>221</v>
      </c>
      <c r="AN37" s="8" t="s">
        <v>221</v>
      </c>
      <c r="AO37" s="8" t="s">
        <v>222</v>
      </c>
      <c r="AP37" s="8">
        <v>0</v>
      </c>
      <c r="AQ37" s="8">
        <v>0</v>
      </c>
      <c r="AR37" s="8">
        <v>0</v>
      </c>
      <c r="AS37" s="8">
        <v>0</v>
      </c>
      <c r="AT37" s="8">
        <v>0</v>
      </c>
      <c r="AU37" s="8">
        <v>0</v>
      </c>
      <c r="AV37" s="8">
        <v>0</v>
      </c>
      <c r="AW37" s="8">
        <v>0</v>
      </c>
      <c r="AX37" s="8"/>
      <c r="AY37" s="8"/>
      <c r="AZ37">
        <v>1</v>
      </c>
      <c r="BA37" t="s">
        <v>304</v>
      </c>
      <c r="BC37" t="s">
        <v>467</v>
      </c>
    </row>
    <row r="38" spans="1:55">
      <c r="A38" s="6">
        <v>45737</v>
      </c>
      <c r="B38" s="7" t="s">
        <v>468</v>
      </c>
      <c r="C38" t="s">
        <v>387</v>
      </c>
      <c r="D38" t="s">
        <v>292</v>
      </c>
      <c r="E38" t="s">
        <v>292</v>
      </c>
      <c r="F38" t="s">
        <v>293</v>
      </c>
      <c r="G38" t="s">
        <v>294</v>
      </c>
      <c r="H38" s="8" t="s">
        <v>208</v>
      </c>
      <c r="I38" s="8" t="s">
        <v>208</v>
      </c>
      <c r="J38" s="8" t="s">
        <v>208</v>
      </c>
      <c r="K38" s="8" t="s">
        <v>208</v>
      </c>
      <c r="L38" s="8" t="s">
        <v>208</v>
      </c>
      <c r="M38" s="8" t="s">
        <v>208</v>
      </c>
      <c r="N38" s="8" t="s">
        <v>208</v>
      </c>
      <c r="O38" s="8" t="s">
        <v>208</v>
      </c>
      <c r="Q38" t="s">
        <v>469</v>
      </c>
      <c r="R38" t="s">
        <v>470</v>
      </c>
      <c r="S38" t="s">
        <v>470</v>
      </c>
      <c r="T38" t="s">
        <v>468</v>
      </c>
      <c r="U38" t="s">
        <v>471</v>
      </c>
      <c r="V38" t="s">
        <v>30</v>
      </c>
      <c r="W38" t="s">
        <v>298</v>
      </c>
      <c r="Y38" t="s">
        <v>299</v>
      </c>
      <c r="Z38" t="s">
        <v>299</v>
      </c>
      <c r="AA38" t="s">
        <v>300</v>
      </c>
      <c r="AB38" t="s">
        <v>301</v>
      </c>
      <c r="AC38" t="s">
        <v>301</v>
      </c>
      <c r="AD38" t="s">
        <v>216</v>
      </c>
      <c r="AE38" t="s">
        <v>300</v>
      </c>
      <c r="AG38" s="8" t="s">
        <v>218</v>
      </c>
      <c r="AH38" t="s">
        <v>302</v>
      </c>
      <c r="AI38" s="9" t="s">
        <v>218</v>
      </c>
      <c r="AJ38" s="9" t="s">
        <v>218</v>
      </c>
      <c r="AK38" t="s">
        <v>472</v>
      </c>
      <c r="AL38" s="9" t="s">
        <v>218</v>
      </c>
      <c r="AM38" s="8" t="s">
        <v>221</v>
      </c>
      <c r="AN38" s="8" t="s">
        <v>221</v>
      </c>
      <c r="AO38" s="8" t="s">
        <v>222</v>
      </c>
      <c r="AP38" s="8">
        <v>0</v>
      </c>
      <c r="AQ38" s="8">
        <v>0</v>
      </c>
      <c r="AR38" s="8">
        <v>0</v>
      </c>
      <c r="AS38" s="8">
        <v>0</v>
      </c>
      <c r="AT38" s="8">
        <v>0</v>
      </c>
      <c r="AU38" s="8">
        <v>0</v>
      </c>
      <c r="AV38" s="8">
        <v>0</v>
      </c>
      <c r="AW38" s="8">
        <v>0</v>
      </c>
      <c r="AX38" s="8"/>
      <c r="AY38" s="8"/>
      <c r="AZ38">
        <v>1</v>
      </c>
      <c r="BA38" t="s">
        <v>304</v>
      </c>
      <c r="BC38" t="s">
        <v>473</v>
      </c>
    </row>
    <row r="39" spans="1:55">
      <c r="A39" s="6">
        <v>45737</v>
      </c>
      <c r="B39" s="7" t="s">
        <v>474</v>
      </c>
      <c r="C39" t="s">
        <v>387</v>
      </c>
      <c r="D39" t="s">
        <v>292</v>
      </c>
      <c r="E39" t="s">
        <v>292</v>
      </c>
      <c r="F39" t="s">
        <v>293</v>
      </c>
      <c r="G39" t="s">
        <v>294</v>
      </c>
      <c r="H39" s="8" t="s">
        <v>208</v>
      </c>
      <c r="I39" s="8" t="s">
        <v>208</v>
      </c>
      <c r="J39" s="8" t="s">
        <v>208</v>
      </c>
      <c r="K39" s="8" t="s">
        <v>208</v>
      </c>
      <c r="L39" s="8" t="s">
        <v>208</v>
      </c>
      <c r="M39" s="8" t="s">
        <v>208</v>
      </c>
      <c r="N39" s="8" t="s">
        <v>208</v>
      </c>
      <c r="O39" s="8" t="s">
        <v>208</v>
      </c>
      <c r="Q39" t="s">
        <v>475</v>
      </c>
      <c r="R39" t="s">
        <v>476</v>
      </c>
      <c r="S39" t="s">
        <v>476</v>
      </c>
      <c r="T39" t="s">
        <v>474</v>
      </c>
      <c r="U39" t="s">
        <v>477</v>
      </c>
      <c r="V39" t="s">
        <v>30</v>
      </c>
      <c r="W39" t="s">
        <v>298</v>
      </c>
      <c r="Y39" t="s">
        <v>299</v>
      </c>
      <c r="Z39" t="s">
        <v>299</v>
      </c>
      <c r="AA39" t="s">
        <v>300</v>
      </c>
      <c r="AB39" t="s">
        <v>465</v>
      </c>
      <c r="AC39" t="s">
        <v>465</v>
      </c>
      <c r="AD39" t="s">
        <v>216</v>
      </c>
      <c r="AE39" t="s">
        <v>300</v>
      </c>
      <c r="AG39" s="8" t="s">
        <v>218</v>
      </c>
      <c r="AH39" t="s">
        <v>302</v>
      </c>
      <c r="AI39" s="9" t="s">
        <v>218</v>
      </c>
      <c r="AJ39" s="9" t="s">
        <v>218</v>
      </c>
      <c r="AK39" t="s">
        <v>466</v>
      </c>
      <c r="AL39" s="9" t="s">
        <v>218</v>
      </c>
      <c r="AM39" s="8" t="s">
        <v>221</v>
      </c>
      <c r="AN39" s="8" t="s">
        <v>221</v>
      </c>
      <c r="AO39" s="8" t="s">
        <v>222</v>
      </c>
      <c r="AP39" s="8">
        <v>0</v>
      </c>
      <c r="AQ39" s="8">
        <v>0</v>
      </c>
      <c r="AR39" s="8">
        <v>0</v>
      </c>
      <c r="AS39" s="8">
        <v>0</v>
      </c>
      <c r="AT39" s="8">
        <v>0</v>
      </c>
      <c r="AU39" s="8">
        <v>0</v>
      </c>
      <c r="AV39" s="8">
        <v>0</v>
      </c>
      <c r="AW39" s="8">
        <v>0</v>
      </c>
      <c r="AX39" s="8"/>
      <c r="AY39" s="8"/>
      <c r="AZ39">
        <v>1</v>
      </c>
      <c r="BA39" t="s">
        <v>304</v>
      </c>
      <c r="BC39" t="s">
        <v>478</v>
      </c>
    </row>
    <row r="40" spans="1:55">
      <c r="A40" s="6">
        <v>45737</v>
      </c>
      <c r="B40" s="7" t="s">
        <v>479</v>
      </c>
      <c r="C40" t="s">
        <v>387</v>
      </c>
      <c r="D40" t="s">
        <v>292</v>
      </c>
      <c r="E40" t="s">
        <v>292</v>
      </c>
      <c r="F40" t="s">
        <v>293</v>
      </c>
      <c r="G40" t="s">
        <v>294</v>
      </c>
      <c r="H40" s="8" t="s">
        <v>208</v>
      </c>
      <c r="I40" s="8" t="s">
        <v>208</v>
      </c>
      <c r="J40" s="8" t="s">
        <v>208</v>
      </c>
      <c r="K40" s="8" t="s">
        <v>208</v>
      </c>
      <c r="L40" s="8" t="s">
        <v>208</v>
      </c>
      <c r="M40" s="8" t="s">
        <v>208</v>
      </c>
      <c r="N40" s="8" t="s">
        <v>208</v>
      </c>
      <c r="O40" s="8" t="s">
        <v>208</v>
      </c>
      <c r="Q40" t="s">
        <v>480</v>
      </c>
      <c r="R40" t="s">
        <v>481</v>
      </c>
      <c r="S40" t="s">
        <v>481</v>
      </c>
      <c r="T40" t="s">
        <v>479</v>
      </c>
      <c r="U40" t="s">
        <v>482</v>
      </c>
      <c r="V40" t="s">
        <v>30</v>
      </c>
      <c r="W40" t="s">
        <v>298</v>
      </c>
      <c r="Y40" t="s">
        <v>299</v>
      </c>
      <c r="Z40" t="s">
        <v>299</v>
      </c>
      <c r="AA40" t="s">
        <v>300</v>
      </c>
      <c r="AB40" t="s">
        <v>301</v>
      </c>
      <c r="AC40" t="s">
        <v>301</v>
      </c>
      <c r="AD40" t="s">
        <v>216</v>
      </c>
      <c r="AE40" t="s">
        <v>300</v>
      </c>
      <c r="AG40" s="8" t="s">
        <v>218</v>
      </c>
      <c r="AH40" t="s">
        <v>302</v>
      </c>
      <c r="AI40" s="9" t="s">
        <v>218</v>
      </c>
      <c r="AJ40" s="9" t="s">
        <v>218</v>
      </c>
      <c r="AK40" t="s">
        <v>483</v>
      </c>
      <c r="AL40" s="9" t="s">
        <v>218</v>
      </c>
      <c r="AM40" s="8" t="s">
        <v>221</v>
      </c>
      <c r="AN40" s="8" t="s">
        <v>221</v>
      </c>
      <c r="AO40" s="8" t="s">
        <v>222</v>
      </c>
      <c r="AP40" s="8">
        <v>0</v>
      </c>
      <c r="AQ40" s="8">
        <v>0</v>
      </c>
      <c r="AR40" s="9">
        <v>3</v>
      </c>
      <c r="AS40" s="8">
        <v>0</v>
      </c>
      <c r="AT40" s="8">
        <v>0</v>
      </c>
      <c r="AU40" s="8">
        <v>0</v>
      </c>
      <c r="AV40" s="8">
        <v>0</v>
      </c>
      <c r="AW40" s="9">
        <v>3</v>
      </c>
      <c r="AX40" s="8"/>
      <c r="AY40" s="8"/>
      <c r="AZ40">
        <v>1</v>
      </c>
      <c r="BA40" t="s">
        <v>484</v>
      </c>
      <c r="BC40" t="s">
        <v>485</v>
      </c>
    </row>
    <row r="41" spans="1:55">
      <c r="A41" s="6">
        <v>45737</v>
      </c>
      <c r="B41" s="7" t="s">
        <v>486</v>
      </c>
      <c r="C41" t="s">
        <v>387</v>
      </c>
      <c r="D41" t="s">
        <v>292</v>
      </c>
      <c r="E41" t="s">
        <v>292</v>
      </c>
      <c r="F41" t="s">
        <v>293</v>
      </c>
      <c r="G41" t="s">
        <v>294</v>
      </c>
      <c r="H41" s="8" t="s">
        <v>208</v>
      </c>
      <c r="I41" s="8" t="s">
        <v>208</v>
      </c>
      <c r="J41" s="8" t="s">
        <v>208</v>
      </c>
      <c r="K41" s="8" t="s">
        <v>208</v>
      </c>
      <c r="L41" s="8" t="s">
        <v>208</v>
      </c>
      <c r="M41" s="8" t="s">
        <v>208</v>
      </c>
      <c r="N41" s="8" t="s">
        <v>208</v>
      </c>
      <c r="O41" s="8" t="s">
        <v>208</v>
      </c>
      <c r="Q41" t="s">
        <v>487</v>
      </c>
      <c r="R41" t="s">
        <v>488</v>
      </c>
      <c r="S41" t="s">
        <v>488</v>
      </c>
      <c r="T41" t="s">
        <v>486</v>
      </c>
      <c r="U41" t="s">
        <v>489</v>
      </c>
      <c r="V41" t="s">
        <v>30</v>
      </c>
      <c r="W41" t="s">
        <v>298</v>
      </c>
      <c r="Y41" t="s">
        <v>299</v>
      </c>
      <c r="Z41" t="s">
        <v>299</v>
      </c>
      <c r="AA41" t="s">
        <v>300</v>
      </c>
      <c r="AB41" t="s">
        <v>301</v>
      </c>
      <c r="AC41" t="s">
        <v>301</v>
      </c>
      <c r="AD41" t="s">
        <v>216</v>
      </c>
      <c r="AE41" t="s">
        <v>300</v>
      </c>
      <c r="AG41" s="8" t="s">
        <v>218</v>
      </c>
      <c r="AH41" t="s">
        <v>302</v>
      </c>
      <c r="AI41" s="9" t="s">
        <v>218</v>
      </c>
      <c r="AJ41" s="9" t="s">
        <v>218</v>
      </c>
      <c r="AK41" t="s">
        <v>483</v>
      </c>
      <c r="AL41" s="9" t="s">
        <v>218</v>
      </c>
      <c r="AM41" s="8" t="s">
        <v>221</v>
      </c>
      <c r="AN41" s="8" t="s">
        <v>221</v>
      </c>
      <c r="AO41" s="8" t="s">
        <v>222</v>
      </c>
      <c r="AP41" s="8">
        <v>0</v>
      </c>
      <c r="AQ41" s="8">
        <v>0</v>
      </c>
      <c r="AR41" s="9">
        <v>3</v>
      </c>
      <c r="AS41" s="8">
        <v>0</v>
      </c>
      <c r="AT41" s="8">
        <v>0</v>
      </c>
      <c r="AU41" s="8">
        <v>0</v>
      </c>
      <c r="AV41" s="8">
        <v>0</v>
      </c>
      <c r="AW41" s="9">
        <v>3</v>
      </c>
      <c r="AX41" s="8"/>
      <c r="AY41" s="8"/>
      <c r="AZ41">
        <v>1</v>
      </c>
      <c r="BA41" t="s">
        <v>484</v>
      </c>
      <c r="BC41" t="s">
        <v>490</v>
      </c>
    </row>
    <row r="42" spans="1:55">
      <c r="A42" s="6">
        <v>45737</v>
      </c>
      <c r="B42" s="7" t="s">
        <v>491</v>
      </c>
      <c r="C42" t="s">
        <v>387</v>
      </c>
      <c r="D42" t="s">
        <v>292</v>
      </c>
      <c r="E42" t="s">
        <v>292</v>
      </c>
      <c r="F42" t="s">
        <v>293</v>
      </c>
      <c r="G42" t="s">
        <v>294</v>
      </c>
      <c r="H42" s="8" t="s">
        <v>208</v>
      </c>
      <c r="I42" s="8" t="s">
        <v>208</v>
      </c>
      <c r="J42" s="8" t="s">
        <v>208</v>
      </c>
      <c r="K42" s="8" t="s">
        <v>208</v>
      </c>
      <c r="L42" s="8" t="s">
        <v>208</v>
      </c>
      <c r="M42" s="8" t="s">
        <v>208</v>
      </c>
      <c r="N42" s="8" t="s">
        <v>208</v>
      </c>
      <c r="O42" s="8" t="s">
        <v>208</v>
      </c>
      <c r="Q42" t="s">
        <v>492</v>
      </c>
      <c r="R42" t="s">
        <v>493</v>
      </c>
      <c r="S42" t="s">
        <v>493</v>
      </c>
      <c r="T42" t="s">
        <v>491</v>
      </c>
      <c r="U42" t="s">
        <v>494</v>
      </c>
      <c r="V42" t="s">
        <v>30</v>
      </c>
      <c r="W42" t="s">
        <v>298</v>
      </c>
      <c r="Y42" t="s">
        <v>299</v>
      </c>
      <c r="Z42" t="s">
        <v>299</v>
      </c>
      <c r="AA42" t="s">
        <v>300</v>
      </c>
      <c r="AB42" t="s">
        <v>301</v>
      </c>
      <c r="AC42" t="s">
        <v>301</v>
      </c>
      <c r="AD42" t="s">
        <v>216</v>
      </c>
      <c r="AE42" t="s">
        <v>300</v>
      </c>
      <c r="AG42" s="8" t="s">
        <v>218</v>
      </c>
      <c r="AH42" t="s">
        <v>302</v>
      </c>
      <c r="AI42" s="9" t="s">
        <v>218</v>
      </c>
      <c r="AJ42" s="9" t="s">
        <v>218</v>
      </c>
      <c r="AK42" t="s">
        <v>495</v>
      </c>
      <c r="AL42" s="9" t="s">
        <v>218</v>
      </c>
      <c r="AM42" s="8" t="s">
        <v>221</v>
      </c>
      <c r="AN42" s="8" t="s">
        <v>221</v>
      </c>
      <c r="AO42" s="8" t="s">
        <v>222</v>
      </c>
      <c r="AP42" s="8">
        <v>0</v>
      </c>
      <c r="AQ42" s="8">
        <v>0</v>
      </c>
      <c r="AR42" s="8">
        <v>0</v>
      </c>
      <c r="AS42" s="8">
        <v>0</v>
      </c>
      <c r="AT42" s="8">
        <v>0</v>
      </c>
      <c r="AU42" s="8">
        <v>0</v>
      </c>
      <c r="AV42" s="8">
        <v>0</v>
      </c>
      <c r="AW42" s="8">
        <v>0</v>
      </c>
      <c r="AX42" s="8"/>
      <c r="AY42" s="8"/>
      <c r="BC42" t="s">
        <v>496</v>
      </c>
    </row>
    <row r="43" spans="1:55">
      <c r="A43" s="6">
        <v>45737</v>
      </c>
      <c r="B43" s="7" t="s">
        <v>497</v>
      </c>
      <c r="C43" t="s">
        <v>387</v>
      </c>
      <c r="D43" t="s">
        <v>292</v>
      </c>
      <c r="E43" t="s">
        <v>292</v>
      </c>
      <c r="F43" t="s">
        <v>293</v>
      </c>
      <c r="G43" t="s">
        <v>294</v>
      </c>
      <c r="H43" s="8" t="s">
        <v>208</v>
      </c>
      <c r="I43" s="8" t="s">
        <v>208</v>
      </c>
      <c r="J43" s="8" t="s">
        <v>208</v>
      </c>
      <c r="K43" s="8" t="s">
        <v>208</v>
      </c>
      <c r="L43" s="8" t="s">
        <v>208</v>
      </c>
      <c r="M43" s="8" t="s">
        <v>208</v>
      </c>
      <c r="N43" s="8" t="s">
        <v>208</v>
      </c>
      <c r="O43" s="8" t="s">
        <v>208</v>
      </c>
      <c r="Q43" t="s">
        <v>498</v>
      </c>
      <c r="R43" t="s">
        <v>499</v>
      </c>
      <c r="S43" t="s">
        <v>499</v>
      </c>
      <c r="T43" t="s">
        <v>497</v>
      </c>
      <c r="U43" t="s">
        <v>500</v>
      </c>
      <c r="V43" t="s">
        <v>30</v>
      </c>
      <c r="W43" t="s">
        <v>298</v>
      </c>
      <c r="Y43" t="s">
        <v>299</v>
      </c>
      <c r="Z43" t="s">
        <v>299</v>
      </c>
      <c r="AA43" t="s">
        <v>300</v>
      </c>
      <c r="AB43" t="s">
        <v>301</v>
      </c>
      <c r="AC43" t="s">
        <v>301</v>
      </c>
      <c r="AD43" t="s">
        <v>216</v>
      </c>
      <c r="AE43" t="s">
        <v>300</v>
      </c>
      <c r="AG43" s="8" t="s">
        <v>218</v>
      </c>
      <c r="AH43" t="s">
        <v>302</v>
      </c>
      <c r="AI43" s="9" t="s">
        <v>218</v>
      </c>
      <c r="AJ43" s="9" t="s">
        <v>218</v>
      </c>
      <c r="AK43" t="s">
        <v>483</v>
      </c>
      <c r="AL43" s="9" t="s">
        <v>218</v>
      </c>
      <c r="AM43" s="8" t="s">
        <v>221</v>
      </c>
      <c r="AN43" s="8" t="s">
        <v>221</v>
      </c>
      <c r="AO43" s="8" t="s">
        <v>222</v>
      </c>
      <c r="AP43" s="8">
        <v>0</v>
      </c>
      <c r="AQ43" s="8">
        <v>0</v>
      </c>
      <c r="AR43" s="8">
        <v>0</v>
      </c>
      <c r="AS43" s="8">
        <v>0</v>
      </c>
      <c r="AT43" s="8">
        <v>0</v>
      </c>
      <c r="AU43" s="8">
        <v>0</v>
      </c>
      <c r="AV43" s="8">
        <v>0</v>
      </c>
      <c r="AW43" s="8">
        <v>0</v>
      </c>
      <c r="AX43" s="8"/>
      <c r="AY43" s="8"/>
      <c r="BC43" t="s">
        <v>501</v>
      </c>
    </row>
    <row r="44" spans="1:55">
      <c r="A44" s="6">
        <v>45737</v>
      </c>
      <c r="B44" s="7" t="s">
        <v>502</v>
      </c>
      <c r="C44" t="s">
        <v>387</v>
      </c>
      <c r="D44" t="s">
        <v>292</v>
      </c>
      <c r="E44" t="s">
        <v>292</v>
      </c>
      <c r="F44" t="s">
        <v>293</v>
      </c>
      <c r="G44" t="s">
        <v>294</v>
      </c>
      <c r="H44" s="8" t="s">
        <v>208</v>
      </c>
      <c r="I44" s="8" t="s">
        <v>208</v>
      </c>
      <c r="J44" s="8" t="s">
        <v>208</v>
      </c>
      <c r="K44" s="8" t="s">
        <v>208</v>
      </c>
      <c r="L44" s="8" t="s">
        <v>208</v>
      </c>
      <c r="M44" s="8" t="s">
        <v>208</v>
      </c>
      <c r="N44" s="8" t="s">
        <v>208</v>
      </c>
      <c r="O44" s="8" t="s">
        <v>208</v>
      </c>
      <c r="Q44" t="s">
        <v>503</v>
      </c>
      <c r="R44" t="s">
        <v>504</v>
      </c>
      <c r="S44" t="s">
        <v>504</v>
      </c>
      <c r="T44" t="s">
        <v>502</v>
      </c>
      <c r="U44" t="s">
        <v>505</v>
      </c>
      <c r="V44" t="s">
        <v>30</v>
      </c>
      <c r="W44" t="s">
        <v>298</v>
      </c>
      <c r="Y44" t="s">
        <v>299</v>
      </c>
      <c r="Z44" t="s">
        <v>299</v>
      </c>
      <c r="AA44" t="s">
        <v>300</v>
      </c>
      <c r="AB44" t="s">
        <v>301</v>
      </c>
      <c r="AC44" t="s">
        <v>301</v>
      </c>
      <c r="AD44" t="s">
        <v>216</v>
      </c>
      <c r="AE44" t="s">
        <v>300</v>
      </c>
      <c r="AG44" s="8" t="s">
        <v>218</v>
      </c>
      <c r="AH44" t="s">
        <v>302</v>
      </c>
      <c r="AI44" s="9" t="s">
        <v>218</v>
      </c>
      <c r="AJ44" s="9" t="s">
        <v>218</v>
      </c>
      <c r="AK44" t="s">
        <v>483</v>
      </c>
      <c r="AL44" s="9" t="s">
        <v>218</v>
      </c>
      <c r="AM44" s="8" t="s">
        <v>221</v>
      </c>
      <c r="AN44" s="8" t="s">
        <v>221</v>
      </c>
      <c r="AO44" s="8" t="s">
        <v>222</v>
      </c>
      <c r="AP44" s="8">
        <v>0</v>
      </c>
      <c r="AQ44" s="8">
        <v>0</v>
      </c>
      <c r="AR44" s="8">
        <v>0</v>
      </c>
      <c r="AS44" s="8">
        <v>0</v>
      </c>
      <c r="AT44" s="8">
        <v>0</v>
      </c>
      <c r="AU44" s="8">
        <v>0</v>
      </c>
      <c r="AV44" s="8">
        <v>0</v>
      </c>
      <c r="AW44" s="8">
        <v>0</v>
      </c>
      <c r="AX44" s="8"/>
      <c r="AY44" s="8"/>
      <c r="BC44" t="s">
        <v>506</v>
      </c>
    </row>
    <row r="45" spans="1:55">
      <c r="A45" s="6">
        <v>45737</v>
      </c>
      <c r="B45" s="7" t="s">
        <v>507</v>
      </c>
      <c r="C45" t="s">
        <v>387</v>
      </c>
      <c r="D45" t="s">
        <v>292</v>
      </c>
      <c r="E45" t="s">
        <v>292</v>
      </c>
      <c r="F45" t="s">
        <v>293</v>
      </c>
      <c r="G45" t="s">
        <v>294</v>
      </c>
      <c r="H45" s="8" t="s">
        <v>208</v>
      </c>
      <c r="I45" s="8" t="s">
        <v>208</v>
      </c>
      <c r="J45" s="8" t="s">
        <v>208</v>
      </c>
      <c r="K45" s="8" t="s">
        <v>208</v>
      </c>
      <c r="L45" s="8" t="s">
        <v>208</v>
      </c>
      <c r="M45" s="8" t="s">
        <v>208</v>
      </c>
      <c r="N45" s="8" t="s">
        <v>208</v>
      </c>
      <c r="O45" s="8" t="s">
        <v>208</v>
      </c>
      <c r="Q45" t="s">
        <v>508</v>
      </c>
      <c r="R45" t="s">
        <v>509</v>
      </c>
      <c r="S45" t="s">
        <v>509</v>
      </c>
      <c r="T45" t="s">
        <v>507</v>
      </c>
      <c r="U45" t="s">
        <v>510</v>
      </c>
      <c r="V45" t="s">
        <v>30</v>
      </c>
      <c r="W45" t="s">
        <v>298</v>
      </c>
      <c r="Y45" t="s">
        <v>299</v>
      </c>
      <c r="Z45" t="s">
        <v>299</v>
      </c>
      <c r="AA45" t="s">
        <v>300</v>
      </c>
      <c r="AB45" t="s">
        <v>301</v>
      </c>
      <c r="AC45" t="s">
        <v>301</v>
      </c>
      <c r="AD45" t="s">
        <v>216</v>
      </c>
      <c r="AE45" t="s">
        <v>300</v>
      </c>
      <c r="AG45" s="8" t="s">
        <v>218</v>
      </c>
      <c r="AH45" t="s">
        <v>302</v>
      </c>
      <c r="AI45" s="9" t="s">
        <v>218</v>
      </c>
      <c r="AJ45" s="9" t="s">
        <v>218</v>
      </c>
      <c r="AK45" t="s">
        <v>511</v>
      </c>
      <c r="AL45" s="9" t="s">
        <v>218</v>
      </c>
      <c r="AM45" s="8" t="s">
        <v>221</v>
      </c>
      <c r="AN45" s="8" t="s">
        <v>221</v>
      </c>
      <c r="AO45" s="8" t="s">
        <v>222</v>
      </c>
      <c r="AP45" s="8">
        <v>0</v>
      </c>
      <c r="AQ45" s="8">
        <v>0</v>
      </c>
      <c r="AR45" s="8">
        <v>0</v>
      </c>
      <c r="AS45" s="8">
        <v>0</v>
      </c>
      <c r="AT45" s="8">
        <v>0</v>
      </c>
      <c r="AU45" s="8">
        <v>0</v>
      </c>
      <c r="AV45" s="8">
        <v>0</v>
      </c>
      <c r="AW45" s="8">
        <v>0</v>
      </c>
      <c r="AX45" s="8"/>
      <c r="AY45" s="8"/>
      <c r="BC45" t="s">
        <v>512</v>
      </c>
    </row>
    <row r="46" spans="1:55">
      <c r="A46" s="6">
        <v>45737</v>
      </c>
      <c r="B46" s="7" t="s">
        <v>513</v>
      </c>
      <c r="C46" t="s">
        <v>387</v>
      </c>
      <c r="D46" t="s">
        <v>292</v>
      </c>
      <c r="E46" t="s">
        <v>292</v>
      </c>
      <c r="F46" t="s">
        <v>293</v>
      </c>
      <c r="G46" t="s">
        <v>294</v>
      </c>
      <c r="H46" s="8" t="s">
        <v>208</v>
      </c>
      <c r="I46" s="8" t="s">
        <v>208</v>
      </c>
      <c r="J46" s="8" t="s">
        <v>208</v>
      </c>
      <c r="K46" s="8" t="s">
        <v>208</v>
      </c>
      <c r="L46" s="8" t="s">
        <v>208</v>
      </c>
      <c r="M46" s="8" t="s">
        <v>208</v>
      </c>
      <c r="N46" s="8" t="s">
        <v>208</v>
      </c>
      <c r="O46" s="8" t="s">
        <v>208</v>
      </c>
      <c r="Q46" t="s">
        <v>514</v>
      </c>
      <c r="R46" t="s">
        <v>515</v>
      </c>
      <c r="S46" t="s">
        <v>515</v>
      </c>
      <c r="T46" t="s">
        <v>513</v>
      </c>
      <c r="U46" t="s">
        <v>516</v>
      </c>
      <c r="V46" t="s">
        <v>30</v>
      </c>
      <c r="W46" t="s">
        <v>298</v>
      </c>
      <c r="Y46" t="s">
        <v>299</v>
      </c>
      <c r="Z46" t="s">
        <v>299</v>
      </c>
      <c r="AA46" t="s">
        <v>300</v>
      </c>
      <c r="AB46" t="s">
        <v>301</v>
      </c>
      <c r="AC46" t="s">
        <v>301</v>
      </c>
      <c r="AD46" t="s">
        <v>216</v>
      </c>
      <c r="AE46" t="s">
        <v>300</v>
      </c>
      <c r="AG46" s="8" t="s">
        <v>218</v>
      </c>
      <c r="AH46" t="s">
        <v>302</v>
      </c>
      <c r="AI46" s="9" t="s">
        <v>218</v>
      </c>
      <c r="AJ46" s="9" t="s">
        <v>218</v>
      </c>
      <c r="AK46" t="s">
        <v>483</v>
      </c>
      <c r="AL46" s="9" t="s">
        <v>218</v>
      </c>
      <c r="AM46" s="8" t="s">
        <v>221</v>
      </c>
      <c r="AN46" s="8" t="s">
        <v>221</v>
      </c>
      <c r="AO46" s="8" t="s">
        <v>222</v>
      </c>
      <c r="AP46" s="8">
        <v>0</v>
      </c>
      <c r="AQ46" s="8">
        <v>0</v>
      </c>
      <c r="AR46" s="8">
        <v>0</v>
      </c>
      <c r="AS46" s="8">
        <v>0</v>
      </c>
      <c r="AT46" s="8">
        <v>0</v>
      </c>
      <c r="AU46" s="8">
        <v>0</v>
      </c>
      <c r="AV46" s="8">
        <v>0</v>
      </c>
      <c r="AW46" s="8">
        <v>0</v>
      </c>
      <c r="AX46" s="8"/>
      <c r="AY46" s="8"/>
      <c r="BC46" t="s">
        <v>517</v>
      </c>
    </row>
    <row r="47" spans="1:55">
      <c r="A47" s="6">
        <v>45737</v>
      </c>
      <c r="B47" s="7" t="s">
        <v>518</v>
      </c>
      <c r="C47" t="s">
        <v>387</v>
      </c>
      <c r="D47" t="s">
        <v>292</v>
      </c>
      <c r="E47" t="s">
        <v>292</v>
      </c>
      <c r="F47" t="s">
        <v>293</v>
      </c>
      <c r="G47" t="s">
        <v>294</v>
      </c>
      <c r="H47" s="8" t="s">
        <v>208</v>
      </c>
      <c r="I47" s="8" t="s">
        <v>208</v>
      </c>
      <c r="J47" s="8" t="s">
        <v>208</v>
      </c>
      <c r="K47" s="8" t="s">
        <v>208</v>
      </c>
      <c r="L47" s="8" t="s">
        <v>208</v>
      </c>
      <c r="M47" s="8" t="s">
        <v>208</v>
      </c>
      <c r="N47" s="8" t="s">
        <v>208</v>
      </c>
      <c r="O47" s="8" t="s">
        <v>208</v>
      </c>
      <c r="Q47" t="s">
        <v>519</v>
      </c>
      <c r="R47" t="s">
        <v>520</v>
      </c>
      <c r="S47" t="s">
        <v>520</v>
      </c>
      <c r="T47" t="s">
        <v>518</v>
      </c>
      <c r="U47" t="s">
        <v>521</v>
      </c>
      <c r="V47" t="s">
        <v>30</v>
      </c>
      <c r="W47" t="s">
        <v>298</v>
      </c>
      <c r="Y47" t="s">
        <v>299</v>
      </c>
      <c r="Z47" t="s">
        <v>299</v>
      </c>
      <c r="AA47" t="s">
        <v>300</v>
      </c>
      <c r="AB47" t="s">
        <v>301</v>
      </c>
      <c r="AC47" t="s">
        <v>301</v>
      </c>
      <c r="AD47" t="s">
        <v>216</v>
      </c>
      <c r="AE47" t="s">
        <v>300</v>
      </c>
      <c r="AG47" s="8" t="s">
        <v>218</v>
      </c>
      <c r="AH47" t="s">
        <v>302</v>
      </c>
      <c r="AI47" s="9" t="s">
        <v>218</v>
      </c>
      <c r="AJ47" s="9" t="s">
        <v>218</v>
      </c>
      <c r="AK47" t="s">
        <v>511</v>
      </c>
      <c r="AL47" s="9" t="s">
        <v>218</v>
      </c>
      <c r="AM47" s="8" t="s">
        <v>221</v>
      </c>
      <c r="AN47" s="8" t="s">
        <v>221</v>
      </c>
      <c r="AO47" s="8" t="s">
        <v>222</v>
      </c>
      <c r="AP47" s="8">
        <v>0</v>
      </c>
      <c r="AQ47" s="8">
        <v>0</v>
      </c>
      <c r="AR47" s="8">
        <v>0</v>
      </c>
      <c r="AS47" s="8">
        <v>0</v>
      </c>
      <c r="AT47" s="8">
        <v>0</v>
      </c>
      <c r="AU47" s="8">
        <v>0</v>
      </c>
      <c r="AV47" s="8">
        <v>0</v>
      </c>
      <c r="AW47" s="8">
        <v>0</v>
      </c>
      <c r="AX47" s="8"/>
      <c r="AY47" s="8"/>
      <c r="BC47" t="s">
        <v>522</v>
      </c>
    </row>
    <row r="48" spans="1:55">
      <c r="A48" s="6">
        <v>45737</v>
      </c>
      <c r="B48" s="7" t="s">
        <v>523</v>
      </c>
      <c r="C48" t="s">
        <v>387</v>
      </c>
      <c r="D48" t="s">
        <v>292</v>
      </c>
      <c r="E48" t="s">
        <v>292</v>
      </c>
      <c r="F48" t="s">
        <v>293</v>
      </c>
      <c r="G48" t="s">
        <v>294</v>
      </c>
      <c r="H48" s="8" t="s">
        <v>208</v>
      </c>
      <c r="I48" s="8" t="s">
        <v>208</v>
      </c>
      <c r="J48" s="8" t="s">
        <v>208</v>
      </c>
      <c r="K48" s="8" t="s">
        <v>208</v>
      </c>
      <c r="L48" s="8" t="s">
        <v>208</v>
      </c>
      <c r="M48" s="8" t="s">
        <v>208</v>
      </c>
      <c r="N48" s="8" t="s">
        <v>208</v>
      </c>
      <c r="O48" s="8" t="s">
        <v>208</v>
      </c>
      <c r="Q48" t="s">
        <v>524</v>
      </c>
      <c r="R48" t="s">
        <v>525</v>
      </c>
      <c r="S48" t="s">
        <v>525</v>
      </c>
      <c r="T48" t="s">
        <v>523</v>
      </c>
      <c r="U48" t="s">
        <v>526</v>
      </c>
      <c r="V48" t="s">
        <v>30</v>
      </c>
      <c r="W48" t="s">
        <v>298</v>
      </c>
      <c r="Y48" t="s">
        <v>299</v>
      </c>
      <c r="Z48" t="s">
        <v>299</v>
      </c>
      <c r="AA48" t="s">
        <v>300</v>
      </c>
      <c r="AB48" t="s">
        <v>465</v>
      </c>
      <c r="AC48" t="s">
        <v>465</v>
      </c>
      <c r="AD48" t="s">
        <v>216</v>
      </c>
      <c r="AE48" t="s">
        <v>300</v>
      </c>
      <c r="AG48" s="8" t="s">
        <v>218</v>
      </c>
      <c r="AH48" t="s">
        <v>302</v>
      </c>
      <c r="AI48" s="9" t="s">
        <v>218</v>
      </c>
      <c r="AJ48" s="9" t="s">
        <v>218</v>
      </c>
      <c r="AK48" t="s">
        <v>466</v>
      </c>
      <c r="AL48" s="9" t="s">
        <v>218</v>
      </c>
      <c r="AM48" s="8" t="s">
        <v>221</v>
      </c>
      <c r="AN48" s="8" t="s">
        <v>221</v>
      </c>
      <c r="AO48" s="8" t="s">
        <v>222</v>
      </c>
      <c r="AP48" s="8">
        <v>0</v>
      </c>
      <c r="AQ48" s="8">
        <v>0</v>
      </c>
      <c r="AR48" s="8">
        <v>0</v>
      </c>
      <c r="AS48" s="8">
        <v>0</v>
      </c>
      <c r="AT48" s="8">
        <v>0</v>
      </c>
      <c r="AU48" s="8">
        <v>0</v>
      </c>
      <c r="AV48" s="8">
        <v>0</v>
      </c>
      <c r="AW48" s="8">
        <v>0</v>
      </c>
      <c r="AX48" s="8"/>
      <c r="AY48" s="8"/>
      <c r="AZ48">
        <v>1</v>
      </c>
      <c r="BA48" t="s">
        <v>304</v>
      </c>
      <c r="BC48" t="s">
        <v>527</v>
      </c>
    </row>
    <row r="49" spans="1:55">
      <c r="A49" s="6">
        <v>45737</v>
      </c>
      <c r="B49" s="7" t="s">
        <v>528</v>
      </c>
      <c r="C49" t="s">
        <v>387</v>
      </c>
      <c r="D49" t="s">
        <v>292</v>
      </c>
      <c r="E49" t="s">
        <v>292</v>
      </c>
      <c r="F49" t="s">
        <v>293</v>
      </c>
      <c r="G49" t="s">
        <v>294</v>
      </c>
      <c r="H49" s="8" t="s">
        <v>208</v>
      </c>
      <c r="I49" s="8" t="s">
        <v>208</v>
      </c>
      <c r="J49" s="8" t="s">
        <v>208</v>
      </c>
      <c r="K49" s="8" t="s">
        <v>208</v>
      </c>
      <c r="L49" s="8" t="s">
        <v>208</v>
      </c>
      <c r="M49" s="8" t="s">
        <v>208</v>
      </c>
      <c r="N49" s="8" t="s">
        <v>208</v>
      </c>
      <c r="O49" s="8" t="s">
        <v>208</v>
      </c>
      <c r="Q49" t="s">
        <v>529</v>
      </c>
      <c r="R49" t="s">
        <v>530</v>
      </c>
      <c r="S49" t="s">
        <v>530</v>
      </c>
      <c r="T49" t="s">
        <v>528</v>
      </c>
      <c r="U49" t="s">
        <v>531</v>
      </c>
      <c r="V49" t="s">
        <v>30</v>
      </c>
      <c r="W49" t="s">
        <v>298</v>
      </c>
      <c r="Y49" t="s">
        <v>299</v>
      </c>
      <c r="Z49" t="s">
        <v>299</v>
      </c>
      <c r="AA49" t="s">
        <v>300</v>
      </c>
      <c r="AB49" t="s">
        <v>301</v>
      </c>
      <c r="AC49" t="s">
        <v>301</v>
      </c>
      <c r="AD49" t="s">
        <v>216</v>
      </c>
      <c r="AE49" t="s">
        <v>300</v>
      </c>
      <c r="AG49" s="8" t="s">
        <v>218</v>
      </c>
      <c r="AH49" t="s">
        <v>302</v>
      </c>
      <c r="AI49" s="9" t="s">
        <v>218</v>
      </c>
      <c r="AJ49" s="9" t="s">
        <v>218</v>
      </c>
      <c r="AK49" t="s">
        <v>532</v>
      </c>
      <c r="AL49" s="9" t="s">
        <v>218</v>
      </c>
      <c r="AM49" s="8" t="s">
        <v>221</v>
      </c>
      <c r="AN49" s="8" t="s">
        <v>221</v>
      </c>
      <c r="AO49" s="8" t="s">
        <v>222</v>
      </c>
      <c r="AP49" s="8">
        <v>0</v>
      </c>
      <c r="AQ49" s="8">
        <v>0</v>
      </c>
      <c r="AR49" s="8">
        <v>0</v>
      </c>
      <c r="AS49" s="8">
        <v>0</v>
      </c>
      <c r="AT49" s="8">
        <v>0</v>
      </c>
      <c r="AU49" s="8">
        <v>0</v>
      </c>
      <c r="AV49" s="8">
        <v>0</v>
      </c>
      <c r="AW49" s="8">
        <v>0</v>
      </c>
      <c r="AX49" s="8"/>
      <c r="AY49" s="8"/>
      <c r="AZ49">
        <v>1</v>
      </c>
      <c r="BA49" t="s">
        <v>304</v>
      </c>
      <c r="BC49" t="s">
        <v>533</v>
      </c>
    </row>
    <row r="50" spans="1:55">
      <c r="A50" s="6">
        <v>45737</v>
      </c>
      <c r="B50" s="7" t="s">
        <v>534</v>
      </c>
      <c r="C50" t="s">
        <v>387</v>
      </c>
      <c r="D50" t="s">
        <v>292</v>
      </c>
      <c r="E50" t="s">
        <v>292</v>
      </c>
      <c r="F50" t="s">
        <v>293</v>
      </c>
      <c r="G50" t="s">
        <v>294</v>
      </c>
      <c r="H50" s="8" t="s">
        <v>208</v>
      </c>
      <c r="I50" s="8" t="s">
        <v>208</v>
      </c>
      <c r="J50" s="8" t="s">
        <v>208</v>
      </c>
      <c r="K50" s="8" t="s">
        <v>208</v>
      </c>
      <c r="L50" s="8" t="s">
        <v>208</v>
      </c>
      <c r="M50" s="8" t="s">
        <v>208</v>
      </c>
      <c r="N50" s="8" t="s">
        <v>208</v>
      </c>
      <c r="O50" s="8" t="s">
        <v>208</v>
      </c>
      <c r="Q50" t="s">
        <v>535</v>
      </c>
      <c r="R50" t="s">
        <v>536</v>
      </c>
      <c r="S50" t="s">
        <v>536</v>
      </c>
      <c r="T50" t="s">
        <v>534</v>
      </c>
      <c r="U50" t="s">
        <v>537</v>
      </c>
      <c r="V50" t="s">
        <v>30</v>
      </c>
      <c r="W50" t="s">
        <v>298</v>
      </c>
      <c r="Y50" t="s">
        <v>299</v>
      </c>
      <c r="Z50" t="s">
        <v>299</v>
      </c>
      <c r="AA50" t="s">
        <v>300</v>
      </c>
      <c r="AB50" t="s">
        <v>538</v>
      </c>
      <c r="AC50" t="s">
        <v>538</v>
      </c>
      <c r="AD50" t="s">
        <v>216</v>
      </c>
      <c r="AE50" t="s">
        <v>300</v>
      </c>
      <c r="AG50" s="8" t="s">
        <v>218</v>
      </c>
      <c r="AH50" t="s">
        <v>302</v>
      </c>
      <c r="AI50" s="9" t="s">
        <v>218</v>
      </c>
      <c r="AJ50" s="9" t="s">
        <v>218</v>
      </c>
      <c r="AK50" t="s">
        <v>400</v>
      </c>
      <c r="AL50" s="9" t="s">
        <v>218</v>
      </c>
      <c r="AM50" s="8" t="s">
        <v>221</v>
      </c>
      <c r="AN50" s="8" t="s">
        <v>221</v>
      </c>
      <c r="AO50" s="8" t="s">
        <v>222</v>
      </c>
      <c r="AP50" s="8">
        <v>0</v>
      </c>
      <c r="AQ50" s="8">
        <v>0</v>
      </c>
      <c r="AR50" s="9">
        <v>7</v>
      </c>
      <c r="AS50" s="8">
        <v>0</v>
      </c>
      <c r="AT50" s="8">
        <v>0</v>
      </c>
      <c r="AU50" s="8">
        <v>0</v>
      </c>
      <c r="AV50" s="8">
        <v>0</v>
      </c>
      <c r="AW50" s="9">
        <v>7</v>
      </c>
      <c r="AX50" s="8"/>
      <c r="AY50" s="8"/>
      <c r="AZ50">
        <v>3</v>
      </c>
      <c r="BA50" t="s">
        <v>410</v>
      </c>
      <c r="BB50" t="s">
        <v>539</v>
      </c>
      <c r="BC50" t="s">
        <v>540</v>
      </c>
    </row>
    <row r="51" spans="1:55">
      <c r="A51" s="6">
        <v>45737</v>
      </c>
      <c r="B51" s="7" t="s">
        <v>541</v>
      </c>
      <c r="C51" t="s">
        <v>387</v>
      </c>
      <c r="D51" t="s">
        <v>292</v>
      </c>
      <c r="E51" t="s">
        <v>292</v>
      </c>
      <c r="F51" t="s">
        <v>293</v>
      </c>
      <c r="G51" t="s">
        <v>294</v>
      </c>
      <c r="H51" s="8" t="s">
        <v>208</v>
      </c>
      <c r="I51" s="8" t="s">
        <v>208</v>
      </c>
      <c r="J51" s="8" t="s">
        <v>208</v>
      </c>
      <c r="K51" s="8" t="s">
        <v>208</v>
      </c>
      <c r="L51" s="8" t="s">
        <v>208</v>
      </c>
      <c r="M51" s="8" t="s">
        <v>208</v>
      </c>
      <c r="N51" s="8" t="s">
        <v>208</v>
      </c>
      <c r="O51" s="8" t="s">
        <v>208</v>
      </c>
      <c r="Q51" t="s">
        <v>542</v>
      </c>
      <c r="R51" t="s">
        <v>543</v>
      </c>
      <c r="S51" t="s">
        <v>543</v>
      </c>
      <c r="T51" t="s">
        <v>541</v>
      </c>
      <c r="U51" t="s">
        <v>544</v>
      </c>
      <c r="V51" t="s">
        <v>30</v>
      </c>
      <c r="W51" t="s">
        <v>298</v>
      </c>
      <c r="Y51" t="s">
        <v>299</v>
      </c>
      <c r="Z51" t="s">
        <v>299</v>
      </c>
      <c r="AA51" t="s">
        <v>300</v>
      </c>
      <c r="AB51" t="s">
        <v>538</v>
      </c>
      <c r="AC51" t="s">
        <v>538</v>
      </c>
      <c r="AD51" t="s">
        <v>216</v>
      </c>
      <c r="AE51" t="s">
        <v>300</v>
      </c>
      <c r="AG51" s="8" t="s">
        <v>218</v>
      </c>
      <c r="AH51" t="s">
        <v>302</v>
      </c>
      <c r="AI51" s="9" t="s">
        <v>218</v>
      </c>
      <c r="AJ51" s="9" t="s">
        <v>218</v>
      </c>
      <c r="AK51" t="s">
        <v>400</v>
      </c>
      <c r="AL51" s="9" t="s">
        <v>218</v>
      </c>
      <c r="AM51" s="8" t="s">
        <v>221</v>
      </c>
      <c r="AN51" s="8" t="s">
        <v>221</v>
      </c>
      <c r="AO51" s="8" t="s">
        <v>222</v>
      </c>
      <c r="AP51" s="8">
        <v>0</v>
      </c>
      <c r="AQ51" s="8">
        <v>0</v>
      </c>
      <c r="AR51" s="9">
        <v>5</v>
      </c>
      <c r="AS51" s="8">
        <v>0</v>
      </c>
      <c r="AT51" s="8">
        <v>0</v>
      </c>
      <c r="AU51" s="8">
        <v>0</v>
      </c>
      <c r="AV51" s="8">
        <v>0</v>
      </c>
      <c r="AW51" s="9">
        <v>5</v>
      </c>
      <c r="AX51" s="8"/>
      <c r="AY51" s="8"/>
      <c r="AZ51">
        <v>3</v>
      </c>
      <c r="BA51" t="s">
        <v>545</v>
      </c>
      <c r="BB51" t="s">
        <v>546</v>
      </c>
      <c r="BC51" t="s">
        <v>547</v>
      </c>
    </row>
    <row r="52" spans="1:55">
      <c r="A52" s="6">
        <v>45737</v>
      </c>
      <c r="B52" s="7" t="s">
        <v>548</v>
      </c>
      <c r="C52" t="s">
        <v>387</v>
      </c>
      <c r="D52" t="s">
        <v>292</v>
      </c>
      <c r="E52" t="s">
        <v>292</v>
      </c>
      <c r="F52" t="s">
        <v>293</v>
      </c>
      <c r="G52" t="s">
        <v>294</v>
      </c>
      <c r="H52" s="8" t="s">
        <v>208</v>
      </c>
      <c r="I52" s="8" t="s">
        <v>208</v>
      </c>
      <c r="J52" s="8" t="s">
        <v>208</v>
      </c>
      <c r="K52" s="8" t="s">
        <v>208</v>
      </c>
      <c r="L52" s="8" t="s">
        <v>208</v>
      </c>
      <c r="M52" s="8" t="s">
        <v>208</v>
      </c>
      <c r="N52" s="8" t="s">
        <v>208</v>
      </c>
      <c r="O52" s="8" t="s">
        <v>208</v>
      </c>
      <c r="Q52" t="s">
        <v>549</v>
      </c>
      <c r="R52" t="s">
        <v>550</v>
      </c>
      <c r="S52" t="s">
        <v>550</v>
      </c>
      <c r="T52" t="s">
        <v>548</v>
      </c>
      <c r="U52" t="s">
        <v>551</v>
      </c>
      <c r="V52" t="s">
        <v>30</v>
      </c>
      <c r="W52" t="s">
        <v>298</v>
      </c>
      <c r="Y52" t="s">
        <v>299</v>
      </c>
      <c r="Z52" t="s">
        <v>299</v>
      </c>
      <c r="AA52" t="s">
        <v>300</v>
      </c>
      <c r="AB52" t="s">
        <v>408</v>
      </c>
      <c r="AC52" t="s">
        <v>408</v>
      </c>
      <c r="AD52" t="s">
        <v>216</v>
      </c>
      <c r="AE52" t="s">
        <v>300</v>
      </c>
      <c r="AG52" s="8" t="s">
        <v>218</v>
      </c>
      <c r="AH52" t="s">
        <v>302</v>
      </c>
      <c r="AI52" s="9" t="s">
        <v>218</v>
      </c>
      <c r="AJ52" s="9" t="s">
        <v>218</v>
      </c>
      <c r="AK52" t="s">
        <v>400</v>
      </c>
      <c r="AL52" s="9" t="s">
        <v>218</v>
      </c>
      <c r="AM52" s="8" t="s">
        <v>221</v>
      </c>
      <c r="AN52" s="8" t="s">
        <v>221</v>
      </c>
      <c r="AO52" s="8" t="s">
        <v>222</v>
      </c>
      <c r="AP52" s="8">
        <v>0</v>
      </c>
      <c r="AQ52" s="8">
        <v>0</v>
      </c>
      <c r="AR52" s="8">
        <v>0</v>
      </c>
      <c r="AS52" s="8">
        <v>0</v>
      </c>
      <c r="AT52" s="8">
        <v>0</v>
      </c>
      <c r="AU52" s="8">
        <v>0</v>
      </c>
      <c r="AV52" s="8">
        <v>0</v>
      </c>
      <c r="AW52" s="8">
        <v>0</v>
      </c>
      <c r="AX52" s="8"/>
      <c r="AY52" s="8"/>
      <c r="AZ52">
        <v>1</v>
      </c>
      <c r="BA52" t="s">
        <v>304</v>
      </c>
      <c r="BB52" t="s">
        <v>552</v>
      </c>
      <c r="BC52" t="s">
        <v>553</v>
      </c>
    </row>
    <row r="53" spans="1:55">
      <c r="A53" s="6">
        <v>45737</v>
      </c>
      <c r="B53" s="7" t="s">
        <v>554</v>
      </c>
      <c r="C53" t="s">
        <v>387</v>
      </c>
      <c r="D53" t="s">
        <v>292</v>
      </c>
      <c r="E53" t="s">
        <v>292</v>
      </c>
      <c r="F53" t="s">
        <v>293</v>
      </c>
      <c r="G53" t="s">
        <v>294</v>
      </c>
      <c r="H53" s="8" t="s">
        <v>208</v>
      </c>
      <c r="I53" s="8" t="s">
        <v>208</v>
      </c>
      <c r="J53" s="8" t="s">
        <v>208</v>
      </c>
      <c r="K53" s="8" t="s">
        <v>208</v>
      </c>
      <c r="L53" s="8" t="s">
        <v>208</v>
      </c>
      <c r="M53" s="8" t="s">
        <v>208</v>
      </c>
      <c r="N53" s="8" t="s">
        <v>208</v>
      </c>
      <c r="O53" s="8" t="s">
        <v>208</v>
      </c>
      <c r="Q53" t="s">
        <v>555</v>
      </c>
      <c r="R53" t="s">
        <v>556</v>
      </c>
      <c r="S53" t="s">
        <v>556</v>
      </c>
      <c r="T53" t="s">
        <v>554</v>
      </c>
      <c r="U53" t="s">
        <v>557</v>
      </c>
      <c r="V53" t="s">
        <v>30</v>
      </c>
      <c r="W53" t="s">
        <v>298</v>
      </c>
      <c r="Y53" t="s">
        <v>299</v>
      </c>
      <c r="Z53" t="s">
        <v>299</v>
      </c>
      <c r="AA53" t="s">
        <v>300</v>
      </c>
      <c r="AB53" t="s">
        <v>465</v>
      </c>
      <c r="AC53" t="s">
        <v>465</v>
      </c>
      <c r="AD53" t="s">
        <v>216</v>
      </c>
      <c r="AE53" t="s">
        <v>300</v>
      </c>
      <c r="AG53" s="8" t="s">
        <v>218</v>
      </c>
      <c r="AH53" t="s">
        <v>302</v>
      </c>
      <c r="AI53" s="9" t="s">
        <v>218</v>
      </c>
      <c r="AJ53" s="9" t="s">
        <v>218</v>
      </c>
      <c r="AK53" t="s">
        <v>558</v>
      </c>
      <c r="AL53" s="9" t="s">
        <v>218</v>
      </c>
      <c r="AM53" s="8" t="s">
        <v>221</v>
      </c>
      <c r="AN53" s="8" t="s">
        <v>221</v>
      </c>
      <c r="AO53" s="8" t="s">
        <v>222</v>
      </c>
      <c r="AP53" s="8">
        <v>0</v>
      </c>
      <c r="AQ53" s="8">
        <v>0</v>
      </c>
      <c r="AR53" s="8">
        <v>0</v>
      </c>
      <c r="AS53" s="8">
        <v>0</v>
      </c>
      <c r="AT53" s="8">
        <v>0</v>
      </c>
      <c r="AU53" s="8">
        <v>0</v>
      </c>
      <c r="AV53" s="8">
        <v>0</v>
      </c>
      <c r="AW53" s="8">
        <v>0</v>
      </c>
      <c r="AX53" s="8"/>
      <c r="AY53" s="8"/>
      <c r="AZ53">
        <v>1</v>
      </c>
      <c r="BA53" t="s">
        <v>304</v>
      </c>
      <c r="BB53" t="s">
        <v>559</v>
      </c>
      <c r="BC53" t="s">
        <v>560</v>
      </c>
    </row>
    <row r="54" spans="1:55">
      <c r="A54" s="6">
        <v>45737</v>
      </c>
      <c r="B54" s="7" t="s">
        <v>561</v>
      </c>
      <c r="C54" t="s">
        <v>387</v>
      </c>
      <c r="D54" t="s">
        <v>292</v>
      </c>
      <c r="E54" t="s">
        <v>292</v>
      </c>
      <c r="F54" t="s">
        <v>293</v>
      </c>
      <c r="G54" t="s">
        <v>294</v>
      </c>
      <c r="H54" s="8" t="s">
        <v>208</v>
      </c>
      <c r="I54" s="8" t="s">
        <v>208</v>
      </c>
      <c r="J54" s="8" t="s">
        <v>208</v>
      </c>
      <c r="K54" s="8" t="s">
        <v>208</v>
      </c>
      <c r="L54" s="8" t="s">
        <v>208</v>
      </c>
      <c r="M54" s="8" t="s">
        <v>208</v>
      </c>
      <c r="N54" s="8" t="s">
        <v>208</v>
      </c>
      <c r="O54" s="8" t="s">
        <v>208</v>
      </c>
      <c r="Q54" t="s">
        <v>562</v>
      </c>
      <c r="R54" t="s">
        <v>563</v>
      </c>
      <c r="S54" t="s">
        <v>563</v>
      </c>
      <c r="T54" t="s">
        <v>561</v>
      </c>
      <c r="U54" t="s">
        <v>564</v>
      </c>
      <c r="V54" t="s">
        <v>30</v>
      </c>
      <c r="W54" t="s">
        <v>298</v>
      </c>
      <c r="Y54" t="s">
        <v>299</v>
      </c>
      <c r="Z54" t="s">
        <v>299</v>
      </c>
      <c r="AA54" t="s">
        <v>300</v>
      </c>
      <c r="AB54" t="s">
        <v>301</v>
      </c>
      <c r="AC54" t="s">
        <v>301</v>
      </c>
      <c r="AD54" t="s">
        <v>216</v>
      </c>
      <c r="AE54" t="s">
        <v>300</v>
      </c>
      <c r="AG54" s="8" t="s">
        <v>218</v>
      </c>
      <c r="AH54" t="s">
        <v>302</v>
      </c>
      <c r="AI54" s="9" t="s">
        <v>218</v>
      </c>
      <c r="AJ54" s="9" t="s">
        <v>218</v>
      </c>
      <c r="AK54" t="s">
        <v>565</v>
      </c>
      <c r="AL54" s="9" t="s">
        <v>218</v>
      </c>
      <c r="AM54" s="8" t="s">
        <v>221</v>
      </c>
      <c r="AN54" s="8" t="s">
        <v>221</v>
      </c>
      <c r="AO54" s="8" t="s">
        <v>222</v>
      </c>
      <c r="AP54" s="8">
        <v>0</v>
      </c>
      <c r="AQ54" s="8">
        <v>0</v>
      </c>
      <c r="AR54" s="8">
        <v>0</v>
      </c>
      <c r="AS54" s="8">
        <v>0</v>
      </c>
      <c r="AT54" s="8">
        <v>0</v>
      </c>
      <c r="AU54" s="8">
        <v>0</v>
      </c>
      <c r="AV54" s="8">
        <v>0</v>
      </c>
      <c r="AW54" s="8">
        <v>0</v>
      </c>
      <c r="AX54" s="8"/>
      <c r="AY54" s="8"/>
      <c r="AZ54">
        <v>1</v>
      </c>
      <c r="BA54" t="s">
        <v>304</v>
      </c>
      <c r="BB54" t="s">
        <v>566</v>
      </c>
      <c r="BC54" t="s">
        <v>567</v>
      </c>
    </row>
    <row r="55" spans="1:55">
      <c r="A55" s="6">
        <v>45737</v>
      </c>
      <c r="B55" s="7" t="s">
        <v>568</v>
      </c>
      <c r="C55" t="s">
        <v>387</v>
      </c>
      <c r="D55" t="s">
        <v>292</v>
      </c>
      <c r="E55" t="s">
        <v>292</v>
      </c>
      <c r="F55" t="s">
        <v>293</v>
      </c>
      <c r="G55" t="s">
        <v>294</v>
      </c>
      <c r="H55" s="8" t="s">
        <v>208</v>
      </c>
      <c r="I55" s="8" t="s">
        <v>208</v>
      </c>
      <c r="J55" s="8" t="s">
        <v>208</v>
      </c>
      <c r="K55" s="8" t="s">
        <v>208</v>
      </c>
      <c r="L55" s="8" t="s">
        <v>208</v>
      </c>
      <c r="M55" s="8" t="s">
        <v>208</v>
      </c>
      <c r="N55" s="8" t="s">
        <v>208</v>
      </c>
      <c r="O55" s="8" t="s">
        <v>208</v>
      </c>
      <c r="Q55" t="s">
        <v>569</v>
      </c>
      <c r="R55" t="s">
        <v>570</v>
      </c>
      <c r="S55" t="s">
        <v>570</v>
      </c>
      <c r="T55" t="s">
        <v>568</v>
      </c>
      <c r="U55" t="s">
        <v>571</v>
      </c>
      <c r="V55" t="s">
        <v>30</v>
      </c>
      <c r="W55" t="s">
        <v>298</v>
      </c>
      <c r="Y55" t="s">
        <v>299</v>
      </c>
      <c r="Z55" t="s">
        <v>299</v>
      </c>
      <c r="AA55" t="s">
        <v>300</v>
      </c>
      <c r="AB55" t="s">
        <v>301</v>
      </c>
      <c r="AC55" t="s">
        <v>301</v>
      </c>
      <c r="AD55" t="s">
        <v>216</v>
      </c>
      <c r="AE55" t="s">
        <v>300</v>
      </c>
      <c r="AG55" s="8" t="s">
        <v>218</v>
      </c>
      <c r="AH55" t="s">
        <v>302</v>
      </c>
      <c r="AI55" s="9" t="s">
        <v>218</v>
      </c>
      <c r="AJ55" s="9" t="s">
        <v>218</v>
      </c>
      <c r="AK55" t="s">
        <v>572</v>
      </c>
      <c r="AL55" s="9" t="s">
        <v>218</v>
      </c>
      <c r="AM55" s="8" t="s">
        <v>221</v>
      </c>
      <c r="AN55" s="8" t="s">
        <v>221</v>
      </c>
      <c r="AO55" s="8" t="s">
        <v>222</v>
      </c>
      <c r="AP55" s="8">
        <v>0</v>
      </c>
      <c r="AQ55" s="8">
        <v>0</v>
      </c>
      <c r="AR55" s="8">
        <v>0</v>
      </c>
      <c r="AS55" s="8">
        <v>0</v>
      </c>
      <c r="AT55" s="8">
        <v>0</v>
      </c>
      <c r="AU55" s="8">
        <v>0</v>
      </c>
      <c r="AV55" s="8">
        <v>0</v>
      </c>
      <c r="AW55" s="8">
        <v>0</v>
      </c>
      <c r="AX55" s="8"/>
      <c r="AY55" s="8"/>
      <c r="AZ55">
        <v>1</v>
      </c>
      <c r="BA55" t="s">
        <v>573</v>
      </c>
      <c r="BB55" t="s">
        <v>574</v>
      </c>
      <c r="BC55" t="s">
        <v>575</v>
      </c>
    </row>
    <row r="56" spans="1:55">
      <c r="A56" s="6">
        <v>45737</v>
      </c>
      <c r="B56" s="7" t="s">
        <v>576</v>
      </c>
      <c r="C56" t="s">
        <v>387</v>
      </c>
      <c r="D56" t="s">
        <v>292</v>
      </c>
      <c r="E56" t="s">
        <v>292</v>
      </c>
      <c r="F56" t="s">
        <v>293</v>
      </c>
      <c r="G56" t="s">
        <v>294</v>
      </c>
      <c r="H56" s="8" t="s">
        <v>208</v>
      </c>
      <c r="I56" s="8" t="s">
        <v>208</v>
      </c>
      <c r="J56" s="8" t="s">
        <v>208</v>
      </c>
      <c r="K56" s="8" t="s">
        <v>208</v>
      </c>
      <c r="L56" s="8" t="s">
        <v>208</v>
      </c>
      <c r="M56" s="8" t="s">
        <v>208</v>
      </c>
      <c r="N56" s="8" t="s">
        <v>208</v>
      </c>
      <c r="O56" s="8" t="s">
        <v>208</v>
      </c>
      <c r="Q56" t="s">
        <v>577</v>
      </c>
      <c r="R56" t="s">
        <v>578</v>
      </c>
      <c r="S56" t="s">
        <v>578</v>
      </c>
      <c r="T56" t="s">
        <v>576</v>
      </c>
      <c r="U56" t="s">
        <v>579</v>
      </c>
      <c r="V56" t="s">
        <v>30</v>
      </c>
      <c r="W56" t="s">
        <v>298</v>
      </c>
      <c r="Y56" t="s">
        <v>299</v>
      </c>
      <c r="Z56" t="s">
        <v>299</v>
      </c>
      <c r="AA56" t="s">
        <v>300</v>
      </c>
      <c r="AB56" t="s">
        <v>417</v>
      </c>
      <c r="AC56" t="s">
        <v>417</v>
      </c>
      <c r="AD56" t="s">
        <v>216</v>
      </c>
      <c r="AE56" t="s">
        <v>300</v>
      </c>
      <c r="AG56" s="8" t="s">
        <v>218</v>
      </c>
      <c r="AH56" t="s">
        <v>302</v>
      </c>
      <c r="AI56" s="9" t="s">
        <v>218</v>
      </c>
      <c r="AJ56" s="9" t="s">
        <v>218</v>
      </c>
      <c r="AK56" t="s">
        <v>580</v>
      </c>
      <c r="AL56" s="9" t="s">
        <v>218</v>
      </c>
      <c r="AM56" s="8" t="s">
        <v>221</v>
      </c>
      <c r="AN56" s="8" t="s">
        <v>221</v>
      </c>
      <c r="AO56" s="8" t="s">
        <v>222</v>
      </c>
      <c r="AP56" s="8">
        <v>0</v>
      </c>
      <c r="AQ56" s="8">
        <v>0</v>
      </c>
      <c r="AR56" s="8">
        <v>0</v>
      </c>
      <c r="AS56" s="8">
        <v>0</v>
      </c>
      <c r="AT56" s="8">
        <v>0</v>
      </c>
      <c r="AU56" s="8">
        <v>0</v>
      </c>
      <c r="AV56" s="8">
        <v>0</v>
      </c>
      <c r="AW56" s="8">
        <v>0</v>
      </c>
      <c r="AX56" s="8"/>
      <c r="AY56" s="8"/>
      <c r="AZ56">
        <v>2</v>
      </c>
      <c r="BA56" t="s">
        <v>581</v>
      </c>
      <c r="BB56" t="s">
        <v>582</v>
      </c>
      <c r="BC56" t="s">
        <v>583</v>
      </c>
    </row>
    <row r="57" spans="1:55">
      <c r="A57" s="6">
        <v>45737</v>
      </c>
      <c r="B57" s="7" t="s">
        <v>584</v>
      </c>
      <c r="C57" t="s">
        <v>387</v>
      </c>
      <c r="D57" t="s">
        <v>292</v>
      </c>
      <c r="E57" t="s">
        <v>292</v>
      </c>
      <c r="F57" t="s">
        <v>293</v>
      </c>
      <c r="G57" t="s">
        <v>294</v>
      </c>
      <c r="H57" s="8" t="s">
        <v>208</v>
      </c>
      <c r="I57" s="8" t="s">
        <v>208</v>
      </c>
      <c r="J57" s="8" t="s">
        <v>208</v>
      </c>
      <c r="K57" s="8" t="s">
        <v>208</v>
      </c>
      <c r="L57" s="8" t="s">
        <v>208</v>
      </c>
      <c r="M57" s="8" t="s">
        <v>208</v>
      </c>
      <c r="N57" s="8" t="s">
        <v>208</v>
      </c>
      <c r="O57" s="8" t="s">
        <v>208</v>
      </c>
      <c r="Q57" t="s">
        <v>585</v>
      </c>
      <c r="R57" t="s">
        <v>586</v>
      </c>
      <c r="S57" t="s">
        <v>586</v>
      </c>
      <c r="T57" t="s">
        <v>584</v>
      </c>
      <c r="U57" t="s">
        <v>587</v>
      </c>
      <c r="V57" t="s">
        <v>30</v>
      </c>
      <c r="W57" t="s">
        <v>298</v>
      </c>
      <c r="Y57" t="s">
        <v>299</v>
      </c>
      <c r="Z57" t="s">
        <v>299</v>
      </c>
      <c r="AA57" t="s">
        <v>300</v>
      </c>
      <c r="AB57" t="s">
        <v>465</v>
      </c>
      <c r="AC57" t="s">
        <v>465</v>
      </c>
      <c r="AD57" t="s">
        <v>216</v>
      </c>
      <c r="AE57" t="s">
        <v>300</v>
      </c>
      <c r="AG57" s="8" t="s">
        <v>218</v>
      </c>
      <c r="AH57" t="s">
        <v>302</v>
      </c>
      <c r="AI57" s="9" t="s">
        <v>218</v>
      </c>
      <c r="AJ57" s="9" t="s">
        <v>218</v>
      </c>
      <c r="AK57" t="s">
        <v>588</v>
      </c>
      <c r="AL57" s="9" t="s">
        <v>218</v>
      </c>
      <c r="AM57" s="8" t="s">
        <v>221</v>
      </c>
      <c r="AN57" s="8" t="s">
        <v>221</v>
      </c>
      <c r="AO57" s="8" t="s">
        <v>222</v>
      </c>
      <c r="AP57" s="8">
        <v>0</v>
      </c>
      <c r="AQ57" s="8">
        <v>0</v>
      </c>
      <c r="AR57" s="8">
        <v>0</v>
      </c>
      <c r="AS57" s="8">
        <v>0</v>
      </c>
      <c r="AT57" s="8">
        <v>0</v>
      </c>
      <c r="AU57" s="8">
        <v>0</v>
      </c>
      <c r="AV57" s="8">
        <v>0</v>
      </c>
      <c r="AW57" s="8">
        <v>0</v>
      </c>
      <c r="AX57" s="8"/>
      <c r="AY57" s="8"/>
      <c r="AZ57">
        <v>2</v>
      </c>
      <c r="BA57" t="s">
        <v>589</v>
      </c>
      <c r="BB57" t="s">
        <v>590</v>
      </c>
      <c r="BC57" t="s">
        <v>591</v>
      </c>
    </row>
    <row r="58" spans="1:55">
      <c r="A58" s="6">
        <v>45737</v>
      </c>
      <c r="B58" s="7" t="s">
        <v>592</v>
      </c>
      <c r="C58" t="s">
        <v>387</v>
      </c>
      <c r="D58" t="s">
        <v>292</v>
      </c>
      <c r="E58" t="s">
        <v>292</v>
      </c>
      <c r="F58" t="s">
        <v>293</v>
      </c>
      <c r="G58" t="s">
        <v>294</v>
      </c>
      <c r="H58" s="8" t="s">
        <v>208</v>
      </c>
      <c r="I58" s="8" t="s">
        <v>208</v>
      </c>
      <c r="J58" s="8" t="s">
        <v>208</v>
      </c>
      <c r="K58" s="8" t="s">
        <v>208</v>
      </c>
      <c r="L58" s="8" t="s">
        <v>208</v>
      </c>
      <c r="M58" s="8" t="s">
        <v>208</v>
      </c>
      <c r="N58" s="8" t="s">
        <v>208</v>
      </c>
      <c r="O58" s="8" t="s">
        <v>208</v>
      </c>
      <c r="Q58" t="s">
        <v>593</v>
      </c>
      <c r="R58" t="s">
        <v>594</v>
      </c>
      <c r="S58" t="s">
        <v>594</v>
      </c>
      <c r="T58" t="s">
        <v>592</v>
      </c>
      <c r="U58" t="s">
        <v>595</v>
      </c>
      <c r="V58" t="s">
        <v>30</v>
      </c>
      <c r="W58" t="s">
        <v>298</v>
      </c>
      <c r="Y58" t="s">
        <v>299</v>
      </c>
      <c r="Z58" t="s">
        <v>299</v>
      </c>
      <c r="AA58" t="s">
        <v>300</v>
      </c>
      <c r="AB58" t="s">
        <v>301</v>
      </c>
      <c r="AC58" t="s">
        <v>301</v>
      </c>
      <c r="AD58" t="s">
        <v>216</v>
      </c>
      <c r="AE58" t="s">
        <v>300</v>
      </c>
      <c r="AG58" s="8" t="s">
        <v>218</v>
      </c>
      <c r="AH58" t="s">
        <v>302</v>
      </c>
      <c r="AI58" s="9" t="s">
        <v>218</v>
      </c>
      <c r="AJ58" s="9" t="s">
        <v>218</v>
      </c>
      <c r="AK58" t="s">
        <v>596</v>
      </c>
      <c r="AL58" s="9" t="s">
        <v>218</v>
      </c>
      <c r="AM58" s="8" t="s">
        <v>221</v>
      </c>
      <c r="AN58" s="8" t="s">
        <v>221</v>
      </c>
      <c r="AO58" s="8" t="s">
        <v>222</v>
      </c>
      <c r="AP58" s="8">
        <v>0</v>
      </c>
      <c r="AQ58" s="8">
        <v>0</v>
      </c>
      <c r="AR58" s="8">
        <v>0</v>
      </c>
      <c r="AS58" s="8">
        <v>0</v>
      </c>
      <c r="AT58" s="8">
        <v>0</v>
      </c>
      <c r="AU58" s="8">
        <v>0</v>
      </c>
      <c r="AV58" s="8">
        <v>0</v>
      </c>
      <c r="AW58" s="8">
        <v>0</v>
      </c>
      <c r="AX58" s="8"/>
      <c r="AY58" s="8"/>
      <c r="AZ58">
        <v>1</v>
      </c>
      <c r="BA58" t="s">
        <v>304</v>
      </c>
      <c r="BB58" t="s">
        <v>597</v>
      </c>
      <c r="BC58" t="s">
        <v>598</v>
      </c>
    </row>
    <row r="59" spans="1:55">
      <c r="A59" s="6">
        <v>45737</v>
      </c>
      <c r="B59" s="7" t="s">
        <v>599</v>
      </c>
      <c r="C59" t="s">
        <v>387</v>
      </c>
      <c r="D59" t="s">
        <v>292</v>
      </c>
      <c r="E59" t="s">
        <v>292</v>
      </c>
      <c r="F59" t="s">
        <v>293</v>
      </c>
      <c r="G59" t="s">
        <v>294</v>
      </c>
      <c r="H59" s="8" t="s">
        <v>208</v>
      </c>
      <c r="I59" s="8" t="s">
        <v>208</v>
      </c>
      <c r="J59" s="8" t="s">
        <v>208</v>
      </c>
      <c r="K59" s="8" t="s">
        <v>208</v>
      </c>
      <c r="L59" s="8" t="s">
        <v>208</v>
      </c>
      <c r="M59" s="8" t="s">
        <v>208</v>
      </c>
      <c r="N59" s="8" t="s">
        <v>208</v>
      </c>
      <c r="O59" s="8" t="s">
        <v>208</v>
      </c>
      <c r="Q59" t="s">
        <v>600</v>
      </c>
      <c r="R59" t="s">
        <v>601</v>
      </c>
      <c r="S59" t="s">
        <v>601</v>
      </c>
      <c r="T59" t="s">
        <v>599</v>
      </c>
      <c r="U59" t="s">
        <v>602</v>
      </c>
      <c r="V59" t="s">
        <v>30</v>
      </c>
      <c r="W59" t="s">
        <v>298</v>
      </c>
      <c r="Y59" t="s">
        <v>299</v>
      </c>
      <c r="Z59" t="s">
        <v>299</v>
      </c>
      <c r="AA59" t="s">
        <v>300</v>
      </c>
      <c r="AB59" t="s">
        <v>603</v>
      </c>
      <c r="AC59" t="s">
        <v>603</v>
      </c>
      <c r="AD59" t="s">
        <v>216</v>
      </c>
      <c r="AE59" t="s">
        <v>300</v>
      </c>
      <c r="AG59" s="8" t="s">
        <v>218</v>
      </c>
      <c r="AH59" t="s">
        <v>302</v>
      </c>
      <c r="AI59" s="9" t="s">
        <v>218</v>
      </c>
      <c r="AJ59" s="9" t="s">
        <v>218</v>
      </c>
      <c r="AK59" t="s">
        <v>400</v>
      </c>
      <c r="AL59" s="9" t="s">
        <v>218</v>
      </c>
      <c r="AM59" s="8" t="s">
        <v>221</v>
      </c>
      <c r="AN59" s="8" t="s">
        <v>221</v>
      </c>
      <c r="AO59" s="8" t="s">
        <v>222</v>
      </c>
      <c r="AP59" s="8">
        <v>0</v>
      </c>
      <c r="AQ59" s="8">
        <v>0</v>
      </c>
      <c r="AR59" s="8">
        <v>0</v>
      </c>
      <c r="AS59" s="8">
        <v>0</v>
      </c>
      <c r="AT59" s="8">
        <v>0</v>
      </c>
      <c r="AU59" s="8">
        <v>0</v>
      </c>
      <c r="AV59" s="8">
        <v>0</v>
      </c>
      <c r="AW59" s="8">
        <v>0</v>
      </c>
      <c r="AX59" s="8"/>
      <c r="AY59" s="8"/>
      <c r="AZ59">
        <v>1</v>
      </c>
      <c r="BA59" t="s">
        <v>304</v>
      </c>
      <c r="BB59" t="s">
        <v>604</v>
      </c>
      <c r="BC59" t="s">
        <v>605</v>
      </c>
    </row>
    <row r="60" spans="1:55">
      <c r="A60" s="6">
        <v>45737</v>
      </c>
      <c r="B60" s="7" t="s">
        <v>606</v>
      </c>
      <c r="C60" t="s">
        <v>387</v>
      </c>
      <c r="D60" t="s">
        <v>292</v>
      </c>
      <c r="E60" t="s">
        <v>292</v>
      </c>
      <c r="F60" t="s">
        <v>293</v>
      </c>
      <c r="G60" t="s">
        <v>294</v>
      </c>
      <c r="H60" s="8" t="s">
        <v>208</v>
      </c>
      <c r="I60" s="8" t="s">
        <v>208</v>
      </c>
      <c r="J60" s="8" t="s">
        <v>208</v>
      </c>
      <c r="K60" s="8" t="s">
        <v>208</v>
      </c>
      <c r="L60" s="8" t="s">
        <v>208</v>
      </c>
      <c r="M60" s="8" t="s">
        <v>208</v>
      </c>
      <c r="N60" s="8" t="s">
        <v>208</v>
      </c>
      <c r="O60" s="8" t="s">
        <v>208</v>
      </c>
      <c r="Q60" t="s">
        <v>607</v>
      </c>
      <c r="R60" t="s">
        <v>608</v>
      </c>
      <c r="S60" t="s">
        <v>608</v>
      </c>
      <c r="T60" t="s">
        <v>606</v>
      </c>
      <c r="U60" t="s">
        <v>609</v>
      </c>
      <c r="V60" t="s">
        <v>30</v>
      </c>
      <c r="W60" t="s">
        <v>298</v>
      </c>
      <c r="Y60" t="s">
        <v>299</v>
      </c>
      <c r="Z60" t="s">
        <v>299</v>
      </c>
      <c r="AA60" t="s">
        <v>300</v>
      </c>
      <c r="AB60" t="s">
        <v>408</v>
      </c>
      <c r="AC60" t="s">
        <v>408</v>
      </c>
      <c r="AD60" t="s">
        <v>216</v>
      </c>
      <c r="AE60" t="s">
        <v>300</v>
      </c>
      <c r="AG60" s="8" t="s">
        <v>218</v>
      </c>
      <c r="AH60" t="s">
        <v>302</v>
      </c>
      <c r="AI60" s="9" t="s">
        <v>218</v>
      </c>
      <c r="AJ60" s="9" t="s">
        <v>218</v>
      </c>
      <c r="AK60" t="s">
        <v>400</v>
      </c>
      <c r="AL60" s="9" t="s">
        <v>218</v>
      </c>
      <c r="AM60" s="8" t="s">
        <v>221</v>
      </c>
      <c r="AN60" s="8" t="s">
        <v>221</v>
      </c>
      <c r="AO60" s="8" t="s">
        <v>222</v>
      </c>
      <c r="AP60" s="8">
        <v>0</v>
      </c>
      <c r="AQ60" s="8">
        <v>0</v>
      </c>
      <c r="AR60" s="8">
        <v>0</v>
      </c>
      <c r="AS60" s="8">
        <v>0</v>
      </c>
      <c r="AT60" s="8">
        <v>0</v>
      </c>
      <c r="AU60" s="8">
        <v>0</v>
      </c>
      <c r="AV60" s="8">
        <v>0</v>
      </c>
      <c r="AW60" s="8">
        <v>0</v>
      </c>
      <c r="AX60" s="8"/>
      <c r="AY60" s="8"/>
      <c r="AZ60">
        <v>1</v>
      </c>
      <c r="BA60" t="s">
        <v>304</v>
      </c>
      <c r="BB60" t="s">
        <v>610</v>
      </c>
      <c r="BC60" t="s">
        <v>611</v>
      </c>
    </row>
    <row r="61" spans="1:55">
      <c r="A61" s="6">
        <v>45737</v>
      </c>
      <c r="B61" s="7" t="s">
        <v>612</v>
      </c>
      <c r="C61" t="s">
        <v>387</v>
      </c>
      <c r="D61" t="s">
        <v>292</v>
      </c>
      <c r="E61" t="s">
        <v>292</v>
      </c>
      <c r="F61" t="s">
        <v>293</v>
      </c>
      <c r="G61" t="s">
        <v>294</v>
      </c>
      <c r="H61" s="8" t="s">
        <v>208</v>
      </c>
      <c r="I61" s="8" t="s">
        <v>208</v>
      </c>
      <c r="J61" s="8" t="s">
        <v>208</v>
      </c>
      <c r="K61" s="8" t="s">
        <v>208</v>
      </c>
      <c r="L61" s="8" t="s">
        <v>208</v>
      </c>
      <c r="M61" s="8" t="s">
        <v>208</v>
      </c>
      <c r="N61" s="8" t="s">
        <v>208</v>
      </c>
      <c r="O61" s="8" t="s">
        <v>208</v>
      </c>
      <c r="Q61" t="s">
        <v>613</v>
      </c>
      <c r="R61" t="s">
        <v>614</v>
      </c>
      <c r="S61" t="s">
        <v>614</v>
      </c>
      <c r="T61" t="s">
        <v>612</v>
      </c>
      <c r="U61" t="s">
        <v>615</v>
      </c>
      <c r="V61" t="s">
        <v>30</v>
      </c>
      <c r="W61" t="s">
        <v>298</v>
      </c>
      <c r="Y61" t="s">
        <v>299</v>
      </c>
      <c r="Z61" t="s">
        <v>299</v>
      </c>
      <c r="AA61" t="s">
        <v>300</v>
      </c>
      <c r="AB61" t="s">
        <v>603</v>
      </c>
      <c r="AC61" t="s">
        <v>603</v>
      </c>
      <c r="AD61" t="s">
        <v>216</v>
      </c>
      <c r="AE61" t="s">
        <v>300</v>
      </c>
      <c r="AG61" s="8" t="s">
        <v>218</v>
      </c>
      <c r="AH61" t="s">
        <v>302</v>
      </c>
      <c r="AI61" s="9" t="s">
        <v>218</v>
      </c>
      <c r="AJ61" s="9" t="s">
        <v>218</v>
      </c>
      <c r="AK61" t="s">
        <v>400</v>
      </c>
      <c r="AL61" s="9" t="s">
        <v>218</v>
      </c>
      <c r="AM61" s="8" t="s">
        <v>221</v>
      </c>
      <c r="AN61" s="8" t="s">
        <v>221</v>
      </c>
      <c r="AO61" s="8" t="s">
        <v>222</v>
      </c>
      <c r="AP61" s="8">
        <v>0</v>
      </c>
      <c r="AQ61" s="8">
        <v>0</v>
      </c>
      <c r="AR61" s="8">
        <v>0</v>
      </c>
      <c r="AS61" s="8">
        <v>0</v>
      </c>
      <c r="AT61" s="8">
        <v>0</v>
      </c>
      <c r="AU61" s="8">
        <v>0</v>
      </c>
      <c r="AV61" s="8">
        <v>0</v>
      </c>
      <c r="AW61" s="8">
        <v>0</v>
      </c>
      <c r="AX61" s="8"/>
      <c r="AY61" s="8"/>
      <c r="AZ61">
        <v>1</v>
      </c>
      <c r="BA61" t="s">
        <v>304</v>
      </c>
      <c r="BB61" t="s">
        <v>616</v>
      </c>
      <c r="BC61" t="s">
        <v>617</v>
      </c>
    </row>
    <row r="62" spans="1:55">
      <c r="A62" s="6">
        <v>45737</v>
      </c>
      <c r="B62" s="7" t="s">
        <v>618</v>
      </c>
      <c r="C62" t="s">
        <v>387</v>
      </c>
      <c r="D62" t="s">
        <v>292</v>
      </c>
      <c r="E62" t="s">
        <v>292</v>
      </c>
      <c r="F62" t="s">
        <v>293</v>
      </c>
      <c r="G62" t="s">
        <v>294</v>
      </c>
      <c r="H62" s="8" t="s">
        <v>208</v>
      </c>
      <c r="I62" s="8" t="s">
        <v>208</v>
      </c>
      <c r="J62" s="8" t="s">
        <v>208</v>
      </c>
      <c r="K62" s="8" t="s">
        <v>208</v>
      </c>
      <c r="L62" s="8" t="s">
        <v>208</v>
      </c>
      <c r="M62" s="8" t="s">
        <v>208</v>
      </c>
      <c r="N62" s="8" t="s">
        <v>208</v>
      </c>
      <c r="O62" s="8" t="s">
        <v>208</v>
      </c>
      <c r="Q62" t="s">
        <v>619</v>
      </c>
      <c r="R62" t="s">
        <v>620</v>
      </c>
      <c r="S62" t="s">
        <v>620</v>
      </c>
      <c r="T62" t="s">
        <v>618</v>
      </c>
      <c r="U62" t="s">
        <v>621</v>
      </c>
      <c r="V62" t="s">
        <v>30</v>
      </c>
      <c r="W62" t="s">
        <v>298</v>
      </c>
      <c r="Y62" t="s">
        <v>299</v>
      </c>
      <c r="Z62" t="s">
        <v>299</v>
      </c>
      <c r="AA62" t="s">
        <v>300</v>
      </c>
      <c r="AB62" t="s">
        <v>417</v>
      </c>
      <c r="AC62" t="s">
        <v>417</v>
      </c>
      <c r="AD62" t="s">
        <v>216</v>
      </c>
      <c r="AE62" t="s">
        <v>300</v>
      </c>
      <c r="AG62" s="8" t="s">
        <v>218</v>
      </c>
      <c r="AH62" t="s">
        <v>302</v>
      </c>
      <c r="AI62" s="9" t="s">
        <v>218</v>
      </c>
      <c r="AJ62" s="9" t="s">
        <v>218</v>
      </c>
      <c r="AK62" t="s">
        <v>400</v>
      </c>
      <c r="AL62" s="9" t="s">
        <v>218</v>
      </c>
      <c r="AM62" s="8" t="s">
        <v>221</v>
      </c>
      <c r="AN62" s="8" t="s">
        <v>221</v>
      </c>
      <c r="AO62" s="8" t="s">
        <v>222</v>
      </c>
      <c r="AP62" s="8">
        <v>0</v>
      </c>
      <c r="AQ62" s="8">
        <v>0</v>
      </c>
      <c r="AR62" s="8">
        <v>0</v>
      </c>
      <c r="AS62" s="8">
        <v>0</v>
      </c>
      <c r="AT62" s="8">
        <v>0</v>
      </c>
      <c r="AU62" s="8">
        <v>0</v>
      </c>
      <c r="AV62" s="8">
        <v>0</v>
      </c>
      <c r="AW62" s="8">
        <v>0</v>
      </c>
      <c r="AX62" s="8"/>
      <c r="AY62" s="8"/>
      <c r="AZ62">
        <v>1</v>
      </c>
      <c r="BA62" t="s">
        <v>304</v>
      </c>
      <c r="BB62" t="s">
        <v>622</v>
      </c>
      <c r="BC62" t="s">
        <v>623</v>
      </c>
    </row>
    <row r="63" spans="1:55">
      <c r="A63" s="6">
        <v>45737</v>
      </c>
      <c r="B63" s="7" t="s">
        <v>624</v>
      </c>
      <c r="C63" t="s">
        <v>387</v>
      </c>
      <c r="D63" t="s">
        <v>292</v>
      </c>
      <c r="E63" t="s">
        <v>292</v>
      </c>
      <c r="F63" t="s">
        <v>293</v>
      </c>
      <c r="G63" t="s">
        <v>294</v>
      </c>
      <c r="H63" s="8" t="s">
        <v>208</v>
      </c>
      <c r="I63" s="8" t="s">
        <v>208</v>
      </c>
      <c r="J63" s="8" t="s">
        <v>208</v>
      </c>
      <c r="K63" s="8" t="s">
        <v>208</v>
      </c>
      <c r="L63" s="8" t="s">
        <v>208</v>
      </c>
      <c r="M63" s="8" t="s">
        <v>208</v>
      </c>
      <c r="N63" s="8" t="s">
        <v>208</v>
      </c>
      <c r="O63" s="8" t="s">
        <v>208</v>
      </c>
      <c r="Q63" t="s">
        <v>625</v>
      </c>
      <c r="R63" t="s">
        <v>626</v>
      </c>
      <c r="S63" t="s">
        <v>626</v>
      </c>
      <c r="T63" t="s">
        <v>624</v>
      </c>
      <c r="U63" t="s">
        <v>627</v>
      </c>
      <c r="V63" t="s">
        <v>30</v>
      </c>
      <c r="W63" t="s">
        <v>298</v>
      </c>
      <c r="Y63" t="s">
        <v>299</v>
      </c>
      <c r="Z63" t="s">
        <v>299</v>
      </c>
      <c r="AA63" t="s">
        <v>300</v>
      </c>
      <c r="AB63" t="s">
        <v>301</v>
      </c>
      <c r="AC63" t="s">
        <v>301</v>
      </c>
      <c r="AD63" t="s">
        <v>216</v>
      </c>
      <c r="AE63" t="s">
        <v>300</v>
      </c>
      <c r="AG63" s="8" t="s">
        <v>218</v>
      </c>
      <c r="AH63" t="s">
        <v>302</v>
      </c>
      <c r="AI63" s="9" t="s">
        <v>218</v>
      </c>
      <c r="AJ63" s="9" t="s">
        <v>218</v>
      </c>
      <c r="AK63" t="s">
        <v>628</v>
      </c>
      <c r="AL63" s="9" t="s">
        <v>218</v>
      </c>
      <c r="AM63" s="8" t="s">
        <v>221</v>
      </c>
      <c r="AN63" s="8" t="s">
        <v>221</v>
      </c>
      <c r="AO63" s="8" t="s">
        <v>222</v>
      </c>
      <c r="AP63" s="8">
        <v>0</v>
      </c>
      <c r="AQ63" s="8">
        <v>0</v>
      </c>
      <c r="AR63" s="8">
        <v>0</v>
      </c>
      <c r="AS63" s="8">
        <v>0</v>
      </c>
      <c r="AT63" s="8">
        <v>0</v>
      </c>
      <c r="AU63" s="8">
        <v>0</v>
      </c>
      <c r="AV63" s="8">
        <v>0</v>
      </c>
      <c r="AW63" s="8">
        <v>0</v>
      </c>
      <c r="AX63" s="8"/>
      <c r="AY63" s="8"/>
      <c r="AZ63">
        <v>0</v>
      </c>
      <c r="BB63" t="s">
        <v>629</v>
      </c>
      <c r="BC63" t="s">
        <v>630</v>
      </c>
    </row>
    <row r="64" spans="1:55">
      <c r="A64" s="6">
        <v>45737</v>
      </c>
      <c r="B64" s="7" t="s">
        <v>631</v>
      </c>
      <c r="C64" t="s">
        <v>387</v>
      </c>
      <c r="D64" t="s">
        <v>292</v>
      </c>
      <c r="E64" t="s">
        <v>292</v>
      </c>
      <c r="F64" t="s">
        <v>293</v>
      </c>
      <c r="G64" t="s">
        <v>294</v>
      </c>
      <c r="H64" s="8" t="s">
        <v>208</v>
      </c>
      <c r="I64" s="8" t="s">
        <v>208</v>
      </c>
      <c r="J64" s="8" t="s">
        <v>208</v>
      </c>
      <c r="K64" s="8" t="s">
        <v>208</v>
      </c>
      <c r="L64" s="8" t="s">
        <v>208</v>
      </c>
      <c r="M64" s="8" t="s">
        <v>208</v>
      </c>
      <c r="N64" s="8" t="s">
        <v>208</v>
      </c>
      <c r="O64" s="8" t="s">
        <v>208</v>
      </c>
      <c r="Q64" t="s">
        <v>632</v>
      </c>
      <c r="R64" t="s">
        <v>633</v>
      </c>
      <c r="S64" t="s">
        <v>633</v>
      </c>
      <c r="T64" t="s">
        <v>631</v>
      </c>
      <c r="U64" t="s">
        <v>634</v>
      </c>
      <c r="V64" t="s">
        <v>635</v>
      </c>
      <c r="W64" t="s">
        <v>298</v>
      </c>
      <c r="Y64" t="s">
        <v>299</v>
      </c>
      <c r="Z64" t="s">
        <v>299</v>
      </c>
      <c r="AA64" t="s">
        <v>636</v>
      </c>
      <c r="AB64" t="s">
        <v>425</v>
      </c>
      <c r="AC64" t="s">
        <v>425</v>
      </c>
      <c r="AD64" t="s">
        <v>216</v>
      </c>
      <c r="AE64" t="s">
        <v>636</v>
      </c>
      <c r="AG64" s="8" t="s">
        <v>218</v>
      </c>
      <c r="AH64" t="s">
        <v>302</v>
      </c>
      <c r="AI64" s="9" t="s">
        <v>218</v>
      </c>
      <c r="AJ64" s="9" t="s">
        <v>218</v>
      </c>
      <c r="AK64" t="s">
        <v>637</v>
      </c>
      <c r="AL64" s="9" t="s">
        <v>218</v>
      </c>
      <c r="AM64" s="8" t="s">
        <v>221</v>
      </c>
      <c r="AN64" s="8" t="s">
        <v>221</v>
      </c>
      <c r="AO64" s="8" t="s">
        <v>222</v>
      </c>
      <c r="AP64" s="8">
        <v>0</v>
      </c>
      <c r="AQ64" s="8">
        <v>0</v>
      </c>
      <c r="AR64" s="8">
        <v>0</v>
      </c>
      <c r="AS64" s="8">
        <v>0</v>
      </c>
      <c r="AT64" s="8">
        <v>0</v>
      </c>
      <c r="AU64" s="8">
        <v>0</v>
      </c>
      <c r="AV64" s="8">
        <v>0</v>
      </c>
      <c r="AW64" s="8">
        <v>0</v>
      </c>
      <c r="AX64" s="8"/>
      <c r="AY64" s="8"/>
      <c r="AZ64">
        <v>1</v>
      </c>
      <c r="BA64" t="s">
        <v>304</v>
      </c>
      <c r="BB64" t="s">
        <v>638</v>
      </c>
      <c r="BC64" t="s">
        <v>639</v>
      </c>
    </row>
    <row r="65" spans="1:55">
      <c r="A65" s="6">
        <v>45737</v>
      </c>
      <c r="B65" s="7" t="s">
        <v>640</v>
      </c>
      <c r="C65" t="s">
        <v>387</v>
      </c>
      <c r="D65" t="s">
        <v>292</v>
      </c>
      <c r="E65" t="s">
        <v>292</v>
      </c>
      <c r="F65" t="s">
        <v>293</v>
      </c>
      <c r="G65" t="s">
        <v>294</v>
      </c>
      <c r="H65" s="8" t="s">
        <v>208</v>
      </c>
      <c r="I65" s="8" t="s">
        <v>208</v>
      </c>
      <c r="J65" s="8" t="s">
        <v>208</v>
      </c>
      <c r="K65" s="8" t="s">
        <v>208</v>
      </c>
      <c r="L65" s="8" t="s">
        <v>208</v>
      </c>
      <c r="M65" s="8" t="s">
        <v>208</v>
      </c>
      <c r="N65" s="8" t="s">
        <v>208</v>
      </c>
      <c r="O65" s="8" t="s">
        <v>208</v>
      </c>
      <c r="Q65" t="s">
        <v>641</v>
      </c>
      <c r="R65" t="s">
        <v>642</v>
      </c>
      <c r="S65" t="s">
        <v>642</v>
      </c>
      <c r="T65" t="s">
        <v>640</v>
      </c>
      <c r="U65" t="s">
        <v>643</v>
      </c>
      <c r="V65" t="s">
        <v>644</v>
      </c>
      <c r="W65" t="s">
        <v>298</v>
      </c>
      <c r="Y65" t="s">
        <v>299</v>
      </c>
      <c r="Z65" t="s">
        <v>299</v>
      </c>
      <c r="AA65" t="s">
        <v>645</v>
      </c>
      <c r="AB65" t="s">
        <v>646</v>
      </c>
      <c r="AC65" t="s">
        <v>646</v>
      </c>
      <c r="AD65" t="s">
        <v>216</v>
      </c>
      <c r="AE65" t="s">
        <v>645</v>
      </c>
      <c r="AG65" s="9" t="s">
        <v>221</v>
      </c>
      <c r="AH65" t="s">
        <v>302</v>
      </c>
      <c r="AI65" s="9" t="s">
        <v>218</v>
      </c>
      <c r="AJ65" s="9" t="s">
        <v>218</v>
      </c>
      <c r="AK65" t="s">
        <v>234</v>
      </c>
      <c r="AL65" s="9" t="s">
        <v>218</v>
      </c>
      <c r="AM65" s="8" t="s">
        <v>221</v>
      </c>
      <c r="AN65" s="8" t="s">
        <v>221</v>
      </c>
      <c r="AO65" s="8" t="s">
        <v>222</v>
      </c>
      <c r="AP65" s="8">
        <v>0</v>
      </c>
      <c r="AQ65" s="8">
        <v>0</v>
      </c>
      <c r="AR65" s="9">
        <v>48</v>
      </c>
      <c r="AS65" s="8">
        <v>0</v>
      </c>
      <c r="AT65" s="8">
        <v>0</v>
      </c>
      <c r="AU65" s="8">
        <v>0</v>
      </c>
      <c r="AV65" s="8">
        <v>0</v>
      </c>
      <c r="AW65" s="9">
        <v>48</v>
      </c>
      <c r="AX65" s="8"/>
      <c r="AY65" s="8"/>
      <c r="AZ65">
        <v>3</v>
      </c>
      <c r="BA65" t="s">
        <v>410</v>
      </c>
      <c r="BB65" t="s">
        <v>647</v>
      </c>
      <c r="BC65" t="s">
        <v>648</v>
      </c>
    </row>
    <row r="66" spans="1:55">
      <c r="A66" s="6">
        <v>45737</v>
      </c>
      <c r="B66" s="7" t="s">
        <v>649</v>
      </c>
      <c r="C66" t="s">
        <v>387</v>
      </c>
      <c r="D66" t="s">
        <v>292</v>
      </c>
      <c r="E66" t="s">
        <v>292</v>
      </c>
      <c r="F66" t="s">
        <v>293</v>
      </c>
      <c r="G66" t="s">
        <v>294</v>
      </c>
      <c r="H66" s="8" t="s">
        <v>208</v>
      </c>
      <c r="I66" s="8" t="s">
        <v>208</v>
      </c>
      <c r="J66" s="8" t="s">
        <v>208</v>
      </c>
      <c r="K66" s="8" t="s">
        <v>208</v>
      </c>
      <c r="L66" s="8" t="s">
        <v>208</v>
      </c>
      <c r="M66" s="8" t="s">
        <v>208</v>
      </c>
      <c r="N66" s="8" t="s">
        <v>208</v>
      </c>
      <c r="O66" s="8" t="s">
        <v>208</v>
      </c>
      <c r="Q66" t="s">
        <v>650</v>
      </c>
      <c r="R66" t="s">
        <v>651</v>
      </c>
      <c r="S66" t="s">
        <v>651</v>
      </c>
      <c r="T66" t="s">
        <v>649</v>
      </c>
      <c r="U66" t="s">
        <v>652</v>
      </c>
      <c r="V66" t="s">
        <v>38</v>
      </c>
      <c r="W66" t="s">
        <v>298</v>
      </c>
      <c r="Y66" t="s">
        <v>299</v>
      </c>
      <c r="Z66" t="s">
        <v>299</v>
      </c>
      <c r="AA66" t="s">
        <v>653</v>
      </c>
      <c r="AB66" t="s">
        <v>301</v>
      </c>
      <c r="AC66" t="s">
        <v>301</v>
      </c>
      <c r="AD66" t="s">
        <v>216</v>
      </c>
      <c r="AE66" t="s">
        <v>654</v>
      </c>
      <c r="AG66" s="8" t="s">
        <v>218</v>
      </c>
      <c r="AH66" t="s">
        <v>302</v>
      </c>
      <c r="AI66" s="9" t="s">
        <v>218</v>
      </c>
      <c r="AJ66" s="9" t="s">
        <v>218</v>
      </c>
      <c r="AK66" t="s">
        <v>655</v>
      </c>
      <c r="AL66" s="9" t="s">
        <v>218</v>
      </c>
      <c r="AM66" s="8" t="s">
        <v>221</v>
      </c>
      <c r="AN66" s="8" t="s">
        <v>221</v>
      </c>
      <c r="AO66" s="8" t="s">
        <v>222</v>
      </c>
      <c r="AP66" s="8">
        <v>0</v>
      </c>
      <c r="AQ66" s="8">
        <v>0</v>
      </c>
      <c r="AR66" s="8">
        <v>0</v>
      </c>
      <c r="AS66" s="8">
        <v>0</v>
      </c>
      <c r="AT66" s="8">
        <v>0</v>
      </c>
      <c r="AU66" s="8">
        <v>0</v>
      </c>
      <c r="AV66" s="8">
        <v>0</v>
      </c>
      <c r="AW66" s="8">
        <v>0</v>
      </c>
      <c r="AX66" s="8"/>
      <c r="AY66" s="8"/>
      <c r="AZ66">
        <v>0</v>
      </c>
      <c r="BB66" t="s">
        <v>656</v>
      </c>
      <c r="BC66" t="s">
        <v>657</v>
      </c>
    </row>
    <row r="67" spans="1:55">
      <c r="A67" s="6">
        <v>45737</v>
      </c>
      <c r="B67" s="7" t="s">
        <v>658</v>
      </c>
      <c r="C67" t="s">
        <v>387</v>
      </c>
      <c r="D67" t="s">
        <v>292</v>
      </c>
      <c r="E67" t="s">
        <v>292</v>
      </c>
      <c r="F67" t="s">
        <v>293</v>
      </c>
      <c r="G67" t="s">
        <v>294</v>
      </c>
      <c r="H67" s="8" t="s">
        <v>208</v>
      </c>
      <c r="I67" s="8" t="s">
        <v>208</v>
      </c>
      <c r="J67" s="8" t="s">
        <v>208</v>
      </c>
      <c r="K67" s="8" t="s">
        <v>208</v>
      </c>
      <c r="L67" s="8" t="s">
        <v>208</v>
      </c>
      <c r="M67" s="8" t="s">
        <v>208</v>
      </c>
      <c r="N67" s="8" t="s">
        <v>208</v>
      </c>
      <c r="O67" s="8" t="s">
        <v>208</v>
      </c>
      <c r="Q67" t="s">
        <v>659</v>
      </c>
      <c r="R67" t="s">
        <v>660</v>
      </c>
      <c r="S67" t="s">
        <v>660</v>
      </c>
      <c r="T67" t="s">
        <v>658</v>
      </c>
      <c r="U67" t="s">
        <v>661</v>
      </c>
      <c r="V67" t="s">
        <v>662</v>
      </c>
      <c r="W67" t="s">
        <v>298</v>
      </c>
      <c r="Y67" t="s">
        <v>299</v>
      </c>
      <c r="Z67" t="s">
        <v>299</v>
      </c>
      <c r="AA67" t="s">
        <v>663</v>
      </c>
      <c r="AB67" t="s">
        <v>465</v>
      </c>
      <c r="AC67" t="s">
        <v>465</v>
      </c>
      <c r="AD67" t="s">
        <v>216</v>
      </c>
      <c r="AE67" t="s">
        <v>663</v>
      </c>
      <c r="AG67" s="8" t="s">
        <v>218</v>
      </c>
      <c r="AH67" t="s">
        <v>302</v>
      </c>
      <c r="AI67" s="9" t="s">
        <v>218</v>
      </c>
      <c r="AJ67" s="9" t="s">
        <v>218</v>
      </c>
      <c r="AK67" t="s">
        <v>234</v>
      </c>
      <c r="AL67" s="9" t="s">
        <v>218</v>
      </c>
      <c r="AM67" s="8" t="s">
        <v>221</v>
      </c>
      <c r="AN67" s="8" t="s">
        <v>221</v>
      </c>
      <c r="AO67" s="8" t="s">
        <v>222</v>
      </c>
      <c r="AP67" s="8">
        <v>0</v>
      </c>
      <c r="AQ67" s="8">
        <v>0</v>
      </c>
      <c r="AR67" s="9">
        <v>4</v>
      </c>
      <c r="AS67" s="8">
        <v>0</v>
      </c>
      <c r="AT67" s="8">
        <v>0</v>
      </c>
      <c r="AU67" s="8">
        <v>0</v>
      </c>
      <c r="AV67" s="8">
        <v>0</v>
      </c>
      <c r="AW67" s="9">
        <v>4</v>
      </c>
      <c r="AX67" s="9" t="s">
        <v>664</v>
      </c>
      <c r="AY67" s="8"/>
      <c r="AZ67">
        <v>1</v>
      </c>
      <c r="BA67" t="s">
        <v>304</v>
      </c>
      <c r="BB67" t="s">
        <v>665</v>
      </c>
      <c r="BC67" t="s">
        <v>666</v>
      </c>
    </row>
    <row r="68" spans="1:55">
      <c r="A68" s="6">
        <v>45737</v>
      </c>
      <c r="B68" s="7" t="s">
        <v>667</v>
      </c>
      <c r="C68" t="s">
        <v>668</v>
      </c>
      <c r="D68" t="s">
        <v>292</v>
      </c>
      <c r="E68" t="s">
        <v>292</v>
      </c>
      <c r="F68" t="s">
        <v>293</v>
      </c>
      <c r="G68" t="s">
        <v>294</v>
      </c>
      <c r="H68" s="8" t="s">
        <v>208</v>
      </c>
      <c r="I68" s="8" t="s">
        <v>208</v>
      </c>
      <c r="J68" s="8" t="s">
        <v>208</v>
      </c>
      <c r="K68" s="8" t="s">
        <v>208</v>
      </c>
      <c r="L68" s="8" t="s">
        <v>208</v>
      </c>
      <c r="M68" s="8" t="s">
        <v>208</v>
      </c>
      <c r="N68" s="8" t="s">
        <v>208</v>
      </c>
      <c r="O68" s="8" t="s">
        <v>208</v>
      </c>
      <c r="Q68" t="s">
        <v>669</v>
      </c>
      <c r="R68" t="s">
        <v>670</v>
      </c>
      <c r="S68" t="s">
        <v>670</v>
      </c>
      <c r="T68" t="s">
        <v>667</v>
      </c>
      <c r="U68" t="s">
        <v>671</v>
      </c>
      <c r="V68" t="s">
        <v>138</v>
      </c>
      <c r="W68" t="s">
        <v>212</v>
      </c>
      <c r="Y68" t="s">
        <v>213</v>
      </c>
      <c r="Z68" t="s">
        <v>213</v>
      </c>
      <c r="AA68" t="s">
        <v>214</v>
      </c>
      <c r="AB68" t="s">
        <v>672</v>
      </c>
      <c r="AC68" t="s">
        <v>672</v>
      </c>
      <c r="AD68" t="s">
        <v>216</v>
      </c>
      <c r="AE68" t="s">
        <v>673</v>
      </c>
      <c r="AG68" s="8" t="s">
        <v>218</v>
      </c>
      <c r="AH68" t="s">
        <v>219</v>
      </c>
      <c r="AI68" s="9" t="s">
        <v>218</v>
      </c>
      <c r="AJ68" s="9" t="s">
        <v>218</v>
      </c>
      <c r="AK68" t="s">
        <v>234</v>
      </c>
      <c r="AL68" s="9" t="s">
        <v>218</v>
      </c>
      <c r="AM68" s="8" t="s">
        <v>221</v>
      </c>
      <c r="AN68" s="8" t="s">
        <v>221</v>
      </c>
      <c r="AO68" s="8" t="s">
        <v>222</v>
      </c>
      <c r="AP68" s="8">
        <v>0</v>
      </c>
      <c r="AQ68" s="8">
        <v>0</v>
      </c>
      <c r="AR68" s="9">
        <v>130</v>
      </c>
      <c r="AS68" s="8">
        <v>0</v>
      </c>
      <c r="AT68" s="8">
        <v>0</v>
      </c>
      <c r="AU68" s="8">
        <v>0</v>
      </c>
      <c r="AV68" s="8">
        <v>0</v>
      </c>
      <c r="AW68" s="9">
        <v>130</v>
      </c>
      <c r="AX68" s="8"/>
      <c r="AY68" s="9" t="s">
        <v>674</v>
      </c>
      <c r="AZ68">
        <v>2</v>
      </c>
      <c r="BA68" t="s">
        <v>287</v>
      </c>
      <c r="BB68" t="s">
        <v>675</v>
      </c>
      <c r="BC68" t="s">
        <v>676</v>
      </c>
    </row>
    <row r="69" spans="1:55">
      <c r="A69" s="6">
        <v>45737</v>
      </c>
      <c r="B69" s="7" t="s">
        <v>677</v>
      </c>
      <c r="C69" t="s">
        <v>668</v>
      </c>
      <c r="D69" t="s">
        <v>292</v>
      </c>
      <c r="E69" t="s">
        <v>292</v>
      </c>
      <c r="F69" t="s">
        <v>293</v>
      </c>
      <c r="G69" t="s">
        <v>294</v>
      </c>
      <c r="H69" s="8" t="s">
        <v>208</v>
      </c>
      <c r="I69" s="8" t="s">
        <v>208</v>
      </c>
      <c r="J69" s="8" t="s">
        <v>208</v>
      </c>
      <c r="K69" s="8" t="s">
        <v>208</v>
      </c>
      <c r="L69" s="8" t="s">
        <v>208</v>
      </c>
      <c r="M69" s="8" t="s">
        <v>208</v>
      </c>
      <c r="N69" s="8" t="s">
        <v>208</v>
      </c>
      <c r="O69" s="8" t="s">
        <v>208</v>
      </c>
      <c r="Q69" t="s">
        <v>678</v>
      </c>
      <c r="R69" t="s">
        <v>679</v>
      </c>
      <c r="S69" t="s">
        <v>679</v>
      </c>
      <c r="T69" t="s">
        <v>677</v>
      </c>
      <c r="U69" t="s">
        <v>680</v>
      </c>
      <c r="V69" t="s">
        <v>140</v>
      </c>
      <c r="W69" t="s">
        <v>212</v>
      </c>
      <c r="Y69" t="s">
        <v>213</v>
      </c>
      <c r="Z69" t="s">
        <v>213</v>
      </c>
      <c r="AA69" t="s">
        <v>214</v>
      </c>
      <c r="AB69" t="s">
        <v>681</v>
      </c>
      <c r="AC69" t="s">
        <v>681</v>
      </c>
      <c r="AD69" t="s">
        <v>216</v>
      </c>
      <c r="AE69" t="s">
        <v>673</v>
      </c>
      <c r="AG69" s="8" t="s">
        <v>218</v>
      </c>
      <c r="AH69" t="s">
        <v>219</v>
      </c>
      <c r="AI69" s="9" t="s">
        <v>218</v>
      </c>
      <c r="AJ69" s="9" t="s">
        <v>218</v>
      </c>
      <c r="AK69" t="s">
        <v>234</v>
      </c>
      <c r="AL69" s="9" t="s">
        <v>218</v>
      </c>
      <c r="AM69" s="8" t="s">
        <v>221</v>
      </c>
      <c r="AN69" s="8" t="s">
        <v>221</v>
      </c>
      <c r="AO69" s="8" t="s">
        <v>222</v>
      </c>
      <c r="AP69" s="8">
        <v>0</v>
      </c>
      <c r="AQ69" s="8">
        <v>0</v>
      </c>
      <c r="AR69" s="9">
        <v>123</v>
      </c>
      <c r="AS69" s="8">
        <v>0</v>
      </c>
      <c r="AT69" s="8">
        <v>0</v>
      </c>
      <c r="AU69" s="8">
        <v>0</v>
      </c>
      <c r="AV69" s="8">
        <v>0</v>
      </c>
      <c r="AW69" s="9">
        <v>123</v>
      </c>
      <c r="AX69" s="8"/>
      <c r="AY69" s="9" t="s">
        <v>682</v>
      </c>
      <c r="AZ69">
        <v>3</v>
      </c>
      <c r="BA69" t="s">
        <v>683</v>
      </c>
      <c r="BB69" t="s">
        <v>684</v>
      </c>
      <c r="BC69" t="s">
        <v>685</v>
      </c>
    </row>
    <row r="70" spans="1:55">
      <c r="A70" s="6">
        <v>45737</v>
      </c>
      <c r="B70" s="7" t="s">
        <v>686</v>
      </c>
      <c r="C70" t="s">
        <v>687</v>
      </c>
      <c r="D70" t="s">
        <v>292</v>
      </c>
      <c r="E70" t="s">
        <v>292</v>
      </c>
      <c r="F70" t="s">
        <v>293</v>
      </c>
      <c r="G70" t="s">
        <v>294</v>
      </c>
      <c r="H70" s="8" t="s">
        <v>208</v>
      </c>
      <c r="I70" s="8" t="s">
        <v>208</v>
      </c>
      <c r="J70" s="8" t="s">
        <v>208</v>
      </c>
      <c r="K70" s="8" t="s">
        <v>208</v>
      </c>
      <c r="L70" s="8" t="s">
        <v>208</v>
      </c>
      <c r="M70" s="8" t="s">
        <v>208</v>
      </c>
      <c r="N70" s="8" t="s">
        <v>208</v>
      </c>
      <c r="O70" s="8" t="s">
        <v>208</v>
      </c>
      <c r="Q70" t="s">
        <v>688</v>
      </c>
      <c r="R70" t="s">
        <v>689</v>
      </c>
      <c r="S70" t="s">
        <v>689</v>
      </c>
      <c r="T70" t="s">
        <v>686</v>
      </c>
      <c r="U70" t="s">
        <v>690</v>
      </c>
      <c r="V70" t="s">
        <v>662</v>
      </c>
      <c r="W70" t="s">
        <v>232</v>
      </c>
      <c r="Y70" t="s">
        <v>233</v>
      </c>
      <c r="Z70" t="s">
        <v>233</v>
      </c>
      <c r="AA70" t="s">
        <v>663</v>
      </c>
      <c r="AB70" t="s">
        <v>691</v>
      </c>
      <c r="AC70" t="s">
        <v>691</v>
      </c>
      <c r="AD70" t="s">
        <v>216</v>
      </c>
      <c r="AE70" t="s">
        <v>673</v>
      </c>
      <c r="AG70" s="8" t="s">
        <v>218</v>
      </c>
      <c r="AH70" t="s">
        <v>219</v>
      </c>
      <c r="AI70" s="9" t="s">
        <v>218</v>
      </c>
      <c r="AJ70" s="9" t="s">
        <v>218</v>
      </c>
      <c r="AK70" t="s">
        <v>234</v>
      </c>
      <c r="AL70" s="9" t="s">
        <v>218</v>
      </c>
      <c r="AM70" s="8" t="s">
        <v>221</v>
      </c>
      <c r="AN70" s="8" t="s">
        <v>221</v>
      </c>
      <c r="AO70" s="8" t="s">
        <v>222</v>
      </c>
      <c r="AP70" s="8">
        <v>0</v>
      </c>
      <c r="AQ70" s="8">
        <v>0</v>
      </c>
      <c r="AR70" s="9">
        <v>636</v>
      </c>
      <c r="AS70" s="8">
        <v>0</v>
      </c>
      <c r="AT70" s="8">
        <v>0</v>
      </c>
      <c r="AU70" s="8">
        <v>0</v>
      </c>
      <c r="AV70" s="8">
        <v>0</v>
      </c>
      <c r="AW70" s="9">
        <v>636</v>
      </c>
      <c r="AX70" s="9" t="s">
        <v>692</v>
      </c>
      <c r="AY70" s="8"/>
      <c r="AZ70">
        <v>1</v>
      </c>
      <c r="BA70" t="s">
        <v>693</v>
      </c>
      <c r="BB70" t="s">
        <v>694</v>
      </c>
      <c r="BC70" t="s">
        <v>695</v>
      </c>
    </row>
    <row r="71" spans="1:55">
      <c r="A71" s="6">
        <v>45737</v>
      </c>
      <c r="B71" s="7" t="s">
        <v>696</v>
      </c>
      <c r="C71" t="s">
        <v>668</v>
      </c>
      <c r="D71" t="s">
        <v>292</v>
      </c>
      <c r="E71" t="s">
        <v>292</v>
      </c>
      <c r="F71" t="s">
        <v>293</v>
      </c>
      <c r="G71" t="s">
        <v>294</v>
      </c>
      <c r="H71" s="8" t="s">
        <v>208</v>
      </c>
      <c r="I71" s="8" t="s">
        <v>208</v>
      </c>
      <c r="J71" s="8" t="s">
        <v>208</v>
      </c>
      <c r="K71" s="8" t="s">
        <v>208</v>
      </c>
      <c r="L71" s="8" t="s">
        <v>208</v>
      </c>
      <c r="M71" s="8" t="s">
        <v>208</v>
      </c>
      <c r="N71" s="8" t="s">
        <v>208</v>
      </c>
      <c r="O71" s="8" t="s">
        <v>208</v>
      </c>
      <c r="Q71" t="s">
        <v>697</v>
      </c>
      <c r="R71" t="s">
        <v>698</v>
      </c>
      <c r="S71" t="s">
        <v>698</v>
      </c>
      <c r="T71" t="s">
        <v>696</v>
      </c>
      <c r="U71" t="s">
        <v>699</v>
      </c>
      <c r="V71" t="s">
        <v>700</v>
      </c>
      <c r="W71" t="s">
        <v>212</v>
      </c>
      <c r="Y71" t="s">
        <v>213</v>
      </c>
      <c r="Z71" t="s">
        <v>213</v>
      </c>
      <c r="AA71" t="s">
        <v>645</v>
      </c>
      <c r="AB71" t="s">
        <v>701</v>
      </c>
      <c r="AC71" t="s">
        <v>701</v>
      </c>
      <c r="AD71" t="s">
        <v>216</v>
      </c>
      <c r="AE71" t="s">
        <v>673</v>
      </c>
      <c r="AG71" s="8" t="s">
        <v>218</v>
      </c>
      <c r="AH71" t="s">
        <v>219</v>
      </c>
      <c r="AI71" s="9" t="s">
        <v>218</v>
      </c>
      <c r="AJ71" s="9" t="s">
        <v>218</v>
      </c>
      <c r="AK71" t="s">
        <v>702</v>
      </c>
      <c r="AL71" s="9" t="s">
        <v>218</v>
      </c>
      <c r="AM71" s="8" t="s">
        <v>221</v>
      </c>
      <c r="AN71" s="8" t="s">
        <v>221</v>
      </c>
      <c r="AO71" s="8" t="s">
        <v>222</v>
      </c>
      <c r="AP71" s="8">
        <v>0</v>
      </c>
      <c r="AQ71" s="8">
        <v>0</v>
      </c>
      <c r="AR71" s="8">
        <v>0</v>
      </c>
      <c r="AS71" s="8">
        <v>0</v>
      </c>
      <c r="AT71" s="8">
        <v>0</v>
      </c>
      <c r="AU71" s="8">
        <v>0</v>
      </c>
      <c r="AV71" s="8">
        <v>0</v>
      </c>
      <c r="AW71" s="8">
        <v>0</v>
      </c>
      <c r="AX71" s="8"/>
      <c r="AY71" s="8"/>
      <c r="AZ71">
        <v>2</v>
      </c>
      <c r="BA71" t="s">
        <v>287</v>
      </c>
      <c r="BB71" t="s">
        <v>703</v>
      </c>
      <c r="BC71" t="s">
        <v>704</v>
      </c>
    </row>
    <row r="72" spans="1:55">
      <c r="A72" s="6">
        <v>45737</v>
      </c>
      <c r="B72" s="7" t="s">
        <v>705</v>
      </c>
      <c r="C72" t="s">
        <v>668</v>
      </c>
      <c r="D72" t="s">
        <v>292</v>
      </c>
      <c r="E72" t="s">
        <v>292</v>
      </c>
      <c r="F72" t="s">
        <v>293</v>
      </c>
      <c r="G72" t="s">
        <v>294</v>
      </c>
      <c r="H72" s="8" t="s">
        <v>208</v>
      </c>
      <c r="I72" s="8" t="s">
        <v>208</v>
      </c>
      <c r="J72" s="8" t="s">
        <v>208</v>
      </c>
      <c r="K72" s="8" t="s">
        <v>208</v>
      </c>
      <c r="L72" s="8" t="s">
        <v>208</v>
      </c>
      <c r="M72" s="8" t="s">
        <v>208</v>
      </c>
      <c r="N72" s="8" t="s">
        <v>208</v>
      </c>
      <c r="O72" s="8" t="s">
        <v>208</v>
      </c>
      <c r="Q72" t="s">
        <v>706</v>
      </c>
      <c r="R72" t="s">
        <v>707</v>
      </c>
      <c r="S72" t="s">
        <v>707</v>
      </c>
      <c r="T72" t="s">
        <v>705</v>
      </c>
      <c r="U72" t="s">
        <v>708</v>
      </c>
      <c r="V72" t="s">
        <v>140</v>
      </c>
      <c r="W72" t="s">
        <v>212</v>
      </c>
      <c r="Y72" t="s">
        <v>213</v>
      </c>
      <c r="Z72" t="s">
        <v>213</v>
      </c>
      <c r="AA72" t="s">
        <v>663</v>
      </c>
      <c r="AB72" t="s">
        <v>681</v>
      </c>
      <c r="AC72" t="s">
        <v>681</v>
      </c>
      <c r="AD72" t="s">
        <v>216</v>
      </c>
      <c r="AE72" t="s">
        <v>673</v>
      </c>
      <c r="AG72" s="8" t="s">
        <v>218</v>
      </c>
      <c r="AH72" t="s">
        <v>219</v>
      </c>
      <c r="AI72" s="9" t="s">
        <v>218</v>
      </c>
      <c r="AJ72" s="9" t="s">
        <v>218</v>
      </c>
      <c r="AK72" t="s">
        <v>709</v>
      </c>
      <c r="AL72" s="9" t="s">
        <v>218</v>
      </c>
      <c r="AM72" s="8" t="s">
        <v>221</v>
      </c>
      <c r="AN72" s="8" t="s">
        <v>221</v>
      </c>
      <c r="AO72" s="8" t="s">
        <v>222</v>
      </c>
      <c r="AP72" s="8">
        <v>0</v>
      </c>
      <c r="AQ72" s="8">
        <v>0</v>
      </c>
      <c r="AR72" s="9">
        <v>59</v>
      </c>
      <c r="AS72" s="8">
        <v>0</v>
      </c>
      <c r="AT72" s="8">
        <v>0</v>
      </c>
      <c r="AU72" s="8">
        <v>0</v>
      </c>
      <c r="AV72" s="8">
        <v>0</v>
      </c>
      <c r="AW72" s="9">
        <v>59</v>
      </c>
      <c r="AX72" s="8"/>
      <c r="AY72" s="8"/>
      <c r="AZ72">
        <v>1</v>
      </c>
      <c r="BA72" t="s">
        <v>710</v>
      </c>
      <c r="BB72" t="s">
        <v>711</v>
      </c>
      <c r="BC72" t="s">
        <v>712</v>
      </c>
    </row>
    <row r="73" spans="1:55">
      <c r="A73" s="6">
        <v>45737</v>
      </c>
      <c r="B73" s="7" t="s">
        <v>713</v>
      </c>
      <c r="C73" t="s">
        <v>714</v>
      </c>
      <c r="D73" t="s">
        <v>292</v>
      </c>
      <c r="E73" t="s">
        <v>292</v>
      </c>
      <c r="F73" t="s">
        <v>293</v>
      </c>
      <c r="G73" t="s">
        <v>294</v>
      </c>
      <c r="H73" s="8" t="s">
        <v>208</v>
      </c>
      <c r="I73" s="8" t="s">
        <v>208</v>
      </c>
      <c r="J73" s="8" t="s">
        <v>208</v>
      </c>
      <c r="K73" s="8" t="s">
        <v>208</v>
      </c>
      <c r="L73" s="8" t="s">
        <v>208</v>
      </c>
      <c r="M73" s="8" t="s">
        <v>208</v>
      </c>
      <c r="N73" s="8" t="s">
        <v>208</v>
      </c>
      <c r="O73" s="8" t="s">
        <v>208</v>
      </c>
      <c r="Q73" t="s">
        <v>715</v>
      </c>
      <c r="R73" t="s">
        <v>716</v>
      </c>
      <c r="S73" t="s">
        <v>716</v>
      </c>
      <c r="T73" t="s">
        <v>713</v>
      </c>
      <c r="U73" t="s">
        <v>717</v>
      </c>
      <c r="V73" t="s">
        <v>30</v>
      </c>
      <c r="W73" t="s">
        <v>298</v>
      </c>
      <c r="Y73" t="s">
        <v>299</v>
      </c>
      <c r="Z73" t="s">
        <v>299</v>
      </c>
      <c r="AA73" t="s">
        <v>300</v>
      </c>
      <c r="AB73" t="s">
        <v>391</v>
      </c>
      <c r="AC73" t="s">
        <v>391</v>
      </c>
      <c r="AD73" t="s">
        <v>216</v>
      </c>
      <c r="AE73" t="s">
        <v>300</v>
      </c>
      <c r="AG73" s="8" t="s">
        <v>218</v>
      </c>
      <c r="AH73" t="s">
        <v>302</v>
      </c>
      <c r="AI73" s="9" t="s">
        <v>218</v>
      </c>
      <c r="AJ73" s="9" t="s">
        <v>218</v>
      </c>
      <c r="AK73" t="s">
        <v>400</v>
      </c>
      <c r="AL73" s="9" t="s">
        <v>218</v>
      </c>
      <c r="AM73" s="8" t="s">
        <v>221</v>
      </c>
      <c r="AN73" s="8" t="s">
        <v>221</v>
      </c>
      <c r="AO73" s="8" t="s">
        <v>222</v>
      </c>
      <c r="AP73" s="8">
        <v>0</v>
      </c>
      <c r="AQ73" s="8">
        <v>0</v>
      </c>
      <c r="AR73" s="8">
        <v>0</v>
      </c>
      <c r="AS73" s="8">
        <v>0</v>
      </c>
      <c r="AT73" s="8">
        <v>0</v>
      </c>
      <c r="AU73" s="8">
        <v>0</v>
      </c>
      <c r="AV73" s="8">
        <v>0</v>
      </c>
      <c r="AW73" s="8">
        <v>0</v>
      </c>
      <c r="AX73" s="8"/>
      <c r="AY73" s="8"/>
      <c r="AZ73">
        <v>1</v>
      </c>
      <c r="BA73" t="s">
        <v>418</v>
      </c>
      <c r="BB73" t="s">
        <v>718</v>
      </c>
      <c r="BC73" t="s">
        <v>719</v>
      </c>
    </row>
    <row r="74" spans="1:55">
      <c r="A74" s="6">
        <v>45737</v>
      </c>
      <c r="B74" s="7" t="s">
        <v>720</v>
      </c>
      <c r="C74" t="s">
        <v>714</v>
      </c>
      <c r="D74" t="s">
        <v>292</v>
      </c>
      <c r="E74" t="s">
        <v>292</v>
      </c>
      <c r="F74" t="s">
        <v>293</v>
      </c>
      <c r="G74" t="s">
        <v>294</v>
      </c>
      <c r="H74" s="8" t="s">
        <v>208</v>
      </c>
      <c r="I74" s="8" t="s">
        <v>208</v>
      </c>
      <c r="J74" s="8" t="s">
        <v>208</v>
      </c>
      <c r="K74" s="8" t="s">
        <v>208</v>
      </c>
      <c r="L74" s="8" t="s">
        <v>208</v>
      </c>
      <c r="M74" s="8" t="s">
        <v>208</v>
      </c>
      <c r="N74" s="8" t="s">
        <v>208</v>
      </c>
      <c r="O74" s="8" t="s">
        <v>208</v>
      </c>
      <c r="Q74" t="s">
        <v>721</v>
      </c>
      <c r="R74" t="s">
        <v>722</v>
      </c>
      <c r="S74" t="s">
        <v>722</v>
      </c>
      <c r="T74" t="s">
        <v>720</v>
      </c>
      <c r="U74" t="s">
        <v>723</v>
      </c>
      <c r="V74" t="s">
        <v>30</v>
      </c>
      <c r="W74" t="s">
        <v>298</v>
      </c>
      <c r="Y74" t="s">
        <v>299</v>
      </c>
      <c r="Z74" t="s">
        <v>299</v>
      </c>
      <c r="AA74" t="s">
        <v>300</v>
      </c>
      <c r="AB74" t="s">
        <v>408</v>
      </c>
      <c r="AC74" t="s">
        <v>408</v>
      </c>
      <c r="AD74" t="s">
        <v>216</v>
      </c>
      <c r="AE74" t="s">
        <v>724</v>
      </c>
      <c r="AG74" s="8" t="s">
        <v>218</v>
      </c>
      <c r="AH74" t="s">
        <v>302</v>
      </c>
      <c r="AI74" s="9" t="s">
        <v>218</v>
      </c>
      <c r="AJ74" s="9" t="s">
        <v>218</v>
      </c>
      <c r="AK74" t="s">
        <v>725</v>
      </c>
      <c r="AL74" s="9" t="s">
        <v>218</v>
      </c>
      <c r="AM74" s="8" t="s">
        <v>221</v>
      </c>
      <c r="AN74" s="8" t="s">
        <v>221</v>
      </c>
      <c r="AO74" s="8" t="s">
        <v>222</v>
      </c>
      <c r="AP74" s="8">
        <v>0</v>
      </c>
      <c r="AQ74" s="8">
        <v>0</v>
      </c>
      <c r="AR74" s="9">
        <v>13</v>
      </c>
      <c r="AS74" s="8">
        <v>0</v>
      </c>
      <c r="AT74" s="8">
        <v>0</v>
      </c>
      <c r="AU74" s="8">
        <v>0</v>
      </c>
      <c r="AV74" s="8">
        <v>0</v>
      </c>
      <c r="AW74" s="9">
        <v>13</v>
      </c>
      <c r="AX74" s="8"/>
      <c r="AY74" s="8"/>
      <c r="AZ74">
        <v>3</v>
      </c>
      <c r="BA74" t="s">
        <v>410</v>
      </c>
      <c r="BB74" t="s">
        <v>726</v>
      </c>
      <c r="BC74" t="s">
        <v>727</v>
      </c>
    </row>
    <row r="75" spans="1:55">
      <c r="A75" s="6">
        <v>45737</v>
      </c>
      <c r="B75" s="7" t="s">
        <v>728</v>
      </c>
      <c r="C75" t="s">
        <v>714</v>
      </c>
      <c r="D75" t="s">
        <v>292</v>
      </c>
      <c r="E75" t="s">
        <v>292</v>
      </c>
      <c r="F75" t="s">
        <v>293</v>
      </c>
      <c r="G75" t="s">
        <v>294</v>
      </c>
      <c r="H75" s="8" t="s">
        <v>208</v>
      </c>
      <c r="I75" s="8" t="s">
        <v>208</v>
      </c>
      <c r="J75" s="8" t="s">
        <v>208</v>
      </c>
      <c r="K75" s="8" t="s">
        <v>208</v>
      </c>
      <c r="L75" s="8" t="s">
        <v>208</v>
      </c>
      <c r="M75" s="8" t="s">
        <v>208</v>
      </c>
      <c r="N75" s="8" t="s">
        <v>208</v>
      </c>
      <c r="O75" s="8" t="s">
        <v>208</v>
      </c>
      <c r="Q75" t="s">
        <v>729</v>
      </c>
      <c r="R75" t="s">
        <v>730</v>
      </c>
      <c r="S75" t="s">
        <v>730</v>
      </c>
      <c r="T75" t="s">
        <v>728</v>
      </c>
      <c r="U75" t="s">
        <v>731</v>
      </c>
      <c r="V75" t="s">
        <v>83</v>
      </c>
      <c r="W75" t="s">
        <v>298</v>
      </c>
      <c r="Y75" t="s">
        <v>299</v>
      </c>
      <c r="Z75" t="s">
        <v>299</v>
      </c>
      <c r="AA75" t="s">
        <v>732</v>
      </c>
      <c r="AB75" t="s">
        <v>417</v>
      </c>
      <c r="AC75" t="s">
        <v>417</v>
      </c>
      <c r="AD75" t="s">
        <v>216</v>
      </c>
      <c r="AE75" t="s">
        <v>732</v>
      </c>
      <c r="AG75" s="8" t="s">
        <v>218</v>
      </c>
      <c r="AH75" t="s">
        <v>302</v>
      </c>
      <c r="AI75" s="9" t="s">
        <v>218</v>
      </c>
      <c r="AJ75" s="9" t="s">
        <v>218</v>
      </c>
      <c r="AK75" t="s">
        <v>234</v>
      </c>
      <c r="AL75" s="9" t="s">
        <v>218</v>
      </c>
      <c r="AM75" s="8" t="s">
        <v>221</v>
      </c>
      <c r="AN75" s="8" t="s">
        <v>221</v>
      </c>
      <c r="AO75" s="8" t="s">
        <v>222</v>
      </c>
      <c r="AP75" s="8">
        <v>0</v>
      </c>
      <c r="AQ75" s="8">
        <v>0</v>
      </c>
      <c r="AR75" s="9">
        <v>20</v>
      </c>
      <c r="AS75" s="8">
        <v>0</v>
      </c>
      <c r="AT75" s="8">
        <v>0</v>
      </c>
      <c r="AU75" s="8">
        <v>0</v>
      </c>
      <c r="AV75" s="8">
        <v>0</v>
      </c>
      <c r="AW75" s="9">
        <v>20</v>
      </c>
      <c r="AX75" s="8"/>
      <c r="AY75" s="8"/>
      <c r="AZ75">
        <v>3</v>
      </c>
      <c r="BA75" t="s">
        <v>410</v>
      </c>
      <c r="BB75" t="s">
        <v>733</v>
      </c>
      <c r="BC75" t="s">
        <v>734</v>
      </c>
    </row>
    <row r="76" spans="1:55">
      <c r="A76" s="6">
        <v>45737</v>
      </c>
      <c r="B76" s="7" t="s">
        <v>735</v>
      </c>
      <c r="C76" t="s">
        <v>714</v>
      </c>
      <c r="D76" t="s">
        <v>292</v>
      </c>
      <c r="E76" t="s">
        <v>292</v>
      </c>
      <c r="F76" t="s">
        <v>293</v>
      </c>
      <c r="G76" t="s">
        <v>294</v>
      </c>
      <c r="H76" s="8" t="s">
        <v>208</v>
      </c>
      <c r="I76" s="8" t="s">
        <v>208</v>
      </c>
      <c r="J76" s="8" t="s">
        <v>208</v>
      </c>
      <c r="K76" s="8" t="s">
        <v>208</v>
      </c>
      <c r="L76" s="8" t="s">
        <v>208</v>
      </c>
      <c r="M76" s="8" t="s">
        <v>208</v>
      </c>
      <c r="N76" s="8" t="s">
        <v>208</v>
      </c>
      <c r="O76" s="8" t="s">
        <v>208</v>
      </c>
      <c r="Q76" t="s">
        <v>736</v>
      </c>
      <c r="R76" t="s">
        <v>737</v>
      </c>
      <c r="S76" t="s">
        <v>737</v>
      </c>
      <c r="T76" t="s">
        <v>735</v>
      </c>
      <c r="U76" t="s">
        <v>738</v>
      </c>
      <c r="V76" t="s">
        <v>83</v>
      </c>
      <c r="W76" t="s">
        <v>298</v>
      </c>
      <c r="Y76" t="s">
        <v>299</v>
      </c>
      <c r="Z76" t="s">
        <v>299</v>
      </c>
      <c r="AA76" t="s">
        <v>732</v>
      </c>
      <c r="AB76" t="s">
        <v>538</v>
      </c>
      <c r="AC76" t="s">
        <v>538</v>
      </c>
      <c r="AD76" t="s">
        <v>216</v>
      </c>
      <c r="AE76" t="s">
        <v>732</v>
      </c>
      <c r="AG76" s="8" t="s">
        <v>218</v>
      </c>
      <c r="AH76" t="s">
        <v>302</v>
      </c>
      <c r="AI76" s="9" t="s">
        <v>218</v>
      </c>
      <c r="AJ76" s="9" t="s">
        <v>218</v>
      </c>
      <c r="AK76" t="s">
        <v>234</v>
      </c>
      <c r="AL76" s="9" t="s">
        <v>218</v>
      </c>
      <c r="AM76" s="8" t="s">
        <v>221</v>
      </c>
      <c r="AN76" s="8" t="s">
        <v>221</v>
      </c>
      <c r="AO76" s="8" t="s">
        <v>222</v>
      </c>
      <c r="AP76" s="8">
        <v>0</v>
      </c>
      <c r="AQ76" s="8">
        <v>0</v>
      </c>
      <c r="AR76" s="9">
        <v>10</v>
      </c>
      <c r="AS76" s="8">
        <v>0</v>
      </c>
      <c r="AT76" s="8">
        <v>0</v>
      </c>
      <c r="AU76" s="8">
        <v>0</v>
      </c>
      <c r="AV76" s="8">
        <v>0</v>
      </c>
      <c r="AW76" s="9">
        <v>10</v>
      </c>
      <c r="AX76" s="8"/>
      <c r="AY76" s="8"/>
      <c r="AZ76">
        <v>3</v>
      </c>
      <c r="BA76" t="s">
        <v>410</v>
      </c>
      <c r="BB76" t="s">
        <v>739</v>
      </c>
      <c r="BC76" t="s">
        <v>740</v>
      </c>
    </row>
    <row r="77" spans="1:55">
      <c r="A77" s="6">
        <v>45737</v>
      </c>
      <c r="B77" s="7" t="s">
        <v>741</v>
      </c>
      <c r="C77" t="s">
        <v>714</v>
      </c>
      <c r="D77" t="s">
        <v>292</v>
      </c>
      <c r="E77" t="s">
        <v>292</v>
      </c>
      <c r="F77" t="s">
        <v>293</v>
      </c>
      <c r="G77" t="s">
        <v>294</v>
      </c>
      <c r="H77" s="8" t="s">
        <v>208</v>
      </c>
      <c r="I77" s="8" t="s">
        <v>208</v>
      </c>
      <c r="J77" s="8" t="s">
        <v>208</v>
      </c>
      <c r="K77" s="8" t="s">
        <v>208</v>
      </c>
      <c r="L77" s="8" t="s">
        <v>208</v>
      </c>
      <c r="M77" s="8" t="s">
        <v>208</v>
      </c>
      <c r="N77" s="8" t="s">
        <v>208</v>
      </c>
      <c r="O77" s="8" t="s">
        <v>208</v>
      </c>
      <c r="Q77" t="s">
        <v>742</v>
      </c>
      <c r="R77" t="s">
        <v>743</v>
      </c>
      <c r="S77" t="s">
        <v>743</v>
      </c>
      <c r="T77" t="s">
        <v>741</v>
      </c>
      <c r="U77" t="s">
        <v>744</v>
      </c>
      <c r="V77" t="s">
        <v>30</v>
      </c>
      <c r="W77" t="s">
        <v>298</v>
      </c>
      <c r="Y77" t="s">
        <v>299</v>
      </c>
      <c r="Z77" t="s">
        <v>299</v>
      </c>
      <c r="AA77" t="s">
        <v>300</v>
      </c>
      <c r="AB77" t="s">
        <v>312</v>
      </c>
      <c r="AC77" t="s">
        <v>312</v>
      </c>
      <c r="AD77" t="s">
        <v>216</v>
      </c>
      <c r="AE77" t="s">
        <v>300</v>
      </c>
      <c r="AG77" s="8" t="s">
        <v>218</v>
      </c>
      <c r="AH77" t="s">
        <v>302</v>
      </c>
      <c r="AI77" s="9" t="s">
        <v>218</v>
      </c>
      <c r="AJ77" s="9" t="s">
        <v>218</v>
      </c>
      <c r="AK77" t="s">
        <v>745</v>
      </c>
      <c r="AL77" s="9" t="s">
        <v>218</v>
      </c>
      <c r="AM77" s="8" t="s">
        <v>221</v>
      </c>
      <c r="AN77" s="8" t="s">
        <v>221</v>
      </c>
      <c r="AO77" s="8" t="s">
        <v>222</v>
      </c>
      <c r="AP77" s="8">
        <v>0</v>
      </c>
      <c r="AQ77" s="8">
        <v>0</v>
      </c>
      <c r="AR77" s="8">
        <v>0</v>
      </c>
      <c r="AS77" s="8">
        <v>0</v>
      </c>
      <c r="AT77" s="8">
        <v>0</v>
      </c>
      <c r="AU77" s="8">
        <v>0</v>
      </c>
      <c r="AV77" s="8">
        <v>0</v>
      </c>
      <c r="AW77" s="8">
        <v>0</v>
      </c>
      <c r="AX77" s="8"/>
      <c r="AY77" s="8"/>
      <c r="AZ77">
        <v>1</v>
      </c>
      <c r="BA77" t="s">
        <v>304</v>
      </c>
      <c r="BC77" t="s">
        <v>746</v>
      </c>
    </row>
    <row r="78" spans="1:55">
      <c r="A78" s="6">
        <v>45737</v>
      </c>
      <c r="B78" s="7" t="s">
        <v>747</v>
      </c>
      <c r="C78" t="s">
        <v>714</v>
      </c>
      <c r="D78" t="s">
        <v>292</v>
      </c>
      <c r="E78" t="s">
        <v>292</v>
      </c>
      <c r="F78" t="s">
        <v>293</v>
      </c>
      <c r="G78" t="s">
        <v>294</v>
      </c>
      <c r="H78" s="8" t="s">
        <v>208</v>
      </c>
      <c r="I78" s="8" t="s">
        <v>208</v>
      </c>
      <c r="J78" s="8" t="s">
        <v>208</v>
      </c>
      <c r="K78" s="8" t="s">
        <v>208</v>
      </c>
      <c r="L78" s="8" t="s">
        <v>208</v>
      </c>
      <c r="M78" s="8" t="s">
        <v>208</v>
      </c>
      <c r="N78" s="8" t="s">
        <v>208</v>
      </c>
      <c r="O78" s="8" t="s">
        <v>208</v>
      </c>
      <c r="Q78" t="s">
        <v>748</v>
      </c>
      <c r="R78" t="s">
        <v>749</v>
      </c>
      <c r="S78" t="s">
        <v>749</v>
      </c>
      <c r="T78" t="s">
        <v>747</v>
      </c>
      <c r="U78" t="s">
        <v>750</v>
      </c>
      <c r="V78" t="s">
        <v>30</v>
      </c>
      <c r="W78" t="s">
        <v>298</v>
      </c>
      <c r="Y78" t="s">
        <v>299</v>
      </c>
      <c r="Z78" t="s">
        <v>299</v>
      </c>
      <c r="AA78" t="s">
        <v>300</v>
      </c>
      <c r="AB78" t="s">
        <v>312</v>
      </c>
      <c r="AC78" t="s">
        <v>312</v>
      </c>
      <c r="AD78" t="s">
        <v>216</v>
      </c>
      <c r="AE78" t="s">
        <v>300</v>
      </c>
      <c r="AG78" s="8" t="s">
        <v>218</v>
      </c>
      <c r="AH78" t="s">
        <v>302</v>
      </c>
      <c r="AI78" s="9" t="s">
        <v>218</v>
      </c>
      <c r="AJ78" s="9" t="s">
        <v>218</v>
      </c>
      <c r="AK78" t="s">
        <v>511</v>
      </c>
      <c r="AL78" s="9" t="s">
        <v>218</v>
      </c>
      <c r="AM78" s="8" t="s">
        <v>221</v>
      </c>
      <c r="AN78" s="8" t="s">
        <v>221</v>
      </c>
      <c r="AO78" s="8" t="s">
        <v>222</v>
      </c>
      <c r="AP78" s="8">
        <v>0</v>
      </c>
      <c r="AQ78" s="8">
        <v>0</v>
      </c>
      <c r="AR78" s="8">
        <v>0</v>
      </c>
      <c r="AS78" s="8">
        <v>0</v>
      </c>
      <c r="AT78" s="8">
        <v>0</v>
      </c>
      <c r="AU78" s="8">
        <v>0</v>
      </c>
      <c r="AV78" s="8">
        <v>0</v>
      </c>
      <c r="AW78" s="8">
        <v>0</v>
      </c>
      <c r="AX78" s="8"/>
      <c r="AY78" s="8"/>
      <c r="BC78" t="s">
        <v>751</v>
      </c>
    </row>
    <row r="79" spans="1:55">
      <c r="A79" s="6">
        <v>45737</v>
      </c>
      <c r="B79" s="7" t="s">
        <v>752</v>
      </c>
      <c r="C79" t="s">
        <v>205</v>
      </c>
      <c r="D79" t="s">
        <v>753</v>
      </c>
      <c r="G79" t="s">
        <v>754</v>
      </c>
      <c r="H79" s="8" t="s">
        <v>208</v>
      </c>
      <c r="I79" s="8" t="s">
        <v>208</v>
      </c>
      <c r="J79" s="8" t="s">
        <v>208</v>
      </c>
      <c r="K79" s="8" t="s">
        <v>208</v>
      </c>
      <c r="L79" s="8" t="s">
        <v>208</v>
      </c>
      <c r="M79" s="8" t="s">
        <v>208</v>
      </c>
      <c r="N79" s="8" t="s">
        <v>208</v>
      </c>
      <c r="O79" s="8" t="s">
        <v>208</v>
      </c>
      <c r="Q79" t="s">
        <v>755</v>
      </c>
      <c r="R79" t="s">
        <v>756</v>
      </c>
      <c r="S79" t="s">
        <v>756</v>
      </c>
      <c r="T79" t="s">
        <v>752</v>
      </c>
      <c r="U79" t="s">
        <v>757</v>
      </c>
      <c r="V79" t="s">
        <v>14</v>
      </c>
      <c r="W79" t="s">
        <v>232</v>
      </c>
      <c r="Y79" t="s">
        <v>233</v>
      </c>
      <c r="Z79" t="s">
        <v>233</v>
      </c>
      <c r="AA79" t="s">
        <v>214</v>
      </c>
      <c r="AB79" t="s">
        <v>758</v>
      </c>
      <c r="AC79" t="s">
        <v>758</v>
      </c>
      <c r="AD79" t="s">
        <v>216</v>
      </c>
      <c r="AE79" t="s">
        <v>11</v>
      </c>
      <c r="AG79" s="8" t="s">
        <v>218</v>
      </c>
      <c r="AH79" t="s">
        <v>219</v>
      </c>
      <c r="AI79" s="9" t="s">
        <v>218</v>
      </c>
      <c r="AJ79" s="9" t="s">
        <v>218</v>
      </c>
      <c r="AK79" t="s">
        <v>234</v>
      </c>
      <c r="AL79" s="9" t="s">
        <v>218</v>
      </c>
      <c r="AM79" s="8" t="s">
        <v>221</v>
      </c>
      <c r="AN79" s="8" t="s">
        <v>221</v>
      </c>
      <c r="AO79" s="8" t="s">
        <v>222</v>
      </c>
      <c r="AP79" s="8">
        <v>0</v>
      </c>
      <c r="AQ79" s="8">
        <v>0</v>
      </c>
      <c r="AR79" s="8">
        <v>0</v>
      </c>
      <c r="AS79" s="8">
        <v>0</v>
      </c>
      <c r="AT79" s="8">
        <v>0</v>
      </c>
      <c r="AU79" s="8">
        <v>0</v>
      </c>
      <c r="AV79" s="8">
        <v>0</v>
      </c>
      <c r="AW79" s="8">
        <v>0</v>
      </c>
      <c r="AX79" s="8"/>
      <c r="AY79" s="8"/>
      <c r="BB79" t="s">
        <v>759</v>
      </c>
      <c r="BC79" t="s">
        <v>760</v>
      </c>
    </row>
    <row r="80" spans="1:55">
      <c r="A80" s="6">
        <v>45737</v>
      </c>
      <c r="B80" s="7" t="s">
        <v>761</v>
      </c>
      <c r="C80" t="s">
        <v>205</v>
      </c>
      <c r="D80" t="s">
        <v>753</v>
      </c>
      <c r="G80" t="s">
        <v>754</v>
      </c>
      <c r="H80" s="8" t="s">
        <v>208</v>
      </c>
      <c r="I80" s="8" t="s">
        <v>208</v>
      </c>
      <c r="J80" s="8" t="s">
        <v>208</v>
      </c>
      <c r="K80" s="8" t="s">
        <v>208</v>
      </c>
      <c r="L80" s="8" t="s">
        <v>208</v>
      </c>
      <c r="M80" s="8" t="s">
        <v>208</v>
      </c>
      <c r="N80" s="8" t="s">
        <v>208</v>
      </c>
      <c r="O80" s="8" t="s">
        <v>208</v>
      </c>
      <c r="Q80" t="s">
        <v>762</v>
      </c>
      <c r="R80" t="s">
        <v>763</v>
      </c>
      <c r="S80" t="s">
        <v>763</v>
      </c>
      <c r="T80" t="s">
        <v>761</v>
      </c>
      <c r="U80" t="s">
        <v>764</v>
      </c>
      <c r="V80" t="s">
        <v>139</v>
      </c>
      <c r="W80" t="s">
        <v>232</v>
      </c>
      <c r="Y80" t="s">
        <v>765</v>
      </c>
      <c r="Z80" t="s">
        <v>766</v>
      </c>
      <c r="AA80" t="s">
        <v>11</v>
      </c>
      <c r="AB80" t="s">
        <v>242</v>
      </c>
      <c r="AC80" t="s">
        <v>242</v>
      </c>
      <c r="AD80" t="s">
        <v>216</v>
      </c>
      <c r="AE80" t="s">
        <v>11</v>
      </c>
      <c r="AG80" s="8" t="s">
        <v>218</v>
      </c>
      <c r="AH80" t="s">
        <v>219</v>
      </c>
      <c r="AI80" s="9" t="s">
        <v>218</v>
      </c>
      <c r="AJ80" s="9" t="s">
        <v>218</v>
      </c>
      <c r="AK80" t="s">
        <v>767</v>
      </c>
      <c r="AL80" s="9" t="s">
        <v>218</v>
      </c>
      <c r="AM80" s="8" t="s">
        <v>221</v>
      </c>
      <c r="AN80" s="8" t="s">
        <v>221</v>
      </c>
      <c r="AO80" s="8" t="s">
        <v>222</v>
      </c>
      <c r="AP80" s="8">
        <v>0</v>
      </c>
      <c r="AQ80" s="8">
        <v>0</v>
      </c>
      <c r="AR80" s="8">
        <v>0</v>
      </c>
      <c r="AS80" s="8">
        <v>0</v>
      </c>
      <c r="AT80" s="8">
        <v>0</v>
      </c>
      <c r="AU80" s="8">
        <v>0</v>
      </c>
      <c r="AV80" s="8">
        <v>0</v>
      </c>
      <c r="AW80" s="8">
        <v>0</v>
      </c>
      <c r="AX80" s="8"/>
      <c r="AY80" s="8"/>
      <c r="BC80" t="s">
        <v>768</v>
      </c>
    </row>
    <row r="81" spans="1:55">
      <c r="A81" s="6">
        <v>45737</v>
      </c>
      <c r="B81" s="7" t="s">
        <v>769</v>
      </c>
      <c r="C81" t="s">
        <v>205</v>
      </c>
      <c r="D81" t="s">
        <v>753</v>
      </c>
      <c r="G81" t="s">
        <v>754</v>
      </c>
      <c r="H81" s="8" t="s">
        <v>208</v>
      </c>
      <c r="I81" s="8" t="s">
        <v>208</v>
      </c>
      <c r="J81" s="8" t="s">
        <v>208</v>
      </c>
      <c r="K81" s="8" t="s">
        <v>208</v>
      </c>
      <c r="L81" s="8" t="s">
        <v>208</v>
      </c>
      <c r="M81" s="8" t="s">
        <v>208</v>
      </c>
      <c r="N81" s="8" t="s">
        <v>208</v>
      </c>
      <c r="O81" s="8" t="s">
        <v>208</v>
      </c>
      <c r="Q81" t="s">
        <v>770</v>
      </c>
      <c r="R81" t="s">
        <v>771</v>
      </c>
      <c r="S81" t="s">
        <v>771</v>
      </c>
      <c r="T81" t="s">
        <v>769</v>
      </c>
      <c r="U81" t="s">
        <v>772</v>
      </c>
      <c r="V81" t="s">
        <v>773</v>
      </c>
      <c r="W81" t="s">
        <v>774</v>
      </c>
      <c r="Y81" t="s">
        <v>775</v>
      </c>
      <c r="Z81" t="s">
        <v>775</v>
      </c>
      <c r="AA81" t="s">
        <v>776</v>
      </c>
      <c r="AB81" t="s">
        <v>312</v>
      </c>
      <c r="AC81" t="s">
        <v>312</v>
      </c>
      <c r="AD81" t="s">
        <v>216</v>
      </c>
      <c r="AE81" t="s">
        <v>777</v>
      </c>
      <c r="AG81" s="8" t="s">
        <v>218</v>
      </c>
      <c r="AH81" t="s">
        <v>219</v>
      </c>
      <c r="AI81" s="9" t="s">
        <v>218</v>
      </c>
      <c r="AJ81" s="9" t="s">
        <v>218</v>
      </c>
      <c r="AK81" t="s">
        <v>767</v>
      </c>
      <c r="AL81" s="9" t="s">
        <v>218</v>
      </c>
      <c r="AM81" s="8" t="s">
        <v>221</v>
      </c>
      <c r="AN81" s="8" t="s">
        <v>221</v>
      </c>
      <c r="AO81" s="8" t="s">
        <v>222</v>
      </c>
      <c r="AP81" s="8">
        <v>0</v>
      </c>
      <c r="AQ81" s="8">
        <v>0</v>
      </c>
      <c r="AR81" s="8">
        <v>0</v>
      </c>
      <c r="AS81" s="8">
        <v>0</v>
      </c>
      <c r="AT81" s="8">
        <v>0</v>
      </c>
      <c r="AU81" s="8">
        <v>0</v>
      </c>
      <c r="AV81" s="8">
        <v>0</v>
      </c>
      <c r="AW81" s="8">
        <v>0</v>
      </c>
      <c r="AX81" s="8"/>
      <c r="AY81" s="8"/>
      <c r="BC81" t="s">
        <v>778</v>
      </c>
    </row>
    <row r="82" spans="1:55">
      <c r="A82" s="6">
        <v>45737</v>
      </c>
      <c r="B82" s="7" t="s">
        <v>779</v>
      </c>
      <c r="C82" t="s">
        <v>205</v>
      </c>
      <c r="D82" t="s">
        <v>753</v>
      </c>
      <c r="G82" t="s">
        <v>754</v>
      </c>
      <c r="H82" s="8" t="s">
        <v>208</v>
      </c>
      <c r="I82" s="8" t="s">
        <v>208</v>
      </c>
      <c r="J82" s="8" t="s">
        <v>208</v>
      </c>
      <c r="K82" s="8" t="s">
        <v>208</v>
      </c>
      <c r="L82" s="8" t="s">
        <v>208</v>
      </c>
      <c r="M82" s="8" t="s">
        <v>208</v>
      </c>
      <c r="N82" s="8" t="s">
        <v>208</v>
      </c>
      <c r="O82" s="8" t="s">
        <v>208</v>
      </c>
      <c r="Q82" t="s">
        <v>780</v>
      </c>
      <c r="R82" t="s">
        <v>781</v>
      </c>
      <c r="S82" t="s">
        <v>781</v>
      </c>
      <c r="T82" t="s">
        <v>779</v>
      </c>
      <c r="U82" t="s">
        <v>782</v>
      </c>
      <c r="V82" t="s">
        <v>773</v>
      </c>
      <c r="W82" t="s">
        <v>774</v>
      </c>
      <c r="Y82" t="s">
        <v>775</v>
      </c>
      <c r="Z82" t="s">
        <v>775</v>
      </c>
      <c r="AA82" t="s">
        <v>776</v>
      </c>
      <c r="AB82" t="s">
        <v>312</v>
      </c>
      <c r="AC82" t="s">
        <v>312</v>
      </c>
      <c r="AD82" t="s">
        <v>216</v>
      </c>
      <c r="AE82" t="s">
        <v>777</v>
      </c>
      <c r="AG82" s="8" t="s">
        <v>218</v>
      </c>
      <c r="AH82" t="s">
        <v>219</v>
      </c>
      <c r="AI82" s="9" t="s">
        <v>218</v>
      </c>
      <c r="AJ82" s="9" t="s">
        <v>218</v>
      </c>
      <c r="AK82" t="s">
        <v>783</v>
      </c>
      <c r="AL82" s="9" t="s">
        <v>218</v>
      </c>
      <c r="AM82" s="8" t="s">
        <v>221</v>
      </c>
      <c r="AN82" s="8" t="s">
        <v>221</v>
      </c>
      <c r="AO82" s="8" t="s">
        <v>222</v>
      </c>
      <c r="AP82" s="8">
        <v>0</v>
      </c>
      <c r="AQ82" s="8">
        <v>0</v>
      </c>
      <c r="AR82" s="8">
        <v>0</v>
      </c>
      <c r="AS82" s="8">
        <v>0</v>
      </c>
      <c r="AT82" s="8">
        <v>0</v>
      </c>
      <c r="AU82" s="8">
        <v>0</v>
      </c>
      <c r="AV82" s="8">
        <v>0</v>
      </c>
      <c r="AW82" s="8">
        <v>0</v>
      </c>
      <c r="AX82" s="8"/>
      <c r="AY82" s="8"/>
      <c r="BC82" t="s">
        <v>784</v>
      </c>
    </row>
    <row r="83" spans="1:55">
      <c r="A83" s="6">
        <v>45737</v>
      </c>
      <c r="B83" s="7" t="s">
        <v>785</v>
      </c>
      <c r="C83" t="s">
        <v>205</v>
      </c>
      <c r="D83" t="s">
        <v>753</v>
      </c>
      <c r="G83" t="s">
        <v>754</v>
      </c>
      <c r="H83" s="8" t="s">
        <v>208</v>
      </c>
      <c r="I83" s="8" t="s">
        <v>208</v>
      </c>
      <c r="J83" s="8" t="s">
        <v>208</v>
      </c>
      <c r="K83" s="8" t="s">
        <v>208</v>
      </c>
      <c r="L83" s="8" t="s">
        <v>208</v>
      </c>
      <c r="M83" s="8" t="s">
        <v>208</v>
      </c>
      <c r="N83" s="8" t="s">
        <v>208</v>
      </c>
      <c r="O83" s="8" t="s">
        <v>208</v>
      </c>
      <c r="Q83" t="s">
        <v>786</v>
      </c>
      <c r="R83" t="s">
        <v>787</v>
      </c>
      <c r="S83" t="s">
        <v>787</v>
      </c>
      <c r="T83" t="s">
        <v>785</v>
      </c>
      <c r="U83" t="s">
        <v>788</v>
      </c>
      <c r="V83" t="s">
        <v>773</v>
      </c>
      <c r="W83" t="s">
        <v>774</v>
      </c>
      <c r="Y83" t="s">
        <v>775</v>
      </c>
      <c r="Z83" t="s">
        <v>775</v>
      </c>
      <c r="AA83" t="s">
        <v>776</v>
      </c>
      <c r="AB83" t="s">
        <v>312</v>
      </c>
      <c r="AC83" t="s">
        <v>312</v>
      </c>
      <c r="AD83" t="s">
        <v>216</v>
      </c>
      <c r="AE83" t="s">
        <v>777</v>
      </c>
      <c r="AG83" s="8" t="s">
        <v>218</v>
      </c>
      <c r="AH83" t="s">
        <v>219</v>
      </c>
      <c r="AI83" s="9" t="s">
        <v>218</v>
      </c>
      <c r="AJ83" s="9" t="s">
        <v>218</v>
      </c>
      <c r="AK83" t="s">
        <v>789</v>
      </c>
      <c r="AL83" s="9" t="s">
        <v>218</v>
      </c>
      <c r="AM83" s="8" t="s">
        <v>221</v>
      </c>
      <c r="AN83" s="8" t="s">
        <v>221</v>
      </c>
      <c r="AO83" s="8" t="s">
        <v>222</v>
      </c>
      <c r="AP83" s="8">
        <v>0</v>
      </c>
      <c r="AQ83" s="8">
        <v>0</v>
      </c>
      <c r="AR83" s="8">
        <v>0</v>
      </c>
      <c r="AS83" s="8">
        <v>0</v>
      </c>
      <c r="AT83" s="8">
        <v>0</v>
      </c>
      <c r="AU83" s="8">
        <v>0</v>
      </c>
      <c r="AV83" s="8">
        <v>0</v>
      </c>
      <c r="AW83" s="8">
        <v>0</v>
      </c>
      <c r="AX83" s="8"/>
      <c r="AY83" s="8"/>
      <c r="BC83" t="s">
        <v>790</v>
      </c>
    </row>
    <row r="84" spans="1:55">
      <c r="A84" s="6">
        <v>45737</v>
      </c>
      <c r="B84" s="7" t="s">
        <v>791</v>
      </c>
      <c r="C84" t="s">
        <v>205</v>
      </c>
      <c r="D84" t="s">
        <v>753</v>
      </c>
      <c r="G84" t="s">
        <v>754</v>
      </c>
      <c r="H84" s="8" t="s">
        <v>208</v>
      </c>
      <c r="I84" s="8" t="s">
        <v>208</v>
      </c>
      <c r="J84" s="8" t="s">
        <v>208</v>
      </c>
      <c r="K84" s="8" t="s">
        <v>208</v>
      </c>
      <c r="L84" s="8" t="s">
        <v>208</v>
      </c>
      <c r="M84" s="8" t="s">
        <v>208</v>
      </c>
      <c r="N84" s="8" t="s">
        <v>208</v>
      </c>
      <c r="O84" s="8" t="s">
        <v>208</v>
      </c>
      <c r="Q84" t="s">
        <v>792</v>
      </c>
      <c r="R84" t="s">
        <v>793</v>
      </c>
      <c r="S84" t="s">
        <v>793</v>
      </c>
      <c r="T84" t="s">
        <v>791</v>
      </c>
      <c r="U84" t="s">
        <v>794</v>
      </c>
      <c r="V84" t="s">
        <v>773</v>
      </c>
      <c r="W84" t="s">
        <v>774</v>
      </c>
      <c r="Y84" t="s">
        <v>775</v>
      </c>
      <c r="Z84" t="s">
        <v>775</v>
      </c>
      <c r="AA84" t="s">
        <v>776</v>
      </c>
      <c r="AB84" t="s">
        <v>312</v>
      </c>
      <c r="AC84" t="s">
        <v>312</v>
      </c>
      <c r="AD84" t="s">
        <v>216</v>
      </c>
      <c r="AE84" t="s">
        <v>777</v>
      </c>
      <c r="AG84" s="8" t="s">
        <v>218</v>
      </c>
      <c r="AH84" t="s">
        <v>219</v>
      </c>
      <c r="AI84" s="9" t="s">
        <v>218</v>
      </c>
      <c r="AJ84" s="9" t="s">
        <v>218</v>
      </c>
      <c r="AK84" t="s">
        <v>789</v>
      </c>
      <c r="AL84" s="9" t="s">
        <v>218</v>
      </c>
      <c r="AM84" s="8" t="s">
        <v>221</v>
      </c>
      <c r="AN84" s="8" t="s">
        <v>221</v>
      </c>
      <c r="AO84" s="8" t="s">
        <v>222</v>
      </c>
      <c r="AP84" s="8">
        <v>0</v>
      </c>
      <c r="AQ84" s="8">
        <v>0</v>
      </c>
      <c r="AR84" s="8">
        <v>0</v>
      </c>
      <c r="AS84" s="8">
        <v>0</v>
      </c>
      <c r="AT84" s="8">
        <v>0</v>
      </c>
      <c r="AU84" s="8">
        <v>0</v>
      </c>
      <c r="AV84" s="8">
        <v>0</v>
      </c>
      <c r="AW84" s="8">
        <v>0</v>
      </c>
      <c r="AX84" s="8"/>
      <c r="AY84" s="8"/>
      <c r="BC84" t="s">
        <v>795</v>
      </c>
    </row>
    <row r="85" spans="1:55">
      <c r="A85" s="6">
        <v>45737</v>
      </c>
      <c r="B85" s="7" t="s">
        <v>796</v>
      </c>
      <c r="C85" t="s">
        <v>205</v>
      </c>
      <c r="D85" t="s">
        <v>753</v>
      </c>
      <c r="G85" t="s">
        <v>754</v>
      </c>
      <c r="H85" s="8" t="s">
        <v>208</v>
      </c>
      <c r="I85" s="8" t="s">
        <v>208</v>
      </c>
      <c r="J85" s="8" t="s">
        <v>208</v>
      </c>
      <c r="K85" s="8" t="s">
        <v>208</v>
      </c>
      <c r="L85" s="8" t="s">
        <v>208</v>
      </c>
      <c r="M85" s="8" t="s">
        <v>208</v>
      </c>
      <c r="N85" s="8" t="s">
        <v>208</v>
      </c>
      <c r="O85" s="8" t="s">
        <v>208</v>
      </c>
      <c r="Q85" t="s">
        <v>797</v>
      </c>
      <c r="R85" t="s">
        <v>798</v>
      </c>
      <c r="S85" t="s">
        <v>798</v>
      </c>
      <c r="T85" t="s">
        <v>796</v>
      </c>
      <c r="U85" t="s">
        <v>799</v>
      </c>
      <c r="V85" t="s">
        <v>800</v>
      </c>
      <c r="W85" t="s">
        <v>212</v>
      </c>
      <c r="Y85" t="s">
        <v>213</v>
      </c>
      <c r="Z85" t="s">
        <v>213</v>
      </c>
      <c r="AA85" t="s">
        <v>11</v>
      </c>
      <c r="AB85" t="s">
        <v>312</v>
      </c>
      <c r="AC85" t="s">
        <v>312</v>
      </c>
      <c r="AD85" t="s">
        <v>216</v>
      </c>
      <c r="AE85" t="s">
        <v>11</v>
      </c>
      <c r="AG85" s="8" t="s">
        <v>218</v>
      </c>
      <c r="AH85" t="s">
        <v>219</v>
      </c>
      <c r="AI85" s="9" t="s">
        <v>218</v>
      </c>
      <c r="AJ85" s="9" t="s">
        <v>218</v>
      </c>
      <c r="AK85" t="s">
        <v>767</v>
      </c>
      <c r="AL85" s="9" t="s">
        <v>218</v>
      </c>
      <c r="AM85" s="8" t="s">
        <v>221</v>
      </c>
      <c r="AN85" s="8" t="s">
        <v>221</v>
      </c>
      <c r="AO85" s="8" t="s">
        <v>222</v>
      </c>
      <c r="AP85" s="8">
        <v>0</v>
      </c>
      <c r="AQ85" s="8">
        <v>0</v>
      </c>
      <c r="AR85" s="8">
        <v>0</v>
      </c>
      <c r="AS85" s="8">
        <v>0</v>
      </c>
      <c r="AT85" s="8">
        <v>0</v>
      </c>
      <c r="AU85" s="8">
        <v>0</v>
      </c>
      <c r="AV85" s="8">
        <v>0</v>
      </c>
      <c r="AW85" s="8">
        <v>0</v>
      </c>
      <c r="AX85" s="8"/>
      <c r="AY85" s="8"/>
      <c r="BC85" t="s">
        <v>801</v>
      </c>
    </row>
    <row r="86" spans="1:55">
      <c r="A86" s="6">
        <v>45737</v>
      </c>
      <c r="B86" s="7" t="s">
        <v>802</v>
      </c>
      <c r="C86" t="s">
        <v>205</v>
      </c>
      <c r="D86" t="s">
        <v>753</v>
      </c>
      <c r="G86" t="s">
        <v>754</v>
      </c>
      <c r="H86" s="8" t="s">
        <v>208</v>
      </c>
      <c r="I86" s="8" t="s">
        <v>208</v>
      </c>
      <c r="J86" s="8" t="s">
        <v>208</v>
      </c>
      <c r="K86" s="8" t="s">
        <v>208</v>
      </c>
      <c r="L86" s="8" t="s">
        <v>208</v>
      </c>
      <c r="M86" s="8" t="s">
        <v>208</v>
      </c>
      <c r="N86" s="8" t="s">
        <v>208</v>
      </c>
      <c r="O86" s="8" t="s">
        <v>208</v>
      </c>
      <c r="Q86" t="s">
        <v>803</v>
      </c>
      <c r="R86" t="s">
        <v>804</v>
      </c>
      <c r="S86" t="s">
        <v>804</v>
      </c>
      <c r="T86" t="s">
        <v>802</v>
      </c>
      <c r="U86" t="s">
        <v>805</v>
      </c>
      <c r="V86" t="s">
        <v>14</v>
      </c>
      <c r="W86" t="s">
        <v>232</v>
      </c>
      <c r="Y86" t="s">
        <v>233</v>
      </c>
      <c r="Z86" t="s">
        <v>233</v>
      </c>
      <c r="AA86" t="s">
        <v>214</v>
      </c>
      <c r="AB86" t="s">
        <v>215</v>
      </c>
      <c r="AC86" t="s">
        <v>215</v>
      </c>
      <c r="AD86" t="s">
        <v>216</v>
      </c>
      <c r="AE86" t="s">
        <v>11</v>
      </c>
      <c r="AG86" s="8" t="s">
        <v>218</v>
      </c>
      <c r="AH86" t="s">
        <v>219</v>
      </c>
      <c r="AI86" s="9" t="s">
        <v>218</v>
      </c>
      <c r="AJ86" s="9" t="s">
        <v>218</v>
      </c>
      <c r="AK86" t="s">
        <v>234</v>
      </c>
      <c r="AL86" s="9" t="s">
        <v>218</v>
      </c>
      <c r="AM86" s="8" t="s">
        <v>221</v>
      </c>
      <c r="AN86" s="8" t="s">
        <v>221</v>
      </c>
      <c r="AO86" s="8" t="s">
        <v>222</v>
      </c>
      <c r="AP86" s="8">
        <v>0</v>
      </c>
      <c r="AQ86" s="8">
        <v>0</v>
      </c>
      <c r="AR86" s="8">
        <v>0</v>
      </c>
      <c r="AS86" s="8">
        <v>0</v>
      </c>
      <c r="AT86" s="8">
        <v>0</v>
      </c>
      <c r="AU86" s="8">
        <v>0</v>
      </c>
      <c r="AV86" s="8">
        <v>0</v>
      </c>
      <c r="AW86" s="8">
        <v>0</v>
      </c>
      <c r="AX86" s="8"/>
      <c r="AY86" s="8"/>
      <c r="AZ86">
        <v>2</v>
      </c>
      <c r="BA86" t="s">
        <v>806</v>
      </c>
      <c r="BB86" t="s">
        <v>807</v>
      </c>
      <c r="BC86" t="s">
        <v>808</v>
      </c>
    </row>
    <row r="87" spans="1:55">
      <c r="A87" s="6">
        <v>45737</v>
      </c>
      <c r="B87" s="7" t="s">
        <v>809</v>
      </c>
      <c r="C87" t="s">
        <v>205</v>
      </c>
      <c r="D87" t="s">
        <v>753</v>
      </c>
      <c r="G87" t="s">
        <v>754</v>
      </c>
      <c r="H87" s="8" t="s">
        <v>208</v>
      </c>
      <c r="I87" s="8" t="s">
        <v>208</v>
      </c>
      <c r="J87" s="8" t="s">
        <v>208</v>
      </c>
      <c r="K87" s="8" t="s">
        <v>208</v>
      </c>
      <c r="L87" s="8" t="s">
        <v>208</v>
      </c>
      <c r="M87" s="8" t="s">
        <v>208</v>
      </c>
      <c r="N87" s="8" t="s">
        <v>208</v>
      </c>
      <c r="O87" s="8" t="s">
        <v>208</v>
      </c>
      <c r="R87" t="s">
        <v>810</v>
      </c>
      <c r="S87" t="s">
        <v>810</v>
      </c>
      <c r="T87" t="s">
        <v>809</v>
      </c>
      <c r="U87" t="s">
        <v>139</v>
      </c>
      <c r="V87" t="s">
        <v>773</v>
      </c>
      <c r="W87" t="s">
        <v>232</v>
      </c>
      <c r="Y87" t="s">
        <v>765</v>
      </c>
      <c r="Z87" t="s">
        <v>765</v>
      </c>
      <c r="AA87" t="s">
        <v>11</v>
      </c>
      <c r="AB87" t="s">
        <v>242</v>
      </c>
      <c r="AC87" t="s">
        <v>242</v>
      </c>
      <c r="AD87" t="s">
        <v>216</v>
      </c>
      <c r="AE87" t="s">
        <v>11</v>
      </c>
      <c r="AG87" s="8" t="s">
        <v>218</v>
      </c>
      <c r="AH87" t="s">
        <v>219</v>
      </c>
      <c r="AI87" s="9" t="s">
        <v>218</v>
      </c>
      <c r="AJ87" s="9" t="s">
        <v>218</v>
      </c>
      <c r="AK87" t="s">
        <v>811</v>
      </c>
      <c r="AL87" s="9" t="s">
        <v>218</v>
      </c>
      <c r="AM87" s="8" t="s">
        <v>221</v>
      </c>
      <c r="AN87" s="8" t="s">
        <v>221</v>
      </c>
      <c r="AO87" s="8" t="s">
        <v>222</v>
      </c>
      <c r="AP87" s="8">
        <v>0</v>
      </c>
      <c r="AQ87" s="8">
        <v>0</v>
      </c>
      <c r="AR87" s="8">
        <v>0</v>
      </c>
      <c r="AS87" s="8">
        <v>0</v>
      </c>
      <c r="AT87" s="8">
        <v>0</v>
      </c>
      <c r="AU87" s="8">
        <v>0</v>
      </c>
      <c r="AV87" s="8">
        <v>0</v>
      </c>
      <c r="AW87" s="8">
        <v>0</v>
      </c>
      <c r="AX87" s="8"/>
      <c r="AY87" s="8"/>
      <c r="BC87" t="s">
        <v>812</v>
      </c>
    </row>
    <row r="88" spans="1:55">
      <c r="A88" s="6">
        <v>45737</v>
      </c>
      <c r="B88" s="7" t="s">
        <v>204</v>
      </c>
      <c r="C88" t="s">
        <v>205</v>
      </c>
      <c r="D88" t="s">
        <v>206</v>
      </c>
      <c r="G88" t="s">
        <v>207</v>
      </c>
      <c r="H88" s="8" t="s">
        <v>208</v>
      </c>
      <c r="I88" s="8" t="s">
        <v>208</v>
      </c>
      <c r="J88" s="8" t="s">
        <v>208</v>
      </c>
      <c r="K88" s="8" t="s">
        <v>208</v>
      </c>
      <c r="L88" s="8" t="s">
        <v>208</v>
      </c>
      <c r="M88" s="8" t="s">
        <v>208</v>
      </c>
      <c r="N88" s="8" t="s">
        <v>208</v>
      </c>
      <c r="O88" s="8" t="s">
        <v>208</v>
      </c>
      <c r="Q88" t="s">
        <v>209</v>
      </c>
      <c r="R88" t="s">
        <v>210</v>
      </c>
      <c r="S88" t="s">
        <v>210</v>
      </c>
      <c r="T88" t="s">
        <v>204</v>
      </c>
      <c r="U88" t="s">
        <v>211</v>
      </c>
      <c r="V88" t="s">
        <v>140</v>
      </c>
      <c r="W88" t="s">
        <v>212</v>
      </c>
      <c r="Y88" t="s">
        <v>213</v>
      </c>
      <c r="Z88" t="s">
        <v>213</v>
      </c>
      <c r="AA88" t="s">
        <v>214</v>
      </c>
      <c r="AB88" t="s">
        <v>215</v>
      </c>
      <c r="AC88" t="s">
        <v>215</v>
      </c>
      <c r="AD88" t="s">
        <v>216</v>
      </c>
      <c r="AE88" t="s">
        <v>217</v>
      </c>
      <c r="AG88" s="8" t="s">
        <v>218</v>
      </c>
      <c r="AH88" t="s">
        <v>219</v>
      </c>
      <c r="AI88" s="9" t="s">
        <v>218</v>
      </c>
      <c r="AJ88" s="9" t="s">
        <v>218</v>
      </c>
      <c r="AK88" t="s">
        <v>220</v>
      </c>
      <c r="AL88" s="9" t="s">
        <v>218</v>
      </c>
      <c r="AM88" s="8" t="s">
        <v>221</v>
      </c>
      <c r="AN88" s="8" t="s">
        <v>221</v>
      </c>
      <c r="AO88" s="8" t="s">
        <v>222</v>
      </c>
      <c r="AP88" s="8">
        <v>0</v>
      </c>
      <c r="AQ88" s="8">
        <v>0</v>
      </c>
      <c r="AR88" s="8">
        <v>0</v>
      </c>
      <c r="AS88" s="8">
        <v>0</v>
      </c>
      <c r="AT88" s="8">
        <v>0</v>
      </c>
      <c r="AU88" s="8">
        <v>0</v>
      </c>
      <c r="AV88" s="8">
        <v>0</v>
      </c>
      <c r="AW88" s="8">
        <v>0</v>
      </c>
      <c r="AX88" s="9" t="s">
        <v>223</v>
      </c>
      <c r="AY88" s="8"/>
      <c r="AZ88">
        <v>4</v>
      </c>
      <c r="BA88" t="s">
        <v>224</v>
      </c>
      <c r="BB88" t="s">
        <v>225</v>
      </c>
      <c r="BC88" t="s">
        <v>226</v>
      </c>
    </row>
    <row r="89" spans="1:55">
      <c r="A89" s="6">
        <v>45737</v>
      </c>
      <c r="B89" s="7" t="s">
        <v>227</v>
      </c>
      <c r="C89" t="s">
        <v>205</v>
      </c>
      <c r="D89" t="s">
        <v>228</v>
      </c>
      <c r="G89" t="s">
        <v>207</v>
      </c>
      <c r="H89" s="8" t="s">
        <v>208</v>
      </c>
      <c r="I89" s="8" t="s">
        <v>208</v>
      </c>
      <c r="J89" s="8" t="s">
        <v>208</v>
      </c>
      <c r="K89" s="8" t="s">
        <v>208</v>
      </c>
      <c r="L89" s="8" t="s">
        <v>208</v>
      </c>
      <c r="M89" s="8" t="s">
        <v>208</v>
      </c>
      <c r="N89" s="8" t="s">
        <v>208</v>
      </c>
      <c r="O89" s="8" t="s">
        <v>208</v>
      </c>
      <c r="Q89" t="s">
        <v>229</v>
      </c>
      <c r="R89" t="s">
        <v>230</v>
      </c>
      <c r="S89" t="s">
        <v>230</v>
      </c>
      <c r="T89" t="s">
        <v>227</v>
      </c>
      <c r="U89" t="s">
        <v>231</v>
      </c>
      <c r="V89" t="s">
        <v>137</v>
      </c>
      <c r="W89" t="s">
        <v>232</v>
      </c>
      <c r="Y89" t="s">
        <v>233</v>
      </c>
      <c r="Z89" t="s">
        <v>233</v>
      </c>
      <c r="AA89" t="s">
        <v>214</v>
      </c>
      <c r="AB89" t="s">
        <v>215</v>
      </c>
      <c r="AC89" t="s">
        <v>215</v>
      </c>
      <c r="AD89" t="s">
        <v>216</v>
      </c>
      <c r="AE89" t="s">
        <v>217</v>
      </c>
      <c r="AG89" s="8" t="s">
        <v>218</v>
      </c>
      <c r="AH89" t="s">
        <v>219</v>
      </c>
      <c r="AI89" s="9" t="s">
        <v>218</v>
      </c>
      <c r="AJ89" s="9" t="s">
        <v>218</v>
      </c>
      <c r="AK89" t="s">
        <v>234</v>
      </c>
      <c r="AL89" s="9" t="s">
        <v>218</v>
      </c>
      <c r="AM89" s="8" t="s">
        <v>221</v>
      </c>
      <c r="AN89" s="8" t="s">
        <v>221</v>
      </c>
      <c r="AO89" s="8" t="s">
        <v>222</v>
      </c>
      <c r="AP89" s="8">
        <v>0</v>
      </c>
      <c r="AQ89" s="8">
        <v>0</v>
      </c>
      <c r="AR89" s="8">
        <v>0</v>
      </c>
      <c r="AS89" s="8">
        <v>0</v>
      </c>
      <c r="AT89" s="8">
        <v>0</v>
      </c>
      <c r="AU89" s="8">
        <v>0</v>
      </c>
      <c r="AV89" s="8">
        <v>0</v>
      </c>
      <c r="AW89" s="8">
        <v>0</v>
      </c>
      <c r="AX89" s="8"/>
      <c r="AY89" s="8"/>
      <c r="AZ89">
        <v>4</v>
      </c>
      <c r="BA89" t="s">
        <v>235</v>
      </c>
      <c r="BB89" t="s">
        <v>236</v>
      </c>
      <c r="BC89" t="s">
        <v>237</v>
      </c>
    </row>
    <row r="90" spans="1:55">
      <c r="A90" s="6">
        <v>45737</v>
      </c>
      <c r="B90" s="7" t="s">
        <v>238</v>
      </c>
      <c r="C90" t="s">
        <v>205</v>
      </c>
      <c r="D90" t="s">
        <v>228</v>
      </c>
      <c r="G90" t="s">
        <v>207</v>
      </c>
      <c r="H90" s="8" t="s">
        <v>208</v>
      </c>
      <c r="I90" s="8" t="s">
        <v>208</v>
      </c>
      <c r="J90" s="8" t="s">
        <v>208</v>
      </c>
      <c r="K90" s="8" t="s">
        <v>208</v>
      </c>
      <c r="L90" s="8" t="s">
        <v>208</v>
      </c>
      <c r="M90" s="8" t="s">
        <v>208</v>
      </c>
      <c r="N90" s="8" t="s">
        <v>208</v>
      </c>
      <c r="O90" s="8" t="s">
        <v>208</v>
      </c>
      <c r="Q90" t="s">
        <v>239</v>
      </c>
      <c r="R90" t="s">
        <v>240</v>
      </c>
      <c r="S90" t="s">
        <v>240</v>
      </c>
      <c r="T90" t="s">
        <v>238</v>
      </c>
      <c r="U90" t="s">
        <v>241</v>
      </c>
      <c r="V90" t="s">
        <v>137</v>
      </c>
      <c r="W90" t="s">
        <v>212</v>
      </c>
      <c r="Y90" t="s">
        <v>213</v>
      </c>
      <c r="Z90" t="s">
        <v>213</v>
      </c>
      <c r="AA90" t="s">
        <v>214</v>
      </c>
      <c r="AB90" t="s">
        <v>242</v>
      </c>
      <c r="AC90" t="s">
        <v>242</v>
      </c>
      <c r="AD90" t="s">
        <v>216</v>
      </c>
      <c r="AE90" t="s">
        <v>217</v>
      </c>
      <c r="AG90" s="8" t="s">
        <v>218</v>
      </c>
      <c r="AH90" t="s">
        <v>219</v>
      </c>
      <c r="AI90" s="9" t="s">
        <v>218</v>
      </c>
      <c r="AJ90" s="9" t="s">
        <v>218</v>
      </c>
      <c r="AK90" t="s">
        <v>243</v>
      </c>
      <c r="AL90" s="9" t="s">
        <v>218</v>
      </c>
      <c r="AM90" s="8" t="s">
        <v>221</v>
      </c>
      <c r="AN90" s="8" t="s">
        <v>221</v>
      </c>
      <c r="AO90" s="8" t="s">
        <v>222</v>
      </c>
      <c r="AP90" s="8">
        <v>0</v>
      </c>
      <c r="AQ90" s="8">
        <v>0</v>
      </c>
      <c r="AR90" s="8">
        <v>0</v>
      </c>
      <c r="AS90" s="8">
        <v>0</v>
      </c>
      <c r="AT90" s="8">
        <v>0</v>
      </c>
      <c r="AU90" s="8">
        <v>0</v>
      </c>
      <c r="AV90" s="8">
        <v>0</v>
      </c>
      <c r="AW90" s="8">
        <v>0</v>
      </c>
      <c r="AX90" s="8"/>
      <c r="AY90" s="8"/>
      <c r="BC90" t="s">
        <v>244</v>
      </c>
    </row>
    <row r="91" spans="1:55">
      <c r="A91" s="6">
        <v>45737</v>
      </c>
      <c r="B91" s="7" t="s">
        <v>245</v>
      </c>
      <c r="C91" t="s">
        <v>205</v>
      </c>
      <c r="D91" t="s">
        <v>228</v>
      </c>
      <c r="G91" t="s">
        <v>207</v>
      </c>
      <c r="H91" s="8" t="s">
        <v>208</v>
      </c>
      <c r="I91" s="8" t="s">
        <v>208</v>
      </c>
      <c r="J91" s="8" t="s">
        <v>208</v>
      </c>
      <c r="K91" s="8" t="s">
        <v>208</v>
      </c>
      <c r="L91" s="8" t="s">
        <v>208</v>
      </c>
      <c r="M91" s="8" t="s">
        <v>208</v>
      </c>
      <c r="N91" s="8" t="s">
        <v>208</v>
      </c>
      <c r="O91" s="8" t="s">
        <v>208</v>
      </c>
      <c r="Q91" t="s">
        <v>246</v>
      </c>
      <c r="R91" t="s">
        <v>247</v>
      </c>
      <c r="S91" t="s">
        <v>247</v>
      </c>
      <c r="T91" t="s">
        <v>245</v>
      </c>
      <c r="U91" t="s">
        <v>248</v>
      </c>
      <c r="V91" t="s">
        <v>137</v>
      </c>
      <c r="W91" t="s">
        <v>212</v>
      </c>
      <c r="Y91" t="s">
        <v>213</v>
      </c>
      <c r="Z91" t="s">
        <v>213</v>
      </c>
      <c r="AA91" t="s">
        <v>214</v>
      </c>
      <c r="AB91" t="s">
        <v>242</v>
      </c>
      <c r="AC91" t="s">
        <v>242</v>
      </c>
      <c r="AD91" t="s">
        <v>216</v>
      </c>
      <c r="AE91" t="s">
        <v>217</v>
      </c>
      <c r="AG91" s="8" t="s">
        <v>218</v>
      </c>
      <c r="AH91" t="s">
        <v>219</v>
      </c>
      <c r="AI91" s="9" t="s">
        <v>218</v>
      </c>
      <c r="AJ91" s="9" t="s">
        <v>218</v>
      </c>
      <c r="AK91" t="s">
        <v>249</v>
      </c>
      <c r="AL91" s="9" t="s">
        <v>218</v>
      </c>
      <c r="AM91" s="8" t="s">
        <v>221</v>
      </c>
      <c r="AN91" s="8" t="s">
        <v>221</v>
      </c>
      <c r="AO91" s="8" t="s">
        <v>222</v>
      </c>
      <c r="AP91" s="8">
        <v>0</v>
      </c>
      <c r="AQ91" s="8">
        <v>0</v>
      </c>
      <c r="AR91" s="8">
        <v>0</v>
      </c>
      <c r="AS91" s="8">
        <v>0</v>
      </c>
      <c r="AT91" s="8">
        <v>0</v>
      </c>
      <c r="AU91" s="8">
        <v>0</v>
      </c>
      <c r="AV91" s="8">
        <v>0</v>
      </c>
      <c r="AW91" s="8">
        <v>0</v>
      </c>
      <c r="AX91" s="8"/>
      <c r="AY91" s="8"/>
      <c r="BC91" t="s">
        <v>250</v>
      </c>
    </row>
    <row r="92" spans="1:55">
      <c r="A92" s="6">
        <v>45737</v>
      </c>
      <c r="B92" s="7" t="s">
        <v>251</v>
      </c>
      <c r="C92" t="s">
        <v>205</v>
      </c>
      <c r="D92" t="s">
        <v>228</v>
      </c>
      <c r="G92" t="s">
        <v>207</v>
      </c>
      <c r="H92" s="8" t="s">
        <v>208</v>
      </c>
      <c r="I92" s="8" t="s">
        <v>208</v>
      </c>
      <c r="J92" s="8" t="s">
        <v>208</v>
      </c>
      <c r="K92" s="8" t="s">
        <v>208</v>
      </c>
      <c r="L92" s="8" t="s">
        <v>208</v>
      </c>
      <c r="M92" s="8" t="s">
        <v>208</v>
      </c>
      <c r="N92" s="8" t="s">
        <v>208</v>
      </c>
      <c r="O92" s="8" t="s">
        <v>208</v>
      </c>
      <c r="Q92" t="s">
        <v>252</v>
      </c>
      <c r="R92" t="s">
        <v>253</v>
      </c>
      <c r="S92" t="s">
        <v>253</v>
      </c>
      <c r="T92" t="s">
        <v>251</v>
      </c>
      <c r="U92" t="s">
        <v>254</v>
      </c>
      <c r="V92" t="s">
        <v>137</v>
      </c>
      <c r="W92" t="s">
        <v>212</v>
      </c>
      <c r="Y92" t="s">
        <v>213</v>
      </c>
      <c r="Z92" t="s">
        <v>213</v>
      </c>
      <c r="AA92" t="s">
        <v>214</v>
      </c>
      <c r="AB92" t="s">
        <v>242</v>
      </c>
      <c r="AC92" t="s">
        <v>242</v>
      </c>
      <c r="AD92" t="s">
        <v>216</v>
      </c>
      <c r="AE92" t="s">
        <v>217</v>
      </c>
      <c r="AG92" s="8" t="s">
        <v>218</v>
      </c>
      <c r="AH92" t="s">
        <v>219</v>
      </c>
      <c r="AI92" s="9" t="s">
        <v>218</v>
      </c>
      <c r="AJ92" s="9" t="s">
        <v>218</v>
      </c>
      <c r="AK92" t="s">
        <v>249</v>
      </c>
      <c r="AL92" s="9" t="s">
        <v>218</v>
      </c>
      <c r="AM92" s="8" t="s">
        <v>221</v>
      </c>
      <c r="AN92" s="8" t="s">
        <v>221</v>
      </c>
      <c r="AO92" s="8" t="s">
        <v>222</v>
      </c>
      <c r="AP92" s="8">
        <v>0</v>
      </c>
      <c r="AQ92" s="8">
        <v>0</v>
      </c>
      <c r="AR92" s="8">
        <v>0</v>
      </c>
      <c r="AS92" s="8">
        <v>0</v>
      </c>
      <c r="AT92" s="8">
        <v>0</v>
      </c>
      <c r="AU92" s="8">
        <v>0</v>
      </c>
      <c r="AV92" s="8">
        <v>0</v>
      </c>
      <c r="AW92" s="8">
        <v>0</v>
      </c>
      <c r="AX92" s="8"/>
      <c r="AY92" s="8"/>
      <c r="BC92" t="s">
        <v>255</v>
      </c>
    </row>
    <row r="93" spans="1:55">
      <c r="A93" s="6">
        <v>45737</v>
      </c>
      <c r="B93" s="7" t="s">
        <v>256</v>
      </c>
      <c r="C93" t="s">
        <v>205</v>
      </c>
      <c r="D93" t="s">
        <v>228</v>
      </c>
      <c r="G93" t="s">
        <v>207</v>
      </c>
      <c r="H93" s="8" t="s">
        <v>208</v>
      </c>
      <c r="I93" s="8" t="s">
        <v>208</v>
      </c>
      <c r="J93" s="8" t="s">
        <v>208</v>
      </c>
      <c r="K93" s="8" t="s">
        <v>208</v>
      </c>
      <c r="L93" s="8" t="s">
        <v>208</v>
      </c>
      <c r="M93" s="8" t="s">
        <v>208</v>
      </c>
      <c r="N93" s="8" t="s">
        <v>208</v>
      </c>
      <c r="O93" s="8" t="s">
        <v>208</v>
      </c>
      <c r="Q93" t="s">
        <v>257</v>
      </c>
      <c r="R93" t="s">
        <v>258</v>
      </c>
      <c r="S93" t="s">
        <v>258</v>
      </c>
      <c r="T93" t="s">
        <v>256</v>
      </c>
      <c r="U93" t="s">
        <v>259</v>
      </c>
      <c r="V93" t="s">
        <v>137</v>
      </c>
      <c r="W93" t="s">
        <v>212</v>
      </c>
      <c r="Y93" t="s">
        <v>213</v>
      </c>
      <c r="Z93" t="s">
        <v>213</v>
      </c>
      <c r="AA93" t="s">
        <v>214</v>
      </c>
      <c r="AB93" t="s">
        <v>242</v>
      </c>
      <c r="AC93" t="s">
        <v>242</v>
      </c>
      <c r="AD93" t="s">
        <v>216</v>
      </c>
      <c r="AE93" t="s">
        <v>217</v>
      </c>
      <c r="AG93" s="8" t="s">
        <v>218</v>
      </c>
      <c r="AH93" t="s">
        <v>219</v>
      </c>
      <c r="AI93" s="9" t="s">
        <v>218</v>
      </c>
      <c r="AJ93" s="9" t="s">
        <v>218</v>
      </c>
      <c r="AK93" t="s">
        <v>249</v>
      </c>
      <c r="AL93" s="9" t="s">
        <v>218</v>
      </c>
      <c r="AM93" s="8" t="s">
        <v>221</v>
      </c>
      <c r="AN93" s="8" t="s">
        <v>221</v>
      </c>
      <c r="AO93" s="8" t="s">
        <v>222</v>
      </c>
      <c r="AP93" s="8">
        <v>0</v>
      </c>
      <c r="AQ93" s="8">
        <v>0</v>
      </c>
      <c r="AR93" s="8">
        <v>0</v>
      </c>
      <c r="AS93" s="8">
        <v>0</v>
      </c>
      <c r="AT93" s="8">
        <v>0</v>
      </c>
      <c r="AU93" s="8">
        <v>0</v>
      </c>
      <c r="AV93" s="8">
        <v>0</v>
      </c>
      <c r="AW93" s="8">
        <v>0</v>
      </c>
      <c r="AX93" s="8"/>
      <c r="AY93" s="8"/>
      <c r="BC93" t="s">
        <v>260</v>
      </c>
    </row>
    <row r="94" spans="1:55">
      <c r="A94" s="6">
        <v>45737</v>
      </c>
      <c r="B94" s="7" t="s">
        <v>261</v>
      </c>
      <c r="C94" t="s">
        <v>205</v>
      </c>
      <c r="D94" t="s">
        <v>228</v>
      </c>
      <c r="G94" t="s">
        <v>207</v>
      </c>
      <c r="H94" s="8" t="s">
        <v>208</v>
      </c>
      <c r="I94" s="8" t="s">
        <v>208</v>
      </c>
      <c r="J94" s="8" t="s">
        <v>208</v>
      </c>
      <c r="K94" s="8" t="s">
        <v>208</v>
      </c>
      <c r="L94" s="8" t="s">
        <v>208</v>
      </c>
      <c r="M94" s="8" t="s">
        <v>208</v>
      </c>
      <c r="N94" s="8" t="s">
        <v>208</v>
      </c>
      <c r="O94" s="8" t="s">
        <v>208</v>
      </c>
      <c r="Q94" t="s">
        <v>262</v>
      </c>
      <c r="R94" t="s">
        <v>263</v>
      </c>
      <c r="S94" t="s">
        <v>263</v>
      </c>
      <c r="T94" t="s">
        <v>261</v>
      </c>
      <c r="U94" t="s">
        <v>264</v>
      </c>
      <c r="V94" t="s">
        <v>137</v>
      </c>
      <c r="W94" t="s">
        <v>212</v>
      </c>
      <c r="Y94" t="s">
        <v>213</v>
      </c>
      <c r="Z94" t="s">
        <v>213</v>
      </c>
      <c r="AA94" t="s">
        <v>214</v>
      </c>
      <c r="AB94" t="s">
        <v>242</v>
      </c>
      <c r="AC94" t="s">
        <v>242</v>
      </c>
      <c r="AD94" t="s">
        <v>216</v>
      </c>
      <c r="AE94" t="s">
        <v>217</v>
      </c>
      <c r="AG94" s="8" t="s">
        <v>218</v>
      </c>
      <c r="AH94" t="s">
        <v>219</v>
      </c>
      <c r="AI94" s="9" t="s">
        <v>218</v>
      </c>
      <c r="AJ94" s="9" t="s">
        <v>218</v>
      </c>
      <c r="AK94" t="s">
        <v>249</v>
      </c>
      <c r="AL94" s="9" t="s">
        <v>218</v>
      </c>
      <c r="AM94" s="8" t="s">
        <v>221</v>
      </c>
      <c r="AN94" s="8" t="s">
        <v>221</v>
      </c>
      <c r="AO94" s="8" t="s">
        <v>222</v>
      </c>
      <c r="AP94" s="8">
        <v>0</v>
      </c>
      <c r="AQ94" s="8">
        <v>0</v>
      </c>
      <c r="AR94" s="8">
        <v>0</v>
      </c>
      <c r="AS94" s="8">
        <v>0</v>
      </c>
      <c r="AT94" s="8">
        <v>0</v>
      </c>
      <c r="AU94" s="8">
        <v>0</v>
      </c>
      <c r="AV94" s="8">
        <v>0</v>
      </c>
      <c r="AW94" s="8">
        <v>0</v>
      </c>
      <c r="AX94" s="8"/>
      <c r="AY94" s="8"/>
      <c r="BC94" t="s">
        <v>265</v>
      </c>
    </row>
    <row r="95" spans="1:55">
      <c r="A95" s="6">
        <v>45737</v>
      </c>
      <c r="B95" s="7" t="s">
        <v>266</v>
      </c>
      <c r="C95" t="s">
        <v>205</v>
      </c>
      <c r="D95" t="s">
        <v>228</v>
      </c>
      <c r="G95" t="s">
        <v>207</v>
      </c>
      <c r="H95" s="8" t="s">
        <v>208</v>
      </c>
      <c r="I95" s="8" t="s">
        <v>208</v>
      </c>
      <c r="J95" s="8" t="s">
        <v>208</v>
      </c>
      <c r="K95" s="8" t="s">
        <v>208</v>
      </c>
      <c r="L95" s="8" t="s">
        <v>208</v>
      </c>
      <c r="M95" s="8" t="s">
        <v>208</v>
      </c>
      <c r="N95" s="8" t="s">
        <v>208</v>
      </c>
      <c r="O95" s="8" t="s">
        <v>208</v>
      </c>
      <c r="Q95" t="s">
        <v>267</v>
      </c>
      <c r="R95" t="s">
        <v>268</v>
      </c>
      <c r="S95" t="s">
        <v>268</v>
      </c>
      <c r="T95" t="s">
        <v>266</v>
      </c>
      <c r="U95" t="s">
        <v>269</v>
      </c>
      <c r="V95" t="s">
        <v>137</v>
      </c>
      <c r="W95" t="s">
        <v>212</v>
      </c>
      <c r="Y95" t="s">
        <v>213</v>
      </c>
      <c r="Z95" t="s">
        <v>213</v>
      </c>
      <c r="AA95" t="s">
        <v>214</v>
      </c>
      <c r="AB95" t="s">
        <v>242</v>
      </c>
      <c r="AC95" t="s">
        <v>242</v>
      </c>
      <c r="AD95" t="s">
        <v>216</v>
      </c>
      <c r="AE95" t="s">
        <v>217</v>
      </c>
      <c r="AG95" s="8" t="s">
        <v>218</v>
      </c>
      <c r="AH95" t="s">
        <v>219</v>
      </c>
      <c r="AI95" s="9" t="s">
        <v>218</v>
      </c>
      <c r="AJ95" s="9" t="s">
        <v>218</v>
      </c>
      <c r="AK95" t="s">
        <v>249</v>
      </c>
      <c r="AL95" s="9" t="s">
        <v>218</v>
      </c>
      <c r="AM95" s="8" t="s">
        <v>221</v>
      </c>
      <c r="AN95" s="8" t="s">
        <v>221</v>
      </c>
      <c r="AO95" s="8" t="s">
        <v>222</v>
      </c>
      <c r="AP95" s="8">
        <v>0</v>
      </c>
      <c r="AQ95" s="8">
        <v>0</v>
      </c>
      <c r="AR95" s="8">
        <v>0</v>
      </c>
      <c r="AS95" s="8">
        <v>0</v>
      </c>
      <c r="AT95" s="8">
        <v>0</v>
      </c>
      <c r="AU95" s="8">
        <v>0</v>
      </c>
      <c r="AV95" s="8">
        <v>0</v>
      </c>
      <c r="AW95" s="8">
        <v>0</v>
      </c>
      <c r="AX95" s="8"/>
      <c r="AY95" s="8"/>
      <c r="BC95" t="s">
        <v>270</v>
      </c>
    </row>
    <row r="96" spans="1:55">
      <c r="A96" s="6">
        <v>45737</v>
      </c>
      <c r="B96" s="7" t="s">
        <v>271</v>
      </c>
      <c r="C96" t="s">
        <v>205</v>
      </c>
      <c r="D96" t="s">
        <v>228</v>
      </c>
      <c r="G96" t="s">
        <v>207</v>
      </c>
      <c r="H96" s="8" t="s">
        <v>208</v>
      </c>
      <c r="I96" s="8" t="s">
        <v>208</v>
      </c>
      <c r="J96" s="8" t="s">
        <v>208</v>
      </c>
      <c r="K96" s="8" t="s">
        <v>208</v>
      </c>
      <c r="L96" s="8" t="s">
        <v>208</v>
      </c>
      <c r="M96" s="8" t="s">
        <v>208</v>
      </c>
      <c r="N96" s="8" t="s">
        <v>208</v>
      </c>
      <c r="O96" s="8" t="s">
        <v>208</v>
      </c>
      <c r="Q96" t="s">
        <v>272</v>
      </c>
      <c r="R96" t="s">
        <v>273</v>
      </c>
      <c r="S96" t="s">
        <v>273</v>
      </c>
      <c r="T96" t="s">
        <v>271</v>
      </c>
      <c r="U96" t="s">
        <v>274</v>
      </c>
      <c r="V96" t="s">
        <v>140</v>
      </c>
      <c r="W96" t="s">
        <v>212</v>
      </c>
      <c r="Y96" t="s">
        <v>275</v>
      </c>
      <c r="Z96" t="s">
        <v>213</v>
      </c>
      <c r="AA96" t="s">
        <v>214</v>
      </c>
      <c r="AB96" t="s">
        <v>276</v>
      </c>
      <c r="AC96" t="s">
        <v>277</v>
      </c>
      <c r="AD96" t="s">
        <v>216</v>
      </c>
      <c r="AE96" t="s">
        <v>217</v>
      </c>
      <c r="AG96" s="8" t="s">
        <v>218</v>
      </c>
      <c r="AH96" t="s">
        <v>219</v>
      </c>
      <c r="AI96" s="9" t="s">
        <v>218</v>
      </c>
      <c r="AJ96" s="9" t="s">
        <v>218</v>
      </c>
      <c r="AK96" t="s">
        <v>234</v>
      </c>
      <c r="AL96" s="8" t="s">
        <v>221</v>
      </c>
      <c r="AM96" s="9" t="s">
        <v>218</v>
      </c>
      <c r="AN96" s="8" t="s">
        <v>221</v>
      </c>
      <c r="AO96" s="8" t="s">
        <v>222</v>
      </c>
      <c r="AP96" s="8">
        <v>0</v>
      </c>
      <c r="AQ96" s="8">
        <v>0</v>
      </c>
      <c r="AR96" s="9">
        <v>46</v>
      </c>
      <c r="AS96" s="8">
        <v>0</v>
      </c>
      <c r="AT96" s="8">
        <v>0</v>
      </c>
      <c r="AU96" s="8">
        <v>0</v>
      </c>
      <c r="AV96" s="8">
        <v>0</v>
      </c>
      <c r="AW96" s="9">
        <v>46</v>
      </c>
      <c r="AX96" s="9" t="s">
        <v>278</v>
      </c>
      <c r="AY96" s="8"/>
      <c r="AZ96">
        <v>0</v>
      </c>
      <c r="BB96" t="s">
        <v>279</v>
      </c>
      <c r="BC96" t="s">
        <v>280</v>
      </c>
    </row>
    <row r="97" spans="1:55">
      <c r="A97" s="6">
        <v>45737</v>
      </c>
      <c r="B97" s="7" t="s">
        <v>281</v>
      </c>
      <c r="C97" t="s">
        <v>205</v>
      </c>
      <c r="D97" t="s">
        <v>228</v>
      </c>
      <c r="G97" t="s">
        <v>207</v>
      </c>
      <c r="H97" s="8" t="s">
        <v>208</v>
      </c>
      <c r="I97" s="8" t="s">
        <v>208</v>
      </c>
      <c r="J97" s="8" t="s">
        <v>208</v>
      </c>
      <c r="K97" s="8" t="s">
        <v>208</v>
      </c>
      <c r="L97" s="8" t="s">
        <v>208</v>
      </c>
      <c r="M97" s="8" t="s">
        <v>208</v>
      </c>
      <c r="N97" s="8" t="s">
        <v>208</v>
      </c>
      <c r="O97" s="8" t="s">
        <v>208</v>
      </c>
      <c r="Q97" t="s">
        <v>282</v>
      </c>
      <c r="R97" t="s">
        <v>283</v>
      </c>
      <c r="S97" t="s">
        <v>283</v>
      </c>
      <c r="T97" t="s">
        <v>281</v>
      </c>
      <c r="U97" t="s">
        <v>284</v>
      </c>
      <c r="V97" t="s">
        <v>140</v>
      </c>
      <c r="W97" t="s">
        <v>212</v>
      </c>
      <c r="Y97" t="s">
        <v>213</v>
      </c>
      <c r="Z97" t="s">
        <v>213</v>
      </c>
      <c r="AA97" t="s">
        <v>214</v>
      </c>
      <c r="AB97" t="s">
        <v>285</v>
      </c>
      <c r="AC97" t="s">
        <v>285</v>
      </c>
      <c r="AD97" t="s">
        <v>216</v>
      </c>
      <c r="AE97" t="s">
        <v>217</v>
      </c>
      <c r="AG97" s="8" t="s">
        <v>218</v>
      </c>
      <c r="AH97" t="s">
        <v>219</v>
      </c>
      <c r="AI97" s="9" t="s">
        <v>218</v>
      </c>
      <c r="AJ97" s="9" t="s">
        <v>218</v>
      </c>
      <c r="AK97" t="s">
        <v>234</v>
      </c>
      <c r="AL97" s="9" t="s">
        <v>218</v>
      </c>
      <c r="AM97" s="8" t="s">
        <v>221</v>
      </c>
      <c r="AN97" s="8" t="s">
        <v>221</v>
      </c>
      <c r="AO97" s="8" t="s">
        <v>222</v>
      </c>
      <c r="AP97" s="8">
        <v>0</v>
      </c>
      <c r="AQ97" s="8">
        <v>0</v>
      </c>
      <c r="AR97" s="9">
        <v>15</v>
      </c>
      <c r="AS97" s="8">
        <v>0</v>
      </c>
      <c r="AT97" s="8">
        <v>0</v>
      </c>
      <c r="AU97" s="8">
        <v>0</v>
      </c>
      <c r="AV97" s="8">
        <v>0</v>
      </c>
      <c r="AW97" s="9">
        <v>15</v>
      </c>
      <c r="AX97" s="8"/>
      <c r="AY97" s="9" t="s">
        <v>286</v>
      </c>
      <c r="AZ97">
        <v>2</v>
      </c>
      <c r="BA97" t="s">
        <v>287</v>
      </c>
      <c r="BB97" t="s">
        <v>288</v>
      </c>
      <c r="BC97" t="s">
        <v>289</v>
      </c>
    </row>
    <row r="98" spans="1:55">
      <c r="A98" s="6">
        <v>45737</v>
      </c>
      <c r="B98" s="7" t="s">
        <v>290</v>
      </c>
      <c r="C98" t="s">
        <v>291</v>
      </c>
      <c r="D98" t="s">
        <v>292</v>
      </c>
      <c r="E98" t="s">
        <v>292</v>
      </c>
      <c r="F98" t="s">
        <v>293</v>
      </c>
      <c r="G98" t="s">
        <v>294</v>
      </c>
      <c r="H98" s="8" t="s">
        <v>208</v>
      </c>
      <c r="I98" s="8" t="s">
        <v>208</v>
      </c>
      <c r="J98" s="8" t="s">
        <v>208</v>
      </c>
      <c r="K98" s="8" t="s">
        <v>208</v>
      </c>
      <c r="L98" s="8" t="s">
        <v>208</v>
      </c>
      <c r="M98" s="8" t="s">
        <v>208</v>
      </c>
      <c r="N98" s="8" t="s">
        <v>208</v>
      </c>
      <c r="O98" s="8" t="s">
        <v>208</v>
      </c>
      <c r="Q98" t="s">
        <v>295</v>
      </c>
      <c r="R98" t="s">
        <v>296</v>
      </c>
      <c r="S98" t="s">
        <v>296</v>
      </c>
      <c r="T98" t="s">
        <v>290</v>
      </c>
      <c r="U98" t="s">
        <v>297</v>
      </c>
      <c r="V98" t="s">
        <v>30</v>
      </c>
      <c r="W98" t="s">
        <v>298</v>
      </c>
      <c r="Y98" t="s">
        <v>299</v>
      </c>
      <c r="Z98" t="s">
        <v>299</v>
      </c>
      <c r="AA98" t="s">
        <v>300</v>
      </c>
      <c r="AB98" t="s">
        <v>301</v>
      </c>
      <c r="AC98" t="s">
        <v>301</v>
      </c>
      <c r="AD98" t="s">
        <v>216</v>
      </c>
      <c r="AE98" t="s">
        <v>300</v>
      </c>
      <c r="AG98" s="8" t="s">
        <v>218</v>
      </c>
      <c r="AH98" t="s">
        <v>302</v>
      </c>
      <c r="AI98" s="9" t="s">
        <v>218</v>
      </c>
      <c r="AJ98" s="9" t="s">
        <v>218</v>
      </c>
      <c r="AK98" t="s">
        <v>303</v>
      </c>
      <c r="AL98" s="9" t="s">
        <v>218</v>
      </c>
      <c r="AM98" s="8" t="s">
        <v>221</v>
      </c>
      <c r="AN98" s="8" t="s">
        <v>221</v>
      </c>
      <c r="AO98" s="8" t="s">
        <v>222</v>
      </c>
      <c r="AP98" s="8">
        <v>0</v>
      </c>
      <c r="AQ98" s="8">
        <v>0</v>
      </c>
      <c r="AR98" s="8">
        <v>0</v>
      </c>
      <c r="AS98" s="8">
        <v>0</v>
      </c>
      <c r="AT98" s="8">
        <v>0</v>
      </c>
      <c r="AU98" s="8">
        <v>0</v>
      </c>
      <c r="AV98" s="8">
        <v>0</v>
      </c>
      <c r="AW98" s="8">
        <v>0</v>
      </c>
      <c r="AX98" s="8"/>
      <c r="AY98" s="8"/>
      <c r="AZ98">
        <v>1</v>
      </c>
      <c r="BA98" t="s">
        <v>304</v>
      </c>
      <c r="BB98" t="s">
        <v>305</v>
      </c>
      <c r="BC98" t="s">
        <v>306</v>
      </c>
    </row>
    <row r="99" spans="1:55">
      <c r="A99" s="6">
        <v>45737</v>
      </c>
      <c r="B99" s="7" t="s">
        <v>307</v>
      </c>
      <c r="C99" t="s">
        <v>308</v>
      </c>
      <c r="D99" t="s">
        <v>292</v>
      </c>
      <c r="E99" t="s">
        <v>292</v>
      </c>
      <c r="F99" t="s">
        <v>293</v>
      </c>
      <c r="G99" t="s">
        <v>294</v>
      </c>
      <c r="H99" s="8" t="s">
        <v>208</v>
      </c>
      <c r="I99" s="8" t="s">
        <v>208</v>
      </c>
      <c r="J99" s="8" t="s">
        <v>208</v>
      </c>
      <c r="K99" s="8" t="s">
        <v>208</v>
      </c>
      <c r="L99" s="8" t="s">
        <v>208</v>
      </c>
      <c r="M99" s="8" t="s">
        <v>208</v>
      </c>
      <c r="N99" s="8" t="s">
        <v>208</v>
      </c>
      <c r="O99" s="8" t="s">
        <v>208</v>
      </c>
      <c r="Q99" t="s">
        <v>309</v>
      </c>
      <c r="R99" t="s">
        <v>310</v>
      </c>
      <c r="S99" t="s">
        <v>310</v>
      </c>
      <c r="T99" t="s">
        <v>307</v>
      </c>
      <c r="U99" t="s">
        <v>311</v>
      </c>
      <c r="V99" t="s">
        <v>30</v>
      </c>
      <c r="W99" t="s">
        <v>298</v>
      </c>
      <c r="Y99" t="s">
        <v>299</v>
      </c>
      <c r="Z99" t="s">
        <v>299</v>
      </c>
      <c r="AA99" t="s">
        <v>300</v>
      </c>
      <c r="AB99" t="s">
        <v>312</v>
      </c>
      <c r="AC99" t="s">
        <v>312</v>
      </c>
      <c r="AD99" t="s">
        <v>216</v>
      </c>
      <c r="AE99" t="s">
        <v>300</v>
      </c>
      <c r="AG99" s="8" t="s">
        <v>218</v>
      </c>
      <c r="AH99" t="s">
        <v>302</v>
      </c>
      <c r="AI99" s="9" t="s">
        <v>218</v>
      </c>
      <c r="AJ99" s="9" t="s">
        <v>218</v>
      </c>
      <c r="AK99" t="s">
        <v>243</v>
      </c>
      <c r="AL99" s="9" t="s">
        <v>218</v>
      </c>
      <c r="AM99" s="8" t="s">
        <v>221</v>
      </c>
      <c r="AN99" s="8" t="s">
        <v>221</v>
      </c>
      <c r="AO99" s="8" t="s">
        <v>222</v>
      </c>
      <c r="AP99" s="8">
        <v>0</v>
      </c>
      <c r="AQ99" s="8">
        <v>0</v>
      </c>
      <c r="AR99" s="8">
        <v>0</v>
      </c>
      <c r="AS99" s="8">
        <v>0</v>
      </c>
      <c r="AT99" s="8">
        <v>0</v>
      </c>
      <c r="AU99" s="8">
        <v>0</v>
      </c>
      <c r="AV99" s="8">
        <v>0</v>
      </c>
      <c r="AW99" s="8">
        <v>0</v>
      </c>
      <c r="AX99" s="8"/>
      <c r="AY99" s="8"/>
      <c r="BC99" t="s">
        <v>313</v>
      </c>
    </row>
    <row r="100" spans="1:55">
      <c r="A100" s="6">
        <v>45737</v>
      </c>
      <c r="B100" s="7" t="s">
        <v>314</v>
      </c>
      <c r="C100" t="s">
        <v>308</v>
      </c>
      <c r="D100" t="s">
        <v>292</v>
      </c>
      <c r="E100" t="s">
        <v>292</v>
      </c>
      <c r="F100" t="s">
        <v>293</v>
      </c>
      <c r="G100" t="s">
        <v>294</v>
      </c>
      <c r="H100" s="8" t="s">
        <v>208</v>
      </c>
      <c r="I100" s="8" t="s">
        <v>208</v>
      </c>
      <c r="J100" s="8" t="s">
        <v>208</v>
      </c>
      <c r="K100" s="8" t="s">
        <v>208</v>
      </c>
      <c r="L100" s="8" t="s">
        <v>208</v>
      </c>
      <c r="M100" s="8" t="s">
        <v>208</v>
      </c>
      <c r="N100" s="8" t="s">
        <v>208</v>
      </c>
      <c r="O100" s="8" t="s">
        <v>208</v>
      </c>
      <c r="Q100" t="s">
        <v>315</v>
      </c>
      <c r="R100" t="s">
        <v>316</v>
      </c>
      <c r="S100" t="s">
        <v>316</v>
      </c>
      <c r="T100" t="s">
        <v>314</v>
      </c>
      <c r="U100" t="s">
        <v>317</v>
      </c>
      <c r="V100" t="s">
        <v>30</v>
      </c>
      <c r="W100" t="s">
        <v>298</v>
      </c>
      <c r="Y100" t="s">
        <v>299</v>
      </c>
      <c r="Z100" t="s">
        <v>299</v>
      </c>
      <c r="AA100" t="s">
        <v>300</v>
      </c>
      <c r="AB100" t="s">
        <v>312</v>
      </c>
      <c r="AC100" t="s">
        <v>312</v>
      </c>
      <c r="AD100" t="s">
        <v>216</v>
      </c>
      <c r="AE100" t="s">
        <v>300</v>
      </c>
      <c r="AG100" s="8" t="s">
        <v>218</v>
      </c>
      <c r="AH100" t="s">
        <v>302</v>
      </c>
      <c r="AI100" s="9" t="s">
        <v>218</v>
      </c>
      <c r="AJ100" s="9" t="s">
        <v>218</v>
      </c>
      <c r="AK100" t="s">
        <v>318</v>
      </c>
      <c r="AL100" s="9" t="s">
        <v>218</v>
      </c>
      <c r="AM100" s="8" t="s">
        <v>221</v>
      </c>
      <c r="AN100" s="8" t="s">
        <v>221</v>
      </c>
      <c r="AO100" s="8" t="s">
        <v>222</v>
      </c>
      <c r="AP100" s="8">
        <v>0</v>
      </c>
      <c r="AQ100" s="8">
        <v>0</v>
      </c>
      <c r="AR100" s="8">
        <v>0</v>
      </c>
      <c r="AS100" s="8">
        <v>0</v>
      </c>
      <c r="AT100" s="8">
        <v>0</v>
      </c>
      <c r="AU100" s="8">
        <v>0</v>
      </c>
      <c r="AV100" s="8">
        <v>0</v>
      </c>
      <c r="AW100" s="8">
        <v>0</v>
      </c>
      <c r="AX100" s="8"/>
      <c r="AY100" s="8"/>
      <c r="BC100" t="s">
        <v>319</v>
      </c>
    </row>
    <row r="101" spans="1:55">
      <c r="A101" s="6">
        <v>45737</v>
      </c>
      <c r="B101" s="7" t="s">
        <v>320</v>
      </c>
      <c r="C101" t="s">
        <v>308</v>
      </c>
      <c r="D101" t="s">
        <v>292</v>
      </c>
      <c r="E101" t="s">
        <v>292</v>
      </c>
      <c r="F101" t="s">
        <v>293</v>
      </c>
      <c r="G101" t="s">
        <v>294</v>
      </c>
      <c r="H101" s="8" t="s">
        <v>208</v>
      </c>
      <c r="I101" s="8" t="s">
        <v>208</v>
      </c>
      <c r="J101" s="8" t="s">
        <v>208</v>
      </c>
      <c r="K101" s="8" t="s">
        <v>208</v>
      </c>
      <c r="L101" s="8" t="s">
        <v>208</v>
      </c>
      <c r="M101" s="8" t="s">
        <v>208</v>
      </c>
      <c r="N101" s="8" t="s">
        <v>208</v>
      </c>
      <c r="O101" s="8" t="s">
        <v>208</v>
      </c>
      <c r="Q101" t="s">
        <v>321</v>
      </c>
      <c r="R101" t="s">
        <v>322</v>
      </c>
      <c r="S101" t="s">
        <v>322</v>
      </c>
      <c r="T101" t="s">
        <v>320</v>
      </c>
      <c r="U101" t="s">
        <v>323</v>
      </c>
      <c r="V101" t="s">
        <v>30</v>
      </c>
      <c r="W101" t="s">
        <v>298</v>
      </c>
      <c r="Y101" t="s">
        <v>299</v>
      </c>
      <c r="Z101" t="s">
        <v>299</v>
      </c>
      <c r="AA101" t="s">
        <v>300</v>
      </c>
      <c r="AB101" t="s">
        <v>312</v>
      </c>
      <c r="AC101" t="s">
        <v>312</v>
      </c>
      <c r="AD101" t="s">
        <v>216</v>
      </c>
      <c r="AE101" t="s">
        <v>300</v>
      </c>
      <c r="AG101" s="8" t="s">
        <v>218</v>
      </c>
      <c r="AH101" t="s">
        <v>302</v>
      </c>
      <c r="AI101" s="9" t="s">
        <v>218</v>
      </c>
      <c r="AJ101" s="9" t="s">
        <v>218</v>
      </c>
      <c r="AK101" t="s">
        <v>318</v>
      </c>
      <c r="AL101" s="9" t="s">
        <v>218</v>
      </c>
      <c r="AM101" s="8" t="s">
        <v>221</v>
      </c>
      <c r="AN101" s="8" t="s">
        <v>221</v>
      </c>
      <c r="AO101" s="8" t="s">
        <v>222</v>
      </c>
      <c r="AP101" s="8">
        <v>0</v>
      </c>
      <c r="AQ101" s="8">
        <v>0</v>
      </c>
      <c r="AR101" s="8">
        <v>0</v>
      </c>
      <c r="AS101" s="8">
        <v>0</v>
      </c>
      <c r="AT101" s="8">
        <v>0</v>
      </c>
      <c r="AU101" s="8">
        <v>0</v>
      </c>
      <c r="AV101" s="8">
        <v>0</v>
      </c>
      <c r="AW101" s="8">
        <v>0</v>
      </c>
      <c r="AX101" s="8"/>
      <c r="AY101" s="8"/>
      <c r="BC101" t="s">
        <v>324</v>
      </c>
    </row>
    <row r="102" spans="1:55">
      <c r="A102" s="6">
        <v>45737</v>
      </c>
      <c r="B102" s="7" t="s">
        <v>325</v>
      </c>
      <c r="C102" t="s">
        <v>308</v>
      </c>
      <c r="D102" t="s">
        <v>292</v>
      </c>
      <c r="E102" t="s">
        <v>292</v>
      </c>
      <c r="F102" t="s">
        <v>293</v>
      </c>
      <c r="G102" t="s">
        <v>294</v>
      </c>
      <c r="H102" s="8" t="s">
        <v>208</v>
      </c>
      <c r="I102" s="8" t="s">
        <v>208</v>
      </c>
      <c r="J102" s="8" t="s">
        <v>208</v>
      </c>
      <c r="K102" s="8" t="s">
        <v>208</v>
      </c>
      <c r="L102" s="8" t="s">
        <v>208</v>
      </c>
      <c r="M102" s="8" t="s">
        <v>208</v>
      </c>
      <c r="N102" s="8" t="s">
        <v>208</v>
      </c>
      <c r="O102" s="8" t="s">
        <v>208</v>
      </c>
      <c r="Q102" t="s">
        <v>326</v>
      </c>
      <c r="R102" t="s">
        <v>327</v>
      </c>
      <c r="S102" t="s">
        <v>327</v>
      </c>
      <c r="T102" t="s">
        <v>325</v>
      </c>
      <c r="U102" t="s">
        <v>328</v>
      </c>
      <c r="V102" t="s">
        <v>30</v>
      </c>
      <c r="W102" t="s">
        <v>298</v>
      </c>
      <c r="Y102" t="s">
        <v>299</v>
      </c>
      <c r="Z102" t="s">
        <v>299</v>
      </c>
      <c r="AA102" t="s">
        <v>300</v>
      </c>
      <c r="AB102" t="s">
        <v>312</v>
      </c>
      <c r="AC102" t="s">
        <v>312</v>
      </c>
      <c r="AD102" t="s">
        <v>216</v>
      </c>
      <c r="AE102" t="s">
        <v>300</v>
      </c>
      <c r="AG102" s="8" t="s">
        <v>218</v>
      </c>
      <c r="AH102" t="s">
        <v>302</v>
      </c>
      <c r="AI102" s="9" t="s">
        <v>218</v>
      </c>
      <c r="AJ102" s="9" t="s">
        <v>218</v>
      </c>
      <c r="AK102" t="s">
        <v>329</v>
      </c>
      <c r="AL102" s="9" t="s">
        <v>218</v>
      </c>
      <c r="AM102" s="8" t="s">
        <v>221</v>
      </c>
      <c r="AN102" s="8" t="s">
        <v>221</v>
      </c>
      <c r="AO102" s="8" t="s">
        <v>222</v>
      </c>
      <c r="AP102" s="8">
        <v>0</v>
      </c>
      <c r="AQ102" s="8">
        <v>0</v>
      </c>
      <c r="AR102" s="8">
        <v>0</v>
      </c>
      <c r="AS102" s="8">
        <v>0</v>
      </c>
      <c r="AT102" s="8">
        <v>0</v>
      </c>
      <c r="AU102" s="8">
        <v>0</v>
      </c>
      <c r="AV102" s="8">
        <v>0</v>
      </c>
      <c r="AW102" s="8">
        <v>0</v>
      </c>
      <c r="AX102" s="8"/>
      <c r="AY102" s="8"/>
      <c r="BC102" t="s">
        <v>330</v>
      </c>
    </row>
    <row r="103" spans="1:55">
      <c r="A103" s="6">
        <v>45737</v>
      </c>
      <c r="B103" s="7" t="s">
        <v>331</v>
      </c>
      <c r="C103" t="s">
        <v>308</v>
      </c>
      <c r="D103" t="s">
        <v>292</v>
      </c>
      <c r="E103" t="s">
        <v>292</v>
      </c>
      <c r="F103" t="s">
        <v>293</v>
      </c>
      <c r="G103" t="s">
        <v>294</v>
      </c>
      <c r="H103" s="8" t="s">
        <v>208</v>
      </c>
      <c r="I103" s="8" t="s">
        <v>208</v>
      </c>
      <c r="J103" s="8" t="s">
        <v>208</v>
      </c>
      <c r="K103" s="8" t="s">
        <v>208</v>
      </c>
      <c r="L103" s="8" t="s">
        <v>208</v>
      </c>
      <c r="M103" s="8" t="s">
        <v>208</v>
      </c>
      <c r="N103" s="8" t="s">
        <v>208</v>
      </c>
      <c r="O103" s="8" t="s">
        <v>208</v>
      </c>
      <c r="Q103" t="s">
        <v>332</v>
      </c>
      <c r="R103" t="s">
        <v>333</v>
      </c>
      <c r="S103" t="s">
        <v>333</v>
      </c>
      <c r="T103" t="s">
        <v>331</v>
      </c>
      <c r="U103" t="s">
        <v>334</v>
      </c>
      <c r="V103" t="s">
        <v>30</v>
      </c>
      <c r="W103" t="s">
        <v>298</v>
      </c>
      <c r="Y103" t="s">
        <v>299</v>
      </c>
      <c r="Z103" t="s">
        <v>299</v>
      </c>
      <c r="AA103" t="s">
        <v>300</v>
      </c>
      <c r="AB103" t="s">
        <v>312</v>
      </c>
      <c r="AC103" t="s">
        <v>312</v>
      </c>
      <c r="AD103" t="s">
        <v>216</v>
      </c>
      <c r="AE103" t="s">
        <v>300</v>
      </c>
      <c r="AG103" s="8" t="s">
        <v>218</v>
      </c>
      <c r="AH103" t="s">
        <v>302</v>
      </c>
      <c r="AI103" s="9" t="s">
        <v>218</v>
      </c>
      <c r="AJ103" s="9" t="s">
        <v>218</v>
      </c>
      <c r="AK103" t="s">
        <v>335</v>
      </c>
      <c r="AL103" s="9" t="s">
        <v>218</v>
      </c>
      <c r="AM103" s="8" t="s">
        <v>221</v>
      </c>
      <c r="AN103" s="8" t="s">
        <v>221</v>
      </c>
      <c r="AO103" s="8" t="s">
        <v>222</v>
      </c>
      <c r="AP103" s="8">
        <v>0</v>
      </c>
      <c r="AQ103" s="8">
        <v>0</v>
      </c>
      <c r="AR103" s="8">
        <v>0</v>
      </c>
      <c r="AS103" s="8">
        <v>0</v>
      </c>
      <c r="AT103" s="8">
        <v>0</v>
      </c>
      <c r="AU103" s="8">
        <v>0</v>
      </c>
      <c r="AV103" s="8">
        <v>0</v>
      </c>
      <c r="AW103" s="8">
        <v>0</v>
      </c>
      <c r="AX103" s="8"/>
      <c r="AY103" s="8"/>
      <c r="BC103" t="s">
        <v>336</v>
      </c>
    </row>
    <row r="104" spans="1:55">
      <c r="A104" s="6">
        <v>45737</v>
      </c>
      <c r="B104" s="7" t="s">
        <v>337</v>
      </c>
      <c r="C104" t="s">
        <v>308</v>
      </c>
      <c r="D104" t="s">
        <v>292</v>
      </c>
      <c r="E104" t="s">
        <v>292</v>
      </c>
      <c r="F104" t="s">
        <v>293</v>
      </c>
      <c r="G104" t="s">
        <v>294</v>
      </c>
      <c r="H104" s="8" t="s">
        <v>208</v>
      </c>
      <c r="I104" s="8" t="s">
        <v>208</v>
      </c>
      <c r="J104" s="8" t="s">
        <v>208</v>
      </c>
      <c r="K104" s="8" t="s">
        <v>208</v>
      </c>
      <c r="L104" s="8" t="s">
        <v>208</v>
      </c>
      <c r="M104" s="8" t="s">
        <v>208</v>
      </c>
      <c r="N104" s="8" t="s">
        <v>208</v>
      </c>
      <c r="O104" s="8" t="s">
        <v>208</v>
      </c>
      <c r="Q104" t="s">
        <v>338</v>
      </c>
      <c r="R104" t="s">
        <v>339</v>
      </c>
      <c r="S104" t="s">
        <v>339</v>
      </c>
      <c r="T104" t="s">
        <v>337</v>
      </c>
      <c r="U104" t="s">
        <v>340</v>
      </c>
      <c r="V104" t="s">
        <v>30</v>
      </c>
      <c r="W104" t="s">
        <v>298</v>
      </c>
      <c r="Y104" t="s">
        <v>299</v>
      </c>
      <c r="Z104" t="s">
        <v>299</v>
      </c>
      <c r="AA104" t="s">
        <v>300</v>
      </c>
      <c r="AB104" t="s">
        <v>312</v>
      </c>
      <c r="AC104" t="s">
        <v>312</v>
      </c>
      <c r="AD104" t="s">
        <v>216</v>
      </c>
      <c r="AE104" t="s">
        <v>300</v>
      </c>
      <c r="AG104" s="8" t="s">
        <v>218</v>
      </c>
      <c r="AH104" t="s">
        <v>302</v>
      </c>
      <c r="AI104" s="9" t="s">
        <v>218</v>
      </c>
      <c r="AJ104" s="9" t="s">
        <v>218</v>
      </c>
      <c r="AK104" t="s">
        <v>249</v>
      </c>
      <c r="AL104" s="9" t="s">
        <v>218</v>
      </c>
      <c r="AM104" s="8" t="s">
        <v>221</v>
      </c>
      <c r="AN104" s="8" t="s">
        <v>221</v>
      </c>
      <c r="AO104" s="8" t="s">
        <v>222</v>
      </c>
      <c r="AP104" s="8">
        <v>0</v>
      </c>
      <c r="AQ104" s="8">
        <v>0</v>
      </c>
      <c r="AR104" s="8">
        <v>0</v>
      </c>
      <c r="AS104" s="8">
        <v>0</v>
      </c>
      <c r="AT104" s="8">
        <v>0</v>
      </c>
      <c r="AU104" s="8">
        <v>0</v>
      </c>
      <c r="AV104" s="8">
        <v>0</v>
      </c>
      <c r="AW104" s="8">
        <v>0</v>
      </c>
      <c r="AX104" s="8"/>
      <c r="AY104" s="8"/>
      <c r="BC104" t="s">
        <v>341</v>
      </c>
    </row>
    <row r="105" spans="1:55">
      <c r="A105" s="6">
        <v>45737</v>
      </c>
      <c r="B105" s="7" t="s">
        <v>342</v>
      </c>
      <c r="C105" t="s">
        <v>308</v>
      </c>
      <c r="D105" t="s">
        <v>292</v>
      </c>
      <c r="E105" t="s">
        <v>292</v>
      </c>
      <c r="F105" t="s">
        <v>293</v>
      </c>
      <c r="G105" t="s">
        <v>294</v>
      </c>
      <c r="H105" s="8" t="s">
        <v>208</v>
      </c>
      <c r="I105" s="8" t="s">
        <v>208</v>
      </c>
      <c r="J105" s="8" t="s">
        <v>208</v>
      </c>
      <c r="K105" s="8" t="s">
        <v>208</v>
      </c>
      <c r="L105" s="8" t="s">
        <v>208</v>
      </c>
      <c r="M105" s="8" t="s">
        <v>208</v>
      </c>
      <c r="N105" s="8" t="s">
        <v>208</v>
      </c>
      <c r="O105" s="8" t="s">
        <v>208</v>
      </c>
      <c r="Q105" t="s">
        <v>343</v>
      </c>
      <c r="R105" t="s">
        <v>344</v>
      </c>
      <c r="S105" t="s">
        <v>344</v>
      </c>
      <c r="T105" t="s">
        <v>342</v>
      </c>
      <c r="U105" t="s">
        <v>345</v>
      </c>
      <c r="V105" t="s">
        <v>30</v>
      </c>
      <c r="W105" t="s">
        <v>298</v>
      </c>
      <c r="Y105" t="s">
        <v>299</v>
      </c>
      <c r="Z105" t="s">
        <v>299</v>
      </c>
      <c r="AA105" t="s">
        <v>300</v>
      </c>
      <c r="AB105" t="s">
        <v>312</v>
      </c>
      <c r="AC105" t="s">
        <v>312</v>
      </c>
      <c r="AD105" t="s">
        <v>216</v>
      </c>
      <c r="AE105" t="s">
        <v>300</v>
      </c>
      <c r="AG105" s="8" t="s">
        <v>218</v>
      </c>
      <c r="AH105" t="s">
        <v>302</v>
      </c>
      <c r="AI105" s="9" t="s">
        <v>218</v>
      </c>
      <c r="AJ105" s="9" t="s">
        <v>218</v>
      </c>
      <c r="AK105" t="s">
        <v>346</v>
      </c>
      <c r="AL105" s="9" t="s">
        <v>218</v>
      </c>
      <c r="AM105" s="8" t="s">
        <v>221</v>
      </c>
      <c r="AN105" s="8" t="s">
        <v>221</v>
      </c>
      <c r="AO105" s="8" t="s">
        <v>222</v>
      </c>
      <c r="AP105" s="8">
        <v>0</v>
      </c>
      <c r="AQ105" s="8">
        <v>0</v>
      </c>
      <c r="AR105" s="8">
        <v>0</v>
      </c>
      <c r="AS105" s="8">
        <v>0</v>
      </c>
      <c r="AT105" s="8">
        <v>0</v>
      </c>
      <c r="AU105" s="8">
        <v>0</v>
      </c>
      <c r="AV105" s="8">
        <v>0</v>
      </c>
      <c r="AW105" s="8">
        <v>0</v>
      </c>
      <c r="AX105" s="8"/>
      <c r="AY105" s="8"/>
      <c r="BC105" t="s">
        <v>347</v>
      </c>
    </row>
    <row r="106" spans="1:55">
      <c r="A106" s="6">
        <v>45737</v>
      </c>
      <c r="B106" s="7" t="s">
        <v>348</v>
      </c>
      <c r="C106" t="s">
        <v>308</v>
      </c>
      <c r="D106" t="s">
        <v>292</v>
      </c>
      <c r="E106" t="s">
        <v>292</v>
      </c>
      <c r="F106" t="s">
        <v>293</v>
      </c>
      <c r="G106" t="s">
        <v>294</v>
      </c>
      <c r="H106" s="8" t="s">
        <v>208</v>
      </c>
      <c r="I106" s="8" t="s">
        <v>208</v>
      </c>
      <c r="J106" s="8" t="s">
        <v>208</v>
      </c>
      <c r="K106" s="8" t="s">
        <v>208</v>
      </c>
      <c r="L106" s="8" t="s">
        <v>208</v>
      </c>
      <c r="M106" s="8" t="s">
        <v>208</v>
      </c>
      <c r="N106" s="8" t="s">
        <v>208</v>
      </c>
      <c r="O106" s="8" t="s">
        <v>208</v>
      </c>
      <c r="Q106" t="s">
        <v>349</v>
      </c>
      <c r="R106" t="s">
        <v>350</v>
      </c>
      <c r="S106" t="s">
        <v>350</v>
      </c>
      <c r="T106" t="s">
        <v>348</v>
      </c>
      <c r="U106" t="s">
        <v>351</v>
      </c>
      <c r="V106" t="s">
        <v>30</v>
      </c>
      <c r="W106" t="s">
        <v>298</v>
      </c>
      <c r="Y106" t="s">
        <v>299</v>
      </c>
      <c r="Z106" t="s">
        <v>299</v>
      </c>
      <c r="AA106" t="s">
        <v>300</v>
      </c>
      <c r="AB106" t="s">
        <v>312</v>
      </c>
      <c r="AC106" t="s">
        <v>312</v>
      </c>
      <c r="AD106" t="s">
        <v>216</v>
      </c>
      <c r="AE106" t="s">
        <v>300</v>
      </c>
      <c r="AG106" s="8" t="s">
        <v>218</v>
      </c>
      <c r="AH106" t="s">
        <v>302</v>
      </c>
      <c r="AI106" s="9" t="s">
        <v>218</v>
      </c>
      <c r="AJ106" s="9" t="s">
        <v>218</v>
      </c>
      <c r="AK106" t="s">
        <v>352</v>
      </c>
      <c r="AL106" s="9" t="s">
        <v>218</v>
      </c>
      <c r="AM106" s="8" t="s">
        <v>221</v>
      </c>
      <c r="AN106" s="8" t="s">
        <v>221</v>
      </c>
      <c r="AO106" s="8" t="s">
        <v>222</v>
      </c>
      <c r="AP106" s="8">
        <v>0</v>
      </c>
      <c r="AQ106" s="8">
        <v>0</v>
      </c>
      <c r="AR106" s="8">
        <v>0</v>
      </c>
      <c r="AS106" s="8">
        <v>0</v>
      </c>
      <c r="AT106" s="8">
        <v>0</v>
      </c>
      <c r="AU106" s="8">
        <v>0</v>
      </c>
      <c r="AV106" s="8">
        <v>0</v>
      </c>
      <c r="AW106" s="8">
        <v>0</v>
      </c>
      <c r="AX106" s="8"/>
      <c r="AY106" s="8"/>
      <c r="BC106" t="s">
        <v>353</v>
      </c>
    </row>
    <row r="107" spans="1:55">
      <c r="A107" s="6">
        <v>45737</v>
      </c>
      <c r="B107" s="7" t="s">
        <v>354</v>
      </c>
      <c r="C107" t="s">
        <v>308</v>
      </c>
      <c r="D107" t="s">
        <v>292</v>
      </c>
      <c r="E107" t="s">
        <v>292</v>
      </c>
      <c r="F107" t="s">
        <v>293</v>
      </c>
      <c r="G107" t="s">
        <v>294</v>
      </c>
      <c r="H107" s="8" t="s">
        <v>208</v>
      </c>
      <c r="I107" s="8" t="s">
        <v>208</v>
      </c>
      <c r="J107" s="8" t="s">
        <v>208</v>
      </c>
      <c r="K107" s="8" t="s">
        <v>208</v>
      </c>
      <c r="L107" s="8" t="s">
        <v>208</v>
      </c>
      <c r="M107" s="8" t="s">
        <v>208</v>
      </c>
      <c r="N107" s="8" t="s">
        <v>208</v>
      </c>
      <c r="O107" s="8" t="s">
        <v>208</v>
      </c>
      <c r="Q107" t="s">
        <v>355</v>
      </c>
      <c r="R107" t="s">
        <v>356</v>
      </c>
      <c r="S107" t="s">
        <v>356</v>
      </c>
      <c r="T107" t="s">
        <v>354</v>
      </c>
      <c r="U107" t="s">
        <v>357</v>
      </c>
      <c r="V107" t="s">
        <v>30</v>
      </c>
      <c r="W107" t="s">
        <v>298</v>
      </c>
      <c r="Y107" t="s">
        <v>299</v>
      </c>
      <c r="Z107" t="s">
        <v>299</v>
      </c>
      <c r="AA107" t="s">
        <v>300</v>
      </c>
      <c r="AB107" t="s">
        <v>312</v>
      </c>
      <c r="AC107" t="s">
        <v>312</v>
      </c>
      <c r="AD107" t="s">
        <v>216</v>
      </c>
      <c r="AE107" t="s">
        <v>300</v>
      </c>
      <c r="AG107" s="8" t="s">
        <v>218</v>
      </c>
      <c r="AH107" t="s">
        <v>302</v>
      </c>
      <c r="AI107" s="9" t="s">
        <v>218</v>
      </c>
      <c r="AJ107" s="9" t="s">
        <v>218</v>
      </c>
      <c r="AK107" t="s">
        <v>358</v>
      </c>
      <c r="AL107" s="9" t="s">
        <v>218</v>
      </c>
      <c r="AM107" s="8" t="s">
        <v>221</v>
      </c>
      <c r="AN107" s="8" t="s">
        <v>221</v>
      </c>
      <c r="AO107" s="8" t="s">
        <v>222</v>
      </c>
      <c r="AP107" s="8">
        <v>0</v>
      </c>
      <c r="AQ107" s="8">
        <v>0</v>
      </c>
      <c r="AR107" s="8">
        <v>0</v>
      </c>
      <c r="AS107" s="8">
        <v>0</v>
      </c>
      <c r="AT107" s="8">
        <v>0</v>
      </c>
      <c r="AU107" s="8">
        <v>0</v>
      </c>
      <c r="AV107" s="8">
        <v>0</v>
      </c>
      <c r="AW107" s="8">
        <v>0</v>
      </c>
      <c r="AX107" s="8"/>
      <c r="AY107" s="8"/>
      <c r="BC107" t="s">
        <v>359</v>
      </c>
    </row>
    <row r="108" spans="1:55">
      <c r="A108" s="6">
        <v>45737</v>
      </c>
      <c r="B108" s="7" t="s">
        <v>360</v>
      </c>
      <c r="C108" t="s">
        <v>308</v>
      </c>
      <c r="D108" t="s">
        <v>292</v>
      </c>
      <c r="E108" t="s">
        <v>292</v>
      </c>
      <c r="F108" t="s">
        <v>293</v>
      </c>
      <c r="G108" t="s">
        <v>294</v>
      </c>
      <c r="H108" s="8" t="s">
        <v>208</v>
      </c>
      <c r="I108" s="8" t="s">
        <v>208</v>
      </c>
      <c r="J108" s="8" t="s">
        <v>208</v>
      </c>
      <c r="K108" s="8" t="s">
        <v>208</v>
      </c>
      <c r="L108" s="8" t="s">
        <v>208</v>
      </c>
      <c r="M108" s="8" t="s">
        <v>208</v>
      </c>
      <c r="N108" s="8" t="s">
        <v>208</v>
      </c>
      <c r="O108" s="8" t="s">
        <v>208</v>
      </c>
      <c r="Q108" t="s">
        <v>361</v>
      </c>
      <c r="R108" t="s">
        <v>362</v>
      </c>
      <c r="S108" t="s">
        <v>362</v>
      </c>
      <c r="T108" t="s">
        <v>360</v>
      </c>
      <c r="U108" t="s">
        <v>363</v>
      </c>
      <c r="V108" t="s">
        <v>30</v>
      </c>
      <c r="W108" t="s">
        <v>298</v>
      </c>
      <c r="Y108" t="s">
        <v>299</v>
      </c>
      <c r="Z108" t="s">
        <v>299</v>
      </c>
      <c r="AA108" t="s">
        <v>300</v>
      </c>
      <c r="AB108" t="s">
        <v>312</v>
      </c>
      <c r="AC108" t="s">
        <v>312</v>
      </c>
      <c r="AD108" t="s">
        <v>216</v>
      </c>
      <c r="AE108" t="s">
        <v>300</v>
      </c>
      <c r="AG108" s="8" t="s">
        <v>218</v>
      </c>
      <c r="AH108" t="s">
        <v>302</v>
      </c>
      <c r="AI108" s="9" t="s">
        <v>218</v>
      </c>
      <c r="AJ108" s="9" t="s">
        <v>218</v>
      </c>
      <c r="AK108" t="s">
        <v>364</v>
      </c>
      <c r="AL108" s="9" t="s">
        <v>218</v>
      </c>
      <c r="AM108" s="8" t="s">
        <v>221</v>
      </c>
      <c r="AN108" s="8" t="s">
        <v>221</v>
      </c>
      <c r="AO108" s="8" t="s">
        <v>222</v>
      </c>
      <c r="AP108" s="8">
        <v>0</v>
      </c>
      <c r="AQ108" s="8">
        <v>0</v>
      </c>
      <c r="AR108" s="8">
        <v>0</v>
      </c>
      <c r="AS108" s="8">
        <v>0</v>
      </c>
      <c r="AT108" s="8">
        <v>0</v>
      </c>
      <c r="AU108" s="8">
        <v>0</v>
      </c>
      <c r="AV108" s="8">
        <v>0</v>
      </c>
      <c r="AW108" s="8">
        <v>0</v>
      </c>
      <c r="AX108" s="8"/>
      <c r="AY108" s="8"/>
      <c r="BC108" t="s">
        <v>365</v>
      </c>
    </row>
    <row r="109" spans="1:55">
      <c r="A109" s="6">
        <v>45737</v>
      </c>
      <c r="B109" s="7" t="s">
        <v>366</v>
      </c>
      <c r="C109" t="s">
        <v>308</v>
      </c>
      <c r="D109" t="s">
        <v>292</v>
      </c>
      <c r="E109" t="s">
        <v>292</v>
      </c>
      <c r="F109" t="s">
        <v>293</v>
      </c>
      <c r="G109" t="s">
        <v>294</v>
      </c>
      <c r="H109" s="8" t="s">
        <v>208</v>
      </c>
      <c r="I109" s="8" t="s">
        <v>208</v>
      </c>
      <c r="J109" s="8" t="s">
        <v>208</v>
      </c>
      <c r="K109" s="8" t="s">
        <v>208</v>
      </c>
      <c r="L109" s="8" t="s">
        <v>208</v>
      </c>
      <c r="M109" s="8" t="s">
        <v>208</v>
      </c>
      <c r="N109" s="8" t="s">
        <v>208</v>
      </c>
      <c r="O109" s="8" t="s">
        <v>208</v>
      </c>
      <c r="Q109" t="s">
        <v>367</v>
      </c>
      <c r="R109" t="s">
        <v>368</v>
      </c>
      <c r="S109" t="s">
        <v>368</v>
      </c>
      <c r="T109" t="s">
        <v>366</v>
      </c>
      <c r="U109" t="s">
        <v>369</v>
      </c>
      <c r="V109" t="s">
        <v>30</v>
      </c>
      <c r="W109" t="s">
        <v>298</v>
      </c>
      <c r="Y109" t="s">
        <v>299</v>
      </c>
      <c r="Z109" t="s">
        <v>299</v>
      </c>
      <c r="AA109" t="s">
        <v>300</v>
      </c>
      <c r="AB109" t="s">
        <v>312</v>
      </c>
      <c r="AC109" t="s">
        <v>312</v>
      </c>
      <c r="AD109" t="s">
        <v>216</v>
      </c>
      <c r="AE109" t="s">
        <v>300</v>
      </c>
      <c r="AG109" s="8" t="s">
        <v>218</v>
      </c>
      <c r="AH109" t="s">
        <v>302</v>
      </c>
      <c r="AI109" s="9" t="s">
        <v>218</v>
      </c>
      <c r="AJ109" s="9" t="s">
        <v>218</v>
      </c>
      <c r="AK109" t="s">
        <v>352</v>
      </c>
      <c r="AL109" s="9" t="s">
        <v>218</v>
      </c>
      <c r="AM109" s="8" t="s">
        <v>221</v>
      </c>
      <c r="AN109" s="8" t="s">
        <v>221</v>
      </c>
      <c r="AO109" s="8" t="s">
        <v>222</v>
      </c>
      <c r="AP109" s="8">
        <v>0</v>
      </c>
      <c r="AQ109" s="8">
        <v>0</v>
      </c>
      <c r="AR109" s="8">
        <v>0</v>
      </c>
      <c r="AS109" s="8">
        <v>0</v>
      </c>
      <c r="AT109" s="8">
        <v>0</v>
      </c>
      <c r="AU109" s="8">
        <v>0</v>
      </c>
      <c r="AV109" s="8">
        <v>0</v>
      </c>
      <c r="AW109" s="8">
        <v>0</v>
      </c>
      <c r="AX109" s="8"/>
      <c r="AY109" s="8"/>
      <c r="BC109" t="s">
        <v>370</v>
      </c>
    </row>
    <row r="110" spans="1:55">
      <c r="A110" s="6">
        <v>45737</v>
      </c>
      <c r="B110" s="7" t="s">
        <v>371</v>
      </c>
      <c r="C110" t="s">
        <v>308</v>
      </c>
      <c r="D110" t="s">
        <v>292</v>
      </c>
      <c r="E110" t="s">
        <v>292</v>
      </c>
      <c r="F110" t="s">
        <v>293</v>
      </c>
      <c r="G110" t="s">
        <v>294</v>
      </c>
      <c r="H110" s="8" t="s">
        <v>208</v>
      </c>
      <c r="I110" s="8" t="s">
        <v>208</v>
      </c>
      <c r="J110" s="8" t="s">
        <v>208</v>
      </c>
      <c r="K110" s="8" t="s">
        <v>208</v>
      </c>
      <c r="L110" s="8" t="s">
        <v>208</v>
      </c>
      <c r="M110" s="8" t="s">
        <v>208</v>
      </c>
      <c r="N110" s="8" t="s">
        <v>208</v>
      </c>
      <c r="O110" s="8" t="s">
        <v>208</v>
      </c>
      <c r="Q110" t="s">
        <v>372</v>
      </c>
      <c r="R110" t="s">
        <v>373</v>
      </c>
      <c r="S110" t="s">
        <v>373</v>
      </c>
      <c r="T110" t="s">
        <v>371</v>
      </c>
      <c r="U110" t="s">
        <v>374</v>
      </c>
      <c r="V110" t="s">
        <v>30</v>
      </c>
      <c r="W110" t="s">
        <v>298</v>
      </c>
      <c r="Y110" t="s">
        <v>299</v>
      </c>
      <c r="Z110" t="s">
        <v>299</v>
      </c>
      <c r="AA110" t="s">
        <v>300</v>
      </c>
      <c r="AB110" t="s">
        <v>312</v>
      </c>
      <c r="AC110" t="s">
        <v>312</v>
      </c>
      <c r="AD110" t="s">
        <v>216</v>
      </c>
      <c r="AE110" t="s">
        <v>300</v>
      </c>
      <c r="AG110" s="8" t="s">
        <v>218</v>
      </c>
      <c r="AH110" t="s">
        <v>302</v>
      </c>
      <c r="AI110" s="9" t="s">
        <v>218</v>
      </c>
      <c r="AJ110" s="9" t="s">
        <v>218</v>
      </c>
      <c r="AK110" t="s">
        <v>329</v>
      </c>
      <c r="AL110" s="9" t="s">
        <v>218</v>
      </c>
      <c r="AM110" s="8" t="s">
        <v>221</v>
      </c>
      <c r="AN110" s="8" t="s">
        <v>221</v>
      </c>
      <c r="AO110" s="8" t="s">
        <v>222</v>
      </c>
      <c r="AP110" s="8">
        <v>0</v>
      </c>
      <c r="AQ110" s="8">
        <v>0</v>
      </c>
      <c r="AR110" s="8">
        <v>0</v>
      </c>
      <c r="AS110" s="8">
        <v>0</v>
      </c>
      <c r="AT110" s="8">
        <v>0</v>
      </c>
      <c r="AU110" s="8">
        <v>0</v>
      </c>
      <c r="AV110" s="8">
        <v>0</v>
      </c>
      <c r="AW110" s="8">
        <v>0</v>
      </c>
      <c r="AX110" s="8"/>
      <c r="AY110" s="8"/>
      <c r="BC110" t="s">
        <v>375</v>
      </c>
    </row>
    <row r="111" spans="1:55">
      <c r="A111" s="6">
        <v>45737</v>
      </c>
      <c r="B111" s="7" t="s">
        <v>376</v>
      </c>
      <c r="C111" t="s">
        <v>308</v>
      </c>
      <c r="D111" t="s">
        <v>292</v>
      </c>
      <c r="E111" t="s">
        <v>292</v>
      </c>
      <c r="F111" t="s">
        <v>293</v>
      </c>
      <c r="G111" t="s">
        <v>294</v>
      </c>
      <c r="H111" s="8" t="s">
        <v>208</v>
      </c>
      <c r="I111" s="8" t="s">
        <v>208</v>
      </c>
      <c r="J111" s="8" t="s">
        <v>208</v>
      </c>
      <c r="K111" s="8" t="s">
        <v>208</v>
      </c>
      <c r="L111" s="8" t="s">
        <v>208</v>
      </c>
      <c r="M111" s="8" t="s">
        <v>208</v>
      </c>
      <c r="N111" s="8" t="s">
        <v>208</v>
      </c>
      <c r="O111" s="8" t="s">
        <v>208</v>
      </c>
      <c r="Q111" t="s">
        <v>377</v>
      </c>
      <c r="R111" t="s">
        <v>378</v>
      </c>
      <c r="S111" t="s">
        <v>378</v>
      </c>
      <c r="T111" t="s">
        <v>376</v>
      </c>
      <c r="U111" t="s">
        <v>379</v>
      </c>
      <c r="V111" t="s">
        <v>30</v>
      </c>
      <c r="W111" t="s">
        <v>298</v>
      </c>
      <c r="Y111" t="s">
        <v>299</v>
      </c>
      <c r="Z111" t="s">
        <v>299</v>
      </c>
      <c r="AA111" t="s">
        <v>300</v>
      </c>
      <c r="AB111" t="s">
        <v>312</v>
      </c>
      <c r="AC111" t="s">
        <v>312</v>
      </c>
      <c r="AD111" t="s">
        <v>216</v>
      </c>
      <c r="AE111" t="s">
        <v>300</v>
      </c>
      <c r="AG111" s="8" t="s">
        <v>218</v>
      </c>
      <c r="AH111" t="s">
        <v>302</v>
      </c>
      <c r="AI111" s="9" t="s">
        <v>218</v>
      </c>
      <c r="AJ111" s="9" t="s">
        <v>218</v>
      </c>
      <c r="AK111" t="s">
        <v>329</v>
      </c>
      <c r="AL111" s="9" t="s">
        <v>218</v>
      </c>
      <c r="AM111" s="8" t="s">
        <v>221</v>
      </c>
      <c r="AN111" s="8" t="s">
        <v>221</v>
      </c>
      <c r="AO111" s="8" t="s">
        <v>222</v>
      </c>
      <c r="AP111" s="8">
        <v>0</v>
      </c>
      <c r="AQ111" s="8">
        <v>0</v>
      </c>
      <c r="AR111" s="8">
        <v>0</v>
      </c>
      <c r="AS111" s="8">
        <v>0</v>
      </c>
      <c r="AT111" s="8">
        <v>0</v>
      </c>
      <c r="AU111" s="8">
        <v>0</v>
      </c>
      <c r="AV111" s="8">
        <v>0</v>
      </c>
      <c r="AW111" s="8">
        <v>0</v>
      </c>
      <c r="AX111" s="8"/>
      <c r="AY111" s="8"/>
      <c r="BC111" t="s">
        <v>380</v>
      </c>
    </row>
    <row r="112" spans="1:55">
      <c r="A112" s="6">
        <v>45737</v>
      </c>
      <c r="B112" s="7" t="s">
        <v>381</v>
      </c>
      <c r="C112" t="s">
        <v>308</v>
      </c>
      <c r="D112" t="s">
        <v>292</v>
      </c>
      <c r="E112" t="s">
        <v>292</v>
      </c>
      <c r="F112" t="s">
        <v>293</v>
      </c>
      <c r="G112" t="s">
        <v>294</v>
      </c>
      <c r="H112" s="8" t="s">
        <v>208</v>
      </c>
      <c r="I112" s="8" t="s">
        <v>208</v>
      </c>
      <c r="J112" s="8" t="s">
        <v>208</v>
      </c>
      <c r="K112" s="8" t="s">
        <v>208</v>
      </c>
      <c r="L112" s="8" t="s">
        <v>208</v>
      </c>
      <c r="M112" s="8" t="s">
        <v>208</v>
      </c>
      <c r="N112" s="8" t="s">
        <v>208</v>
      </c>
      <c r="O112" s="8" t="s">
        <v>208</v>
      </c>
      <c r="Q112" t="s">
        <v>382</v>
      </c>
      <c r="R112" t="s">
        <v>383</v>
      </c>
      <c r="S112" t="s">
        <v>383</v>
      </c>
      <c r="T112" t="s">
        <v>381</v>
      </c>
      <c r="U112" t="s">
        <v>384</v>
      </c>
      <c r="V112" t="s">
        <v>30</v>
      </c>
      <c r="W112" t="s">
        <v>298</v>
      </c>
      <c r="Y112" t="s">
        <v>299</v>
      </c>
      <c r="Z112" t="s">
        <v>299</v>
      </c>
      <c r="AA112" t="s">
        <v>300</v>
      </c>
      <c r="AB112" t="s">
        <v>312</v>
      </c>
      <c r="AC112" t="s">
        <v>312</v>
      </c>
      <c r="AD112" t="s">
        <v>216</v>
      </c>
      <c r="AE112" t="s">
        <v>300</v>
      </c>
      <c r="AG112" s="8" t="s">
        <v>218</v>
      </c>
      <c r="AH112" t="s">
        <v>302</v>
      </c>
      <c r="AI112" s="9" t="s">
        <v>218</v>
      </c>
      <c r="AJ112" s="9" t="s">
        <v>218</v>
      </c>
      <c r="AK112" t="s">
        <v>352</v>
      </c>
      <c r="AL112" s="9" t="s">
        <v>218</v>
      </c>
      <c r="AM112" s="8" t="s">
        <v>221</v>
      </c>
      <c r="AN112" s="8" t="s">
        <v>221</v>
      </c>
      <c r="AO112" s="8" t="s">
        <v>222</v>
      </c>
      <c r="AP112" s="8">
        <v>0</v>
      </c>
      <c r="AQ112" s="8">
        <v>0</v>
      </c>
      <c r="AR112" s="8">
        <v>0</v>
      </c>
      <c r="AS112" s="8">
        <v>0</v>
      </c>
      <c r="AT112" s="8">
        <v>0</v>
      </c>
      <c r="AU112" s="8">
        <v>0</v>
      </c>
      <c r="AV112" s="8">
        <v>0</v>
      </c>
      <c r="AW112" s="8">
        <v>0</v>
      </c>
      <c r="AX112" s="8"/>
      <c r="AY112" s="8"/>
      <c r="BC112" t="s">
        <v>385</v>
      </c>
    </row>
    <row r="113" spans="1:55">
      <c r="A113" s="6">
        <v>45737</v>
      </c>
      <c r="B113" s="7" t="s">
        <v>386</v>
      </c>
      <c r="C113" t="s">
        <v>387</v>
      </c>
      <c r="D113" t="s">
        <v>292</v>
      </c>
      <c r="E113" t="s">
        <v>292</v>
      </c>
      <c r="F113" t="s">
        <v>293</v>
      </c>
      <c r="G113" t="s">
        <v>294</v>
      </c>
      <c r="H113" s="8" t="s">
        <v>208</v>
      </c>
      <c r="I113" s="8" t="s">
        <v>208</v>
      </c>
      <c r="J113" s="8" t="s">
        <v>208</v>
      </c>
      <c r="K113" s="8" t="s">
        <v>208</v>
      </c>
      <c r="L113" s="8" t="s">
        <v>208</v>
      </c>
      <c r="M113" s="8" t="s">
        <v>208</v>
      </c>
      <c r="N113" s="8" t="s">
        <v>208</v>
      </c>
      <c r="O113" s="8" t="s">
        <v>208</v>
      </c>
      <c r="Q113" t="s">
        <v>388</v>
      </c>
      <c r="R113" t="s">
        <v>389</v>
      </c>
      <c r="S113" t="s">
        <v>389</v>
      </c>
      <c r="T113" t="s">
        <v>386</v>
      </c>
      <c r="U113" t="s">
        <v>390</v>
      </c>
      <c r="V113" t="s">
        <v>30</v>
      </c>
      <c r="W113" t="s">
        <v>298</v>
      </c>
      <c r="Y113" t="s">
        <v>299</v>
      </c>
      <c r="Z113" t="s">
        <v>299</v>
      </c>
      <c r="AA113" t="s">
        <v>300</v>
      </c>
      <c r="AB113" t="s">
        <v>391</v>
      </c>
      <c r="AC113" t="s">
        <v>391</v>
      </c>
      <c r="AD113" t="s">
        <v>216</v>
      </c>
      <c r="AE113" t="s">
        <v>300</v>
      </c>
      <c r="AG113" s="8" t="s">
        <v>218</v>
      </c>
      <c r="AH113" t="s">
        <v>302</v>
      </c>
      <c r="AI113" s="9" t="s">
        <v>218</v>
      </c>
      <c r="AJ113" s="9" t="s">
        <v>218</v>
      </c>
      <c r="AK113" t="s">
        <v>392</v>
      </c>
      <c r="AL113" s="9" t="s">
        <v>218</v>
      </c>
      <c r="AM113" s="8" t="s">
        <v>221</v>
      </c>
      <c r="AN113" s="8" t="s">
        <v>221</v>
      </c>
      <c r="AO113" s="8" t="s">
        <v>222</v>
      </c>
      <c r="AP113" s="8">
        <v>0</v>
      </c>
      <c r="AQ113" s="8">
        <v>0</v>
      </c>
      <c r="AR113" s="9">
        <v>10</v>
      </c>
      <c r="AS113" s="8">
        <v>0</v>
      </c>
      <c r="AT113" s="8">
        <v>0</v>
      </c>
      <c r="AU113" s="8">
        <v>0</v>
      </c>
      <c r="AV113" s="8">
        <v>0</v>
      </c>
      <c r="AW113" s="9">
        <v>10</v>
      </c>
      <c r="AX113" s="8"/>
      <c r="AY113" s="8"/>
      <c r="AZ113">
        <v>1</v>
      </c>
      <c r="BA113" t="s">
        <v>304</v>
      </c>
      <c r="BB113" t="s">
        <v>393</v>
      </c>
      <c r="BC113" t="s">
        <v>394</v>
      </c>
    </row>
    <row r="114" spans="1:55">
      <c r="A114" s="6">
        <v>45737</v>
      </c>
      <c r="B114" s="7" t="s">
        <v>395</v>
      </c>
      <c r="C114" t="s">
        <v>387</v>
      </c>
      <c r="D114" t="s">
        <v>292</v>
      </c>
      <c r="E114" t="s">
        <v>292</v>
      </c>
      <c r="F114" t="s">
        <v>293</v>
      </c>
      <c r="G114" t="s">
        <v>294</v>
      </c>
      <c r="H114" s="8" t="s">
        <v>208</v>
      </c>
      <c r="I114" s="8" t="s">
        <v>208</v>
      </c>
      <c r="J114" s="8" t="s">
        <v>208</v>
      </c>
      <c r="K114" s="8" t="s">
        <v>208</v>
      </c>
      <c r="L114" s="8" t="s">
        <v>208</v>
      </c>
      <c r="M114" s="8" t="s">
        <v>208</v>
      </c>
      <c r="N114" s="8" t="s">
        <v>208</v>
      </c>
      <c r="O114" s="8" t="s">
        <v>208</v>
      </c>
      <c r="Q114" t="s">
        <v>396</v>
      </c>
      <c r="R114" t="s">
        <v>397</v>
      </c>
      <c r="S114" t="s">
        <v>397</v>
      </c>
      <c r="T114" t="s">
        <v>395</v>
      </c>
      <c r="U114" t="s">
        <v>398</v>
      </c>
      <c r="V114" t="s">
        <v>30</v>
      </c>
      <c r="W114" t="s">
        <v>298</v>
      </c>
      <c r="Y114" t="s">
        <v>299</v>
      </c>
      <c r="Z114" t="s">
        <v>299</v>
      </c>
      <c r="AA114" t="s">
        <v>300</v>
      </c>
      <c r="AB114" t="s">
        <v>399</v>
      </c>
      <c r="AC114" t="s">
        <v>399</v>
      </c>
      <c r="AD114" t="s">
        <v>216</v>
      </c>
      <c r="AE114" t="s">
        <v>300</v>
      </c>
      <c r="AG114" s="8" t="s">
        <v>218</v>
      </c>
      <c r="AH114" t="s">
        <v>302</v>
      </c>
      <c r="AI114" s="9" t="s">
        <v>218</v>
      </c>
      <c r="AJ114" s="9" t="s">
        <v>218</v>
      </c>
      <c r="AK114" t="s">
        <v>400</v>
      </c>
      <c r="AL114" s="9" t="s">
        <v>218</v>
      </c>
      <c r="AM114" s="8" t="s">
        <v>221</v>
      </c>
      <c r="AN114" s="8" t="s">
        <v>221</v>
      </c>
      <c r="AO114" s="8" t="s">
        <v>222</v>
      </c>
      <c r="AP114" s="8">
        <v>0</v>
      </c>
      <c r="AQ114" s="8">
        <v>0</v>
      </c>
      <c r="AR114" s="8">
        <v>0</v>
      </c>
      <c r="AS114" s="8">
        <v>0</v>
      </c>
      <c r="AT114" s="8">
        <v>0</v>
      </c>
      <c r="AU114" s="8">
        <v>0</v>
      </c>
      <c r="AV114" s="8">
        <v>0</v>
      </c>
      <c r="AW114" s="8">
        <v>0</v>
      </c>
      <c r="AX114" s="8"/>
      <c r="AY114" s="8"/>
      <c r="AZ114">
        <v>4</v>
      </c>
      <c r="BA114" t="s">
        <v>401</v>
      </c>
      <c r="BB114" t="s">
        <v>402</v>
      </c>
      <c r="BC114" t="s">
        <v>403</v>
      </c>
    </row>
    <row r="115" spans="1:55">
      <c r="A115" s="6">
        <v>45737</v>
      </c>
      <c r="B115" s="7" t="s">
        <v>404</v>
      </c>
      <c r="C115" t="s">
        <v>387</v>
      </c>
      <c r="D115" t="s">
        <v>292</v>
      </c>
      <c r="E115" t="s">
        <v>292</v>
      </c>
      <c r="F115" t="s">
        <v>293</v>
      </c>
      <c r="G115" t="s">
        <v>294</v>
      </c>
      <c r="H115" s="8" t="s">
        <v>208</v>
      </c>
      <c r="I115" s="8" t="s">
        <v>208</v>
      </c>
      <c r="J115" s="8" t="s">
        <v>208</v>
      </c>
      <c r="K115" s="8" t="s">
        <v>208</v>
      </c>
      <c r="L115" s="8" t="s">
        <v>208</v>
      </c>
      <c r="M115" s="8" t="s">
        <v>208</v>
      </c>
      <c r="N115" s="8" t="s">
        <v>208</v>
      </c>
      <c r="O115" s="8" t="s">
        <v>208</v>
      </c>
      <c r="Q115" t="s">
        <v>405</v>
      </c>
      <c r="R115" t="s">
        <v>406</v>
      </c>
      <c r="S115" t="s">
        <v>406</v>
      </c>
      <c r="T115" t="s">
        <v>404</v>
      </c>
      <c r="U115" t="s">
        <v>407</v>
      </c>
      <c r="V115" t="s">
        <v>30</v>
      </c>
      <c r="W115" t="s">
        <v>298</v>
      </c>
      <c r="Y115" t="s">
        <v>299</v>
      </c>
      <c r="Z115" t="s">
        <v>299</v>
      </c>
      <c r="AA115" t="s">
        <v>300</v>
      </c>
      <c r="AB115" t="s">
        <v>408</v>
      </c>
      <c r="AC115" t="s">
        <v>408</v>
      </c>
      <c r="AD115" t="s">
        <v>216</v>
      </c>
      <c r="AE115" t="s">
        <v>300</v>
      </c>
      <c r="AG115" s="8" t="s">
        <v>218</v>
      </c>
      <c r="AH115" t="s">
        <v>302</v>
      </c>
      <c r="AI115" s="9" t="s">
        <v>218</v>
      </c>
      <c r="AJ115" s="9" t="s">
        <v>218</v>
      </c>
      <c r="AK115" t="s">
        <v>409</v>
      </c>
      <c r="AL115" s="9" t="s">
        <v>218</v>
      </c>
      <c r="AM115" s="8" t="s">
        <v>221</v>
      </c>
      <c r="AN115" s="8" t="s">
        <v>221</v>
      </c>
      <c r="AO115" s="8" t="s">
        <v>222</v>
      </c>
      <c r="AP115" s="8">
        <v>0</v>
      </c>
      <c r="AQ115" s="8">
        <v>0</v>
      </c>
      <c r="AR115" s="9">
        <v>11</v>
      </c>
      <c r="AS115" s="8">
        <v>0</v>
      </c>
      <c r="AT115" s="8">
        <v>0</v>
      </c>
      <c r="AU115" s="8">
        <v>0</v>
      </c>
      <c r="AV115" s="8">
        <v>0</v>
      </c>
      <c r="AW115" s="9">
        <v>11</v>
      </c>
      <c r="AX115" s="8"/>
      <c r="AY115" s="8"/>
      <c r="AZ115">
        <v>3</v>
      </c>
      <c r="BA115" t="s">
        <v>410</v>
      </c>
      <c r="BB115" t="s">
        <v>411</v>
      </c>
      <c r="BC115" t="s">
        <v>412</v>
      </c>
    </row>
    <row r="116" spans="1:55">
      <c r="A116" s="6">
        <v>45737</v>
      </c>
      <c r="B116" s="7" t="s">
        <v>413</v>
      </c>
      <c r="C116" t="s">
        <v>387</v>
      </c>
      <c r="D116" t="s">
        <v>292</v>
      </c>
      <c r="E116" t="s">
        <v>292</v>
      </c>
      <c r="F116" t="s">
        <v>293</v>
      </c>
      <c r="G116" t="s">
        <v>294</v>
      </c>
      <c r="H116" s="8" t="s">
        <v>208</v>
      </c>
      <c r="I116" s="8" t="s">
        <v>208</v>
      </c>
      <c r="J116" s="8" t="s">
        <v>208</v>
      </c>
      <c r="K116" s="8" t="s">
        <v>208</v>
      </c>
      <c r="L116" s="8" t="s">
        <v>208</v>
      </c>
      <c r="M116" s="8" t="s">
        <v>208</v>
      </c>
      <c r="N116" s="8" t="s">
        <v>208</v>
      </c>
      <c r="O116" s="8" t="s">
        <v>208</v>
      </c>
      <c r="Q116" t="s">
        <v>414</v>
      </c>
      <c r="R116" t="s">
        <v>415</v>
      </c>
      <c r="S116" t="s">
        <v>415</v>
      </c>
      <c r="T116" t="s">
        <v>413</v>
      </c>
      <c r="U116" t="s">
        <v>416</v>
      </c>
      <c r="V116" t="s">
        <v>30</v>
      </c>
      <c r="W116" t="s">
        <v>298</v>
      </c>
      <c r="Y116" t="s">
        <v>299</v>
      </c>
      <c r="Z116" t="s">
        <v>299</v>
      </c>
      <c r="AA116" t="s">
        <v>300</v>
      </c>
      <c r="AB116" t="s">
        <v>417</v>
      </c>
      <c r="AC116" t="s">
        <v>417</v>
      </c>
      <c r="AD116" t="s">
        <v>216</v>
      </c>
      <c r="AE116" t="s">
        <v>300</v>
      </c>
      <c r="AG116" s="8" t="s">
        <v>218</v>
      </c>
      <c r="AH116" t="s">
        <v>302</v>
      </c>
      <c r="AI116" s="9" t="s">
        <v>218</v>
      </c>
      <c r="AJ116" s="9" t="s">
        <v>218</v>
      </c>
      <c r="AK116" t="s">
        <v>400</v>
      </c>
      <c r="AL116" s="9" t="s">
        <v>218</v>
      </c>
      <c r="AM116" s="8" t="s">
        <v>221</v>
      </c>
      <c r="AN116" s="8" t="s">
        <v>221</v>
      </c>
      <c r="AO116" s="8" t="s">
        <v>222</v>
      </c>
      <c r="AP116" s="8">
        <v>0</v>
      </c>
      <c r="AQ116" s="8">
        <v>0</v>
      </c>
      <c r="AR116" s="8">
        <v>0</v>
      </c>
      <c r="AS116" s="8">
        <v>0</v>
      </c>
      <c r="AT116" s="8">
        <v>0</v>
      </c>
      <c r="AU116" s="8">
        <v>0</v>
      </c>
      <c r="AV116" s="8">
        <v>0</v>
      </c>
      <c r="AW116" s="8">
        <v>0</v>
      </c>
      <c r="AX116" s="8"/>
      <c r="AY116" s="8"/>
      <c r="AZ116">
        <v>1</v>
      </c>
      <c r="BA116" t="s">
        <v>418</v>
      </c>
      <c r="BB116" t="s">
        <v>419</v>
      </c>
      <c r="BC116" t="s">
        <v>420</v>
      </c>
    </row>
    <row r="117" spans="1:55">
      <c r="A117" s="6">
        <v>45737</v>
      </c>
      <c r="B117" s="7" t="s">
        <v>421</v>
      </c>
      <c r="C117" t="s">
        <v>387</v>
      </c>
      <c r="D117" t="s">
        <v>292</v>
      </c>
      <c r="E117" t="s">
        <v>292</v>
      </c>
      <c r="F117" t="s">
        <v>293</v>
      </c>
      <c r="G117" t="s">
        <v>294</v>
      </c>
      <c r="H117" s="8" t="s">
        <v>208</v>
      </c>
      <c r="I117" s="8" t="s">
        <v>208</v>
      </c>
      <c r="J117" s="8" t="s">
        <v>208</v>
      </c>
      <c r="K117" s="8" t="s">
        <v>208</v>
      </c>
      <c r="L117" s="8" t="s">
        <v>208</v>
      </c>
      <c r="M117" s="8" t="s">
        <v>208</v>
      </c>
      <c r="N117" s="8" t="s">
        <v>208</v>
      </c>
      <c r="O117" s="8" t="s">
        <v>208</v>
      </c>
      <c r="Q117" t="s">
        <v>422</v>
      </c>
      <c r="R117" t="s">
        <v>423</v>
      </c>
      <c r="S117" t="s">
        <v>423</v>
      </c>
      <c r="T117" t="s">
        <v>421</v>
      </c>
      <c r="U117" t="s">
        <v>424</v>
      </c>
      <c r="V117" t="s">
        <v>30</v>
      </c>
      <c r="W117" t="s">
        <v>298</v>
      </c>
      <c r="Y117" t="s">
        <v>299</v>
      </c>
      <c r="Z117" t="s">
        <v>299</v>
      </c>
      <c r="AA117" t="s">
        <v>300</v>
      </c>
      <c r="AB117" t="s">
        <v>425</v>
      </c>
      <c r="AC117" t="s">
        <v>425</v>
      </c>
      <c r="AD117" t="s">
        <v>216</v>
      </c>
      <c r="AE117" t="s">
        <v>300</v>
      </c>
      <c r="AG117" s="8" t="s">
        <v>218</v>
      </c>
      <c r="AH117" t="s">
        <v>302</v>
      </c>
      <c r="AI117" s="9" t="s">
        <v>218</v>
      </c>
      <c r="AJ117" s="9" t="s">
        <v>218</v>
      </c>
      <c r="AK117" t="s">
        <v>400</v>
      </c>
      <c r="AL117" s="9" t="s">
        <v>218</v>
      </c>
      <c r="AM117" s="8" t="s">
        <v>221</v>
      </c>
      <c r="AN117" s="8" t="s">
        <v>221</v>
      </c>
      <c r="AO117" s="8" t="s">
        <v>222</v>
      </c>
      <c r="AP117" s="8">
        <v>0</v>
      </c>
      <c r="AQ117" s="8">
        <v>0</v>
      </c>
      <c r="AR117" s="8">
        <v>0</v>
      </c>
      <c r="AS117" s="8">
        <v>0</v>
      </c>
      <c r="AT117" s="8">
        <v>0</v>
      </c>
      <c r="AU117" s="8">
        <v>0</v>
      </c>
      <c r="AV117" s="8">
        <v>0</v>
      </c>
      <c r="AW117" s="8">
        <v>0</v>
      </c>
      <c r="AX117" s="8"/>
      <c r="AY117" s="8"/>
      <c r="AZ117">
        <v>1</v>
      </c>
      <c r="BA117" t="s">
        <v>304</v>
      </c>
      <c r="BB117" t="s">
        <v>426</v>
      </c>
      <c r="BC117" t="s">
        <v>427</v>
      </c>
    </row>
    <row r="118" spans="1:55">
      <c r="A118" s="6">
        <v>45737</v>
      </c>
      <c r="B118" s="7" t="s">
        <v>428</v>
      </c>
      <c r="C118" t="s">
        <v>387</v>
      </c>
      <c r="D118" t="s">
        <v>292</v>
      </c>
      <c r="E118" t="s">
        <v>292</v>
      </c>
      <c r="F118" t="s">
        <v>293</v>
      </c>
      <c r="G118" t="s">
        <v>294</v>
      </c>
      <c r="H118" s="8" t="s">
        <v>208</v>
      </c>
      <c r="I118" s="8" t="s">
        <v>208</v>
      </c>
      <c r="J118" s="8" t="s">
        <v>208</v>
      </c>
      <c r="K118" s="8" t="s">
        <v>208</v>
      </c>
      <c r="L118" s="8" t="s">
        <v>208</v>
      </c>
      <c r="M118" s="8" t="s">
        <v>208</v>
      </c>
      <c r="N118" s="8" t="s">
        <v>208</v>
      </c>
      <c r="O118" s="8" t="s">
        <v>208</v>
      </c>
      <c r="Q118" t="s">
        <v>429</v>
      </c>
      <c r="R118" t="s">
        <v>430</v>
      </c>
      <c r="S118" t="s">
        <v>430</v>
      </c>
      <c r="T118" t="s">
        <v>428</v>
      </c>
      <c r="U118" t="s">
        <v>431</v>
      </c>
      <c r="V118" t="s">
        <v>30</v>
      </c>
      <c r="W118" t="s">
        <v>298</v>
      </c>
      <c r="Y118" t="s">
        <v>299</v>
      </c>
      <c r="Z118" t="s">
        <v>299</v>
      </c>
      <c r="AA118" t="s">
        <v>300</v>
      </c>
      <c r="AB118" t="s">
        <v>408</v>
      </c>
      <c r="AC118" t="s">
        <v>408</v>
      </c>
      <c r="AD118" t="s">
        <v>216</v>
      </c>
      <c r="AE118" t="s">
        <v>300</v>
      </c>
      <c r="AG118" s="8" t="s">
        <v>218</v>
      </c>
      <c r="AH118" t="s">
        <v>302</v>
      </c>
      <c r="AI118" s="9" t="s">
        <v>218</v>
      </c>
      <c r="AJ118" s="9" t="s">
        <v>218</v>
      </c>
      <c r="AK118" t="s">
        <v>400</v>
      </c>
      <c r="AL118" s="9" t="s">
        <v>218</v>
      </c>
      <c r="AM118" s="8" t="s">
        <v>221</v>
      </c>
      <c r="AN118" s="8" t="s">
        <v>221</v>
      </c>
      <c r="AO118" s="8" t="s">
        <v>222</v>
      </c>
      <c r="AP118" s="8">
        <v>0</v>
      </c>
      <c r="AQ118" s="8">
        <v>0</v>
      </c>
      <c r="AR118" s="8">
        <v>0</v>
      </c>
      <c r="AS118" s="8">
        <v>0</v>
      </c>
      <c r="AT118" s="8">
        <v>0</v>
      </c>
      <c r="AU118" s="8">
        <v>0</v>
      </c>
      <c r="AV118" s="8">
        <v>0</v>
      </c>
      <c r="AW118" s="8">
        <v>0</v>
      </c>
      <c r="AX118" s="8"/>
      <c r="AY118" s="8"/>
      <c r="AZ118">
        <v>1</v>
      </c>
      <c r="BA118" t="s">
        <v>304</v>
      </c>
      <c r="BB118" t="s">
        <v>432</v>
      </c>
      <c r="BC118" t="s">
        <v>433</v>
      </c>
    </row>
    <row r="119" spans="1:55">
      <c r="A119" s="6">
        <v>45737</v>
      </c>
      <c r="B119" s="7" t="s">
        <v>434</v>
      </c>
      <c r="C119" t="s">
        <v>387</v>
      </c>
      <c r="D119" t="s">
        <v>292</v>
      </c>
      <c r="E119" t="s">
        <v>292</v>
      </c>
      <c r="F119" t="s">
        <v>293</v>
      </c>
      <c r="G119" t="s">
        <v>294</v>
      </c>
      <c r="H119" s="8" t="s">
        <v>208</v>
      </c>
      <c r="I119" s="8" t="s">
        <v>208</v>
      </c>
      <c r="J119" s="8" t="s">
        <v>208</v>
      </c>
      <c r="K119" s="8" t="s">
        <v>208</v>
      </c>
      <c r="L119" s="8" t="s">
        <v>208</v>
      </c>
      <c r="M119" s="8" t="s">
        <v>208</v>
      </c>
      <c r="N119" s="8" t="s">
        <v>208</v>
      </c>
      <c r="O119" s="8" t="s">
        <v>208</v>
      </c>
      <c r="Q119" t="s">
        <v>435</v>
      </c>
      <c r="R119" t="s">
        <v>436</v>
      </c>
      <c r="S119" t="s">
        <v>436</v>
      </c>
      <c r="T119" t="s">
        <v>434</v>
      </c>
      <c r="U119" t="s">
        <v>437</v>
      </c>
      <c r="V119" t="s">
        <v>30</v>
      </c>
      <c r="W119" t="s">
        <v>298</v>
      </c>
      <c r="Y119" t="s">
        <v>299</v>
      </c>
      <c r="Z119" t="s">
        <v>299</v>
      </c>
      <c r="AA119" t="s">
        <v>300</v>
      </c>
      <c r="AB119" t="s">
        <v>425</v>
      </c>
      <c r="AC119" t="s">
        <v>425</v>
      </c>
      <c r="AD119" t="s">
        <v>216</v>
      </c>
      <c r="AE119" t="s">
        <v>300</v>
      </c>
      <c r="AG119" s="8" t="s">
        <v>218</v>
      </c>
      <c r="AH119" t="s">
        <v>302</v>
      </c>
      <c r="AI119" s="9" t="s">
        <v>218</v>
      </c>
      <c r="AJ119" s="9" t="s">
        <v>218</v>
      </c>
      <c r="AK119" t="s">
        <v>438</v>
      </c>
      <c r="AL119" s="9" t="s">
        <v>218</v>
      </c>
      <c r="AM119" s="8" t="s">
        <v>221</v>
      </c>
      <c r="AN119" s="8" t="s">
        <v>221</v>
      </c>
      <c r="AO119" s="8" t="s">
        <v>222</v>
      </c>
      <c r="AP119" s="8">
        <v>0</v>
      </c>
      <c r="AQ119" s="8">
        <v>0</v>
      </c>
      <c r="AR119" s="8">
        <v>0</v>
      </c>
      <c r="AS119" s="8">
        <v>0</v>
      </c>
      <c r="AT119" s="8">
        <v>0</v>
      </c>
      <c r="AU119" s="8">
        <v>0</v>
      </c>
      <c r="AV119" s="8">
        <v>0</v>
      </c>
      <c r="AW119" s="8">
        <v>0</v>
      </c>
      <c r="AX119" s="8"/>
      <c r="AY119" s="8"/>
      <c r="AZ119">
        <v>1</v>
      </c>
      <c r="BA119" t="s">
        <v>304</v>
      </c>
      <c r="BB119" t="s">
        <v>439</v>
      </c>
      <c r="BC119" t="s">
        <v>440</v>
      </c>
    </row>
    <row r="120" spans="1:55">
      <c r="A120" s="6">
        <v>45737</v>
      </c>
      <c r="B120" s="7" t="s">
        <v>441</v>
      </c>
      <c r="C120" t="s">
        <v>387</v>
      </c>
      <c r="D120" t="s">
        <v>292</v>
      </c>
      <c r="E120" t="s">
        <v>292</v>
      </c>
      <c r="F120" t="s">
        <v>293</v>
      </c>
      <c r="G120" t="s">
        <v>294</v>
      </c>
      <c r="H120" s="8" t="s">
        <v>208</v>
      </c>
      <c r="I120" s="8" t="s">
        <v>208</v>
      </c>
      <c r="J120" s="8" t="s">
        <v>208</v>
      </c>
      <c r="K120" s="8" t="s">
        <v>208</v>
      </c>
      <c r="L120" s="8" t="s">
        <v>208</v>
      </c>
      <c r="M120" s="8" t="s">
        <v>208</v>
      </c>
      <c r="N120" s="8" t="s">
        <v>208</v>
      </c>
      <c r="O120" s="8" t="s">
        <v>208</v>
      </c>
      <c r="Q120" t="s">
        <v>442</v>
      </c>
      <c r="R120" t="s">
        <v>443</v>
      </c>
      <c r="S120" t="s">
        <v>443</v>
      </c>
      <c r="T120" t="s">
        <v>441</v>
      </c>
      <c r="U120" t="s">
        <v>444</v>
      </c>
      <c r="V120" t="s">
        <v>30</v>
      </c>
      <c r="W120" t="s">
        <v>298</v>
      </c>
      <c r="Y120" t="s">
        <v>299</v>
      </c>
      <c r="Z120" t="s">
        <v>299</v>
      </c>
      <c r="AA120" t="s">
        <v>300</v>
      </c>
      <c r="AB120" t="s">
        <v>408</v>
      </c>
      <c r="AC120" t="s">
        <v>408</v>
      </c>
      <c r="AD120" t="s">
        <v>216</v>
      </c>
      <c r="AE120" t="s">
        <v>300</v>
      </c>
      <c r="AG120" s="8" t="s">
        <v>218</v>
      </c>
      <c r="AH120" t="s">
        <v>302</v>
      </c>
      <c r="AI120" s="9" t="s">
        <v>218</v>
      </c>
      <c r="AJ120" s="9" t="s">
        <v>218</v>
      </c>
      <c r="AK120" t="s">
        <v>445</v>
      </c>
      <c r="AL120" s="9" t="s">
        <v>218</v>
      </c>
      <c r="AM120" s="8" t="s">
        <v>221</v>
      </c>
      <c r="AN120" s="8" t="s">
        <v>221</v>
      </c>
      <c r="AO120" s="8" t="s">
        <v>222</v>
      </c>
      <c r="AP120" s="8">
        <v>0</v>
      </c>
      <c r="AQ120" s="8">
        <v>0</v>
      </c>
      <c r="AR120" s="8">
        <v>0</v>
      </c>
      <c r="AS120" s="8">
        <v>0</v>
      </c>
      <c r="AT120" s="8">
        <v>0</v>
      </c>
      <c r="AU120" s="8">
        <v>0</v>
      </c>
      <c r="AV120" s="8">
        <v>0</v>
      </c>
      <c r="AW120" s="8">
        <v>0</v>
      </c>
      <c r="AX120" s="8"/>
      <c r="AY120" s="8"/>
      <c r="AZ120">
        <v>1</v>
      </c>
      <c r="BA120" t="s">
        <v>304</v>
      </c>
      <c r="BB120" t="s">
        <v>446</v>
      </c>
      <c r="BC120" t="s">
        <v>447</v>
      </c>
    </row>
    <row r="121" spans="1:55">
      <c r="A121" s="6">
        <v>45737</v>
      </c>
      <c r="B121" s="7" t="s">
        <v>448</v>
      </c>
      <c r="C121" t="s">
        <v>387</v>
      </c>
      <c r="D121" t="s">
        <v>292</v>
      </c>
      <c r="E121" t="s">
        <v>292</v>
      </c>
      <c r="F121" t="s">
        <v>293</v>
      </c>
      <c r="G121" t="s">
        <v>294</v>
      </c>
      <c r="H121" s="8" t="s">
        <v>208</v>
      </c>
      <c r="I121" s="8" t="s">
        <v>208</v>
      </c>
      <c r="J121" s="8" t="s">
        <v>208</v>
      </c>
      <c r="K121" s="8" t="s">
        <v>208</v>
      </c>
      <c r="L121" s="8" t="s">
        <v>208</v>
      </c>
      <c r="M121" s="8" t="s">
        <v>208</v>
      </c>
      <c r="N121" s="8" t="s">
        <v>208</v>
      </c>
      <c r="O121" s="8" t="s">
        <v>208</v>
      </c>
      <c r="Q121" t="s">
        <v>449</v>
      </c>
      <c r="R121" t="s">
        <v>450</v>
      </c>
      <c r="S121" t="s">
        <v>450</v>
      </c>
      <c r="T121" t="s">
        <v>448</v>
      </c>
      <c r="U121" t="s">
        <v>451</v>
      </c>
      <c r="V121" t="s">
        <v>30</v>
      </c>
      <c r="W121" t="s">
        <v>298</v>
      </c>
      <c r="Y121" t="s">
        <v>299</v>
      </c>
      <c r="Z121" t="s">
        <v>299</v>
      </c>
      <c r="AA121" t="s">
        <v>300</v>
      </c>
      <c r="AB121" t="s">
        <v>425</v>
      </c>
      <c r="AC121" t="s">
        <v>425</v>
      </c>
      <c r="AD121" t="s">
        <v>216</v>
      </c>
      <c r="AE121" t="s">
        <v>300</v>
      </c>
      <c r="AG121" s="8" t="s">
        <v>218</v>
      </c>
      <c r="AH121" t="s">
        <v>302</v>
      </c>
      <c r="AI121" s="9" t="s">
        <v>218</v>
      </c>
      <c r="AJ121" s="9" t="s">
        <v>218</v>
      </c>
      <c r="AK121" t="s">
        <v>452</v>
      </c>
      <c r="AL121" s="9" t="s">
        <v>218</v>
      </c>
      <c r="AM121" s="8" t="s">
        <v>221</v>
      </c>
      <c r="AN121" s="8" t="s">
        <v>221</v>
      </c>
      <c r="AO121" s="8" t="s">
        <v>222</v>
      </c>
      <c r="AP121" s="8">
        <v>0</v>
      </c>
      <c r="AQ121" s="8">
        <v>0</v>
      </c>
      <c r="AR121" s="8">
        <v>0</v>
      </c>
      <c r="AS121" s="8">
        <v>0</v>
      </c>
      <c r="AT121" s="8">
        <v>0</v>
      </c>
      <c r="AU121" s="8">
        <v>0</v>
      </c>
      <c r="AV121" s="8">
        <v>0</v>
      </c>
      <c r="AW121" s="8">
        <v>0</v>
      </c>
      <c r="AX121" s="8"/>
      <c r="AY121" s="8"/>
      <c r="AZ121">
        <v>1</v>
      </c>
      <c r="BA121" t="s">
        <v>304</v>
      </c>
      <c r="BB121" t="s">
        <v>453</v>
      </c>
      <c r="BC121" t="s">
        <v>454</v>
      </c>
    </row>
    <row r="122" spans="1:55">
      <c r="A122" s="6">
        <v>45737</v>
      </c>
      <c r="B122" s="7" t="s">
        <v>455</v>
      </c>
      <c r="C122" t="s">
        <v>387</v>
      </c>
      <c r="D122" t="s">
        <v>292</v>
      </c>
      <c r="E122" t="s">
        <v>292</v>
      </c>
      <c r="F122" t="s">
        <v>293</v>
      </c>
      <c r="G122" t="s">
        <v>294</v>
      </c>
      <c r="H122" s="8" t="s">
        <v>208</v>
      </c>
      <c r="I122" s="8" t="s">
        <v>208</v>
      </c>
      <c r="J122" s="8" t="s">
        <v>208</v>
      </c>
      <c r="K122" s="8" t="s">
        <v>208</v>
      </c>
      <c r="L122" s="8" t="s">
        <v>208</v>
      </c>
      <c r="M122" s="8" t="s">
        <v>208</v>
      </c>
      <c r="N122" s="8" t="s">
        <v>208</v>
      </c>
      <c r="O122" s="8" t="s">
        <v>208</v>
      </c>
      <c r="Q122" t="s">
        <v>456</v>
      </c>
      <c r="R122" t="s">
        <v>457</v>
      </c>
      <c r="S122" t="s">
        <v>457</v>
      </c>
      <c r="T122" t="s">
        <v>455</v>
      </c>
      <c r="U122" t="s">
        <v>458</v>
      </c>
      <c r="V122" t="s">
        <v>30</v>
      </c>
      <c r="W122" t="s">
        <v>298</v>
      </c>
      <c r="Y122" t="s">
        <v>299</v>
      </c>
      <c r="Z122" t="s">
        <v>299</v>
      </c>
      <c r="AA122" t="s">
        <v>300</v>
      </c>
      <c r="AB122" t="s">
        <v>301</v>
      </c>
      <c r="AC122" t="s">
        <v>301</v>
      </c>
      <c r="AD122" t="s">
        <v>216</v>
      </c>
      <c r="AE122" t="s">
        <v>300</v>
      </c>
      <c r="AG122" s="8" t="s">
        <v>218</v>
      </c>
      <c r="AH122" t="s">
        <v>302</v>
      </c>
      <c r="AI122" s="9" t="s">
        <v>218</v>
      </c>
      <c r="AJ122" s="9" t="s">
        <v>218</v>
      </c>
      <c r="AK122" t="s">
        <v>459</v>
      </c>
      <c r="AL122" s="9" t="s">
        <v>218</v>
      </c>
      <c r="AM122" s="8" t="s">
        <v>221</v>
      </c>
      <c r="AN122" s="8" t="s">
        <v>221</v>
      </c>
      <c r="AO122" s="8" t="s">
        <v>222</v>
      </c>
      <c r="AP122" s="8">
        <v>0</v>
      </c>
      <c r="AQ122" s="8">
        <v>0</v>
      </c>
      <c r="AR122" s="9">
        <v>23</v>
      </c>
      <c r="AS122" s="8">
        <v>0</v>
      </c>
      <c r="AT122" s="8">
        <v>0</v>
      </c>
      <c r="AU122" s="8">
        <v>0</v>
      </c>
      <c r="AV122" s="8">
        <v>0</v>
      </c>
      <c r="AW122" s="9">
        <v>23</v>
      </c>
      <c r="AX122" s="8"/>
      <c r="AY122" s="8"/>
      <c r="AZ122">
        <v>0</v>
      </c>
      <c r="BC122" t="s">
        <v>460</v>
      </c>
    </row>
    <row r="123" spans="1:55">
      <c r="A123" s="6">
        <v>45737</v>
      </c>
      <c r="B123" s="7" t="s">
        <v>461</v>
      </c>
      <c r="C123" t="s">
        <v>387</v>
      </c>
      <c r="D123" t="s">
        <v>292</v>
      </c>
      <c r="E123" t="s">
        <v>292</v>
      </c>
      <c r="F123" t="s">
        <v>293</v>
      </c>
      <c r="G123" t="s">
        <v>294</v>
      </c>
      <c r="H123" s="8" t="s">
        <v>208</v>
      </c>
      <c r="I123" s="8" t="s">
        <v>208</v>
      </c>
      <c r="J123" s="8" t="s">
        <v>208</v>
      </c>
      <c r="K123" s="8" t="s">
        <v>208</v>
      </c>
      <c r="L123" s="8" t="s">
        <v>208</v>
      </c>
      <c r="M123" s="8" t="s">
        <v>208</v>
      </c>
      <c r="N123" s="8" t="s">
        <v>208</v>
      </c>
      <c r="O123" s="8" t="s">
        <v>208</v>
      </c>
      <c r="Q123" t="s">
        <v>462</v>
      </c>
      <c r="R123" t="s">
        <v>463</v>
      </c>
      <c r="S123" t="s">
        <v>463</v>
      </c>
      <c r="T123" t="s">
        <v>461</v>
      </c>
      <c r="U123" t="s">
        <v>464</v>
      </c>
      <c r="V123" t="s">
        <v>30</v>
      </c>
      <c r="W123" t="s">
        <v>298</v>
      </c>
      <c r="Y123" t="s">
        <v>299</v>
      </c>
      <c r="Z123" t="s">
        <v>299</v>
      </c>
      <c r="AA123" t="s">
        <v>300</v>
      </c>
      <c r="AB123" t="s">
        <v>465</v>
      </c>
      <c r="AC123" t="s">
        <v>465</v>
      </c>
      <c r="AD123" t="s">
        <v>216</v>
      </c>
      <c r="AE123" t="s">
        <v>300</v>
      </c>
      <c r="AG123" s="8" t="s">
        <v>218</v>
      </c>
      <c r="AH123" t="s">
        <v>302</v>
      </c>
      <c r="AI123" s="9" t="s">
        <v>218</v>
      </c>
      <c r="AJ123" s="9" t="s">
        <v>218</v>
      </c>
      <c r="AK123" t="s">
        <v>466</v>
      </c>
      <c r="AL123" s="9" t="s">
        <v>218</v>
      </c>
      <c r="AM123" s="8" t="s">
        <v>221</v>
      </c>
      <c r="AN123" s="8" t="s">
        <v>221</v>
      </c>
      <c r="AO123" s="8" t="s">
        <v>222</v>
      </c>
      <c r="AP123" s="8">
        <v>0</v>
      </c>
      <c r="AQ123" s="8">
        <v>0</v>
      </c>
      <c r="AR123" s="8">
        <v>0</v>
      </c>
      <c r="AS123" s="8">
        <v>0</v>
      </c>
      <c r="AT123" s="8">
        <v>0</v>
      </c>
      <c r="AU123" s="8">
        <v>0</v>
      </c>
      <c r="AV123" s="8">
        <v>0</v>
      </c>
      <c r="AW123" s="8">
        <v>0</v>
      </c>
      <c r="AX123" s="8"/>
      <c r="AY123" s="8"/>
      <c r="AZ123">
        <v>1</v>
      </c>
      <c r="BA123" t="s">
        <v>304</v>
      </c>
      <c r="BC123" t="s">
        <v>467</v>
      </c>
    </row>
    <row r="124" spans="1:55">
      <c r="A124" s="6">
        <v>45737</v>
      </c>
      <c r="B124" s="7" t="s">
        <v>468</v>
      </c>
      <c r="C124" t="s">
        <v>387</v>
      </c>
      <c r="D124" t="s">
        <v>292</v>
      </c>
      <c r="E124" t="s">
        <v>292</v>
      </c>
      <c r="F124" t="s">
        <v>293</v>
      </c>
      <c r="G124" t="s">
        <v>294</v>
      </c>
      <c r="H124" s="8" t="s">
        <v>208</v>
      </c>
      <c r="I124" s="8" t="s">
        <v>208</v>
      </c>
      <c r="J124" s="8" t="s">
        <v>208</v>
      </c>
      <c r="K124" s="8" t="s">
        <v>208</v>
      </c>
      <c r="L124" s="8" t="s">
        <v>208</v>
      </c>
      <c r="M124" s="8" t="s">
        <v>208</v>
      </c>
      <c r="N124" s="8" t="s">
        <v>208</v>
      </c>
      <c r="O124" s="8" t="s">
        <v>208</v>
      </c>
      <c r="Q124" t="s">
        <v>469</v>
      </c>
      <c r="R124" t="s">
        <v>470</v>
      </c>
      <c r="S124" t="s">
        <v>470</v>
      </c>
      <c r="T124" t="s">
        <v>468</v>
      </c>
      <c r="U124" t="s">
        <v>471</v>
      </c>
      <c r="V124" t="s">
        <v>30</v>
      </c>
      <c r="W124" t="s">
        <v>298</v>
      </c>
      <c r="Y124" t="s">
        <v>299</v>
      </c>
      <c r="Z124" t="s">
        <v>299</v>
      </c>
      <c r="AA124" t="s">
        <v>300</v>
      </c>
      <c r="AB124" t="s">
        <v>301</v>
      </c>
      <c r="AC124" t="s">
        <v>301</v>
      </c>
      <c r="AD124" t="s">
        <v>216</v>
      </c>
      <c r="AE124" t="s">
        <v>300</v>
      </c>
      <c r="AG124" s="8" t="s">
        <v>218</v>
      </c>
      <c r="AH124" t="s">
        <v>302</v>
      </c>
      <c r="AI124" s="9" t="s">
        <v>218</v>
      </c>
      <c r="AJ124" s="9" t="s">
        <v>218</v>
      </c>
      <c r="AK124" t="s">
        <v>472</v>
      </c>
      <c r="AL124" s="9" t="s">
        <v>218</v>
      </c>
      <c r="AM124" s="8" t="s">
        <v>221</v>
      </c>
      <c r="AN124" s="8" t="s">
        <v>221</v>
      </c>
      <c r="AO124" s="8" t="s">
        <v>222</v>
      </c>
      <c r="AP124" s="8">
        <v>0</v>
      </c>
      <c r="AQ124" s="8">
        <v>0</v>
      </c>
      <c r="AR124" s="8">
        <v>0</v>
      </c>
      <c r="AS124" s="8">
        <v>0</v>
      </c>
      <c r="AT124" s="8">
        <v>0</v>
      </c>
      <c r="AU124" s="8">
        <v>0</v>
      </c>
      <c r="AV124" s="8">
        <v>0</v>
      </c>
      <c r="AW124" s="8">
        <v>0</v>
      </c>
      <c r="AX124" s="8"/>
      <c r="AY124" s="8"/>
      <c r="AZ124">
        <v>1</v>
      </c>
      <c r="BA124" t="s">
        <v>304</v>
      </c>
      <c r="BC124" t="s">
        <v>473</v>
      </c>
    </row>
    <row r="125" spans="1:55">
      <c r="A125" s="6">
        <v>45737</v>
      </c>
      <c r="B125" s="7" t="s">
        <v>474</v>
      </c>
      <c r="C125" t="s">
        <v>387</v>
      </c>
      <c r="D125" t="s">
        <v>292</v>
      </c>
      <c r="E125" t="s">
        <v>292</v>
      </c>
      <c r="F125" t="s">
        <v>293</v>
      </c>
      <c r="G125" t="s">
        <v>294</v>
      </c>
      <c r="H125" s="8" t="s">
        <v>208</v>
      </c>
      <c r="I125" s="8" t="s">
        <v>208</v>
      </c>
      <c r="J125" s="8" t="s">
        <v>208</v>
      </c>
      <c r="K125" s="8" t="s">
        <v>208</v>
      </c>
      <c r="L125" s="8" t="s">
        <v>208</v>
      </c>
      <c r="M125" s="8" t="s">
        <v>208</v>
      </c>
      <c r="N125" s="8" t="s">
        <v>208</v>
      </c>
      <c r="O125" s="8" t="s">
        <v>208</v>
      </c>
      <c r="Q125" t="s">
        <v>475</v>
      </c>
      <c r="R125" t="s">
        <v>476</v>
      </c>
      <c r="S125" t="s">
        <v>476</v>
      </c>
      <c r="T125" t="s">
        <v>474</v>
      </c>
      <c r="U125" t="s">
        <v>477</v>
      </c>
      <c r="V125" t="s">
        <v>30</v>
      </c>
      <c r="W125" t="s">
        <v>298</v>
      </c>
      <c r="Y125" t="s">
        <v>299</v>
      </c>
      <c r="Z125" t="s">
        <v>299</v>
      </c>
      <c r="AA125" t="s">
        <v>300</v>
      </c>
      <c r="AB125" t="s">
        <v>465</v>
      </c>
      <c r="AC125" t="s">
        <v>465</v>
      </c>
      <c r="AD125" t="s">
        <v>216</v>
      </c>
      <c r="AE125" t="s">
        <v>300</v>
      </c>
      <c r="AG125" s="8" t="s">
        <v>218</v>
      </c>
      <c r="AH125" t="s">
        <v>302</v>
      </c>
      <c r="AI125" s="9" t="s">
        <v>218</v>
      </c>
      <c r="AJ125" s="9" t="s">
        <v>218</v>
      </c>
      <c r="AK125" t="s">
        <v>466</v>
      </c>
      <c r="AL125" s="9" t="s">
        <v>218</v>
      </c>
      <c r="AM125" s="8" t="s">
        <v>221</v>
      </c>
      <c r="AN125" s="8" t="s">
        <v>221</v>
      </c>
      <c r="AO125" s="8" t="s">
        <v>222</v>
      </c>
      <c r="AP125" s="8">
        <v>0</v>
      </c>
      <c r="AQ125" s="8">
        <v>0</v>
      </c>
      <c r="AR125" s="8">
        <v>0</v>
      </c>
      <c r="AS125" s="8">
        <v>0</v>
      </c>
      <c r="AT125" s="8">
        <v>0</v>
      </c>
      <c r="AU125" s="8">
        <v>0</v>
      </c>
      <c r="AV125" s="8">
        <v>0</v>
      </c>
      <c r="AW125" s="8">
        <v>0</v>
      </c>
      <c r="AX125" s="8"/>
      <c r="AY125" s="8"/>
      <c r="AZ125">
        <v>1</v>
      </c>
      <c r="BA125" t="s">
        <v>304</v>
      </c>
      <c r="BC125" t="s">
        <v>478</v>
      </c>
    </row>
    <row r="126" spans="1:55">
      <c r="A126" s="6">
        <v>45737</v>
      </c>
      <c r="B126" s="7" t="s">
        <v>479</v>
      </c>
      <c r="C126" t="s">
        <v>387</v>
      </c>
      <c r="D126" t="s">
        <v>292</v>
      </c>
      <c r="E126" t="s">
        <v>292</v>
      </c>
      <c r="F126" t="s">
        <v>293</v>
      </c>
      <c r="G126" t="s">
        <v>294</v>
      </c>
      <c r="H126" s="8" t="s">
        <v>208</v>
      </c>
      <c r="I126" s="8" t="s">
        <v>208</v>
      </c>
      <c r="J126" s="8" t="s">
        <v>208</v>
      </c>
      <c r="K126" s="8" t="s">
        <v>208</v>
      </c>
      <c r="L126" s="8" t="s">
        <v>208</v>
      </c>
      <c r="M126" s="8" t="s">
        <v>208</v>
      </c>
      <c r="N126" s="8" t="s">
        <v>208</v>
      </c>
      <c r="O126" s="8" t="s">
        <v>208</v>
      </c>
      <c r="Q126" t="s">
        <v>480</v>
      </c>
      <c r="R126" t="s">
        <v>481</v>
      </c>
      <c r="S126" t="s">
        <v>481</v>
      </c>
      <c r="T126" t="s">
        <v>479</v>
      </c>
      <c r="U126" t="s">
        <v>482</v>
      </c>
      <c r="V126" t="s">
        <v>30</v>
      </c>
      <c r="W126" t="s">
        <v>298</v>
      </c>
      <c r="Y126" t="s">
        <v>299</v>
      </c>
      <c r="Z126" t="s">
        <v>299</v>
      </c>
      <c r="AA126" t="s">
        <v>300</v>
      </c>
      <c r="AB126" t="s">
        <v>301</v>
      </c>
      <c r="AC126" t="s">
        <v>301</v>
      </c>
      <c r="AD126" t="s">
        <v>216</v>
      </c>
      <c r="AE126" t="s">
        <v>300</v>
      </c>
      <c r="AG126" s="8" t="s">
        <v>218</v>
      </c>
      <c r="AH126" t="s">
        <v>302</v>
      </c>
      <c r="AI126" s="9" t="s">
        <v>218</v>
      </c>
      <c r="AJ126" s="9" t="s">
        <v>218</v>
      </c>
      <c r="AK126" t="s">
        <v>483</v>
      </c>
      <c r="AL126" s="9" t="s">
        <v>218</v>
      </c>
      <c r="AM126" s="8" t="s">
        <v>221</v>
      </c>
      <c r="AN126" s="8" t="s">
        <v>221</v>
      </c>
      <c r="AO126" s="8" t="s">
        <v>222</v>
      </c>
      <c r="AP126" s="8">
        <v>0</v>
      </c>
      <c r="AQ126" s="8">
        <v>0</v>
      </c>
      <c r="AR126" s="9">
        <v>3</v>
      </c>
      <c r="AS126" s="8">
        <v>0</v>
      </c>
      <c r="AT126" s="8">
        <v>0</v>
      </c>
      <c r="AU126" s="8">
        <v>0</v>
      </c>
      <c r="AV126" s="8">
        <v>0</v>
      </c>
      <c r="AW126" s="9">
        <v>3</v>
      </c>
      <c r="AX126" s="8"/>
      <c r="AY126" s="8"/>
      <c r="AZ126">
        <v>1</v>
      </c>
      <c r="BA126" t="s">
        <v>484</v>
      </c>
      <c r="BC126" t="s">
        <v>485</v>
      </c>
    </row>
    <row r="127" spans="1:55">
      <c r="A127" s="6">
        <v>45737</v>
      </c>
      <c r="B127" s="7" t="s">
        <v>486</v>
      </c>
      <c r="C127" t="s">
        <v>387</v>
      </c>
      <c r="D127" t="s">
        <v>292</v>
      </c>
      <c r="E127" t="s">
        <v>292</v>
      </c>
      <c r="F127" t="s">
        <v>293</v>
      </c>
      <c r="G127" t="s">
        <v>294</v>
      </c>
      <c r="H127" s="8" t="s">
        <v>208</v>
      </c>
      <c r="I127" s="8" t="s">
        <v>208</v>
      </c>
      <c r="J127" s="8" t="s">
        <v>208</v>
      </c>
      <c r="K127" s="8" t="s">
        <v>208</v>
      </c>
      <c r="L127" s="8" t="s">
        <v>208</v>
      </c>
      <c r="M127" s="8" t="s">
        <v>208</v>
      </c>
      <c r="N127" s="8" t="s">
        <v>208</v>
      </c>
      <c r="O127" s="8" t="s">
        <v>208</v>
      </c>
      <c r="Q127" t="s">
        <v>487</v>
      </c>
      <c r="R127" t="s">
        <v>488</v>
      </c>
      <c r="S127" t="s">
        <v>488</v>
      </c>
      <c r="T127" t="s">
        <v>486</v>
      </c>
      <c r="U127" t="s">
        <v>489</v>
      </c>
      <c r="V127" t="s">
        <v>30</v>
      </c>
      <c r="W127" t="s">
        <v>298</v>
      </c>
      <c r="Y127" t="s">
        <v>299</v>
      </c>
      <c r="Z127" t="s">
        <v>299</v>
      </c>
      <c r="AA127" t="s">
        <v>300</v>
      </c>
      <c r="AB127" t="s">
        <v>301</v>
      </c>
      <c r="AC127" t="s">
        <v>301</v>
      </c>
      <c r="AD127" t="s">
        <v>216</v>
      </c>
      <c r="AE127" t="s">
        <v>300</v>
      </c>
      <c r="AG127" s="8" t="s">
        <v>218</v>
      </c>
      <c r="AH127" t="s">
        <v>302</v>
      </c>
      <c r="AI127" s="9" t="s">
        <v>218</v>
      </c>
      <c r="AJ127" s="9" t="s">
        <v>218</v>
      </c>
      <c r="AK127" t="s">
        <v>483</v>
      </c>
      <c r="AL127" s="9" t="s">
        <v>218</v>
      </c>
      <c r="AM127" s="8" t="s">
        <v>221</v>
      </c>
      <c r="AN127" s="8" t="s">
        <v>221</v>
      </c>
      <c r="AO127" s="8" t="s">
        <v>222</v>
      </c>
      <c r="AP127" s="8">
        <v>0</v>
      </c>
      <c r="AQ127" s="8">
        <v>0</v>
      </c>
      <c r="AR127" s="9">
        <v>3</v>
      </c>
      <c r="AS127" s="8">
        <v>0</v>
      </c>
      <c r="AT127" s="8">
        <v>0</v>
      </c>
      <c r="AU127" s="8">
        <v>0</v>
      </c>
      <c r="AV127" s="8">
        <v>0</v>
      </c>
      <c r="AW127" s="9">
        <v>3</v>
      </c>
      <c r="AX127" s="8"/>
      <c r="AY127" s="8"/>
      <c r="AZ127">
        <v>1</v>
      </c>
      <c r="BA127" t="s">
        <v>484</v>
      </c>
      <c r="BC127" t="s">
        <v>490</v>
      </c>
    </row>
    <row r="128" spans="1:55">
      <c r="A128" s="6">
        <v>45737</v>
      </c>
      <c r="B128" s="7" t="s">
        <v>491</v>
      </c>
      <c r="C128" t="s">
        <v>387</v>
      </c>
      <c r="D128" t="s">
        <v>292</v>
      </c>
      <c r="E128" t="s">
        <v>292</v>
      </c>
      <c r="F128" t="s">
        <v>293</v>
      </c>
      <c r="G128" t="s">
        <v>294</v>
      </c>
      <c r="H128" s="8" t="s">
        <v>208</v>
      </c>
      <c r="I128" s="8" t="s">
        <v>208</v>
      </c>
      <c r="J128" s="8" t="s">
        <v>208</v>
      </c>
      <c r="K128" s="8" t="s">
        <v>208</v>
      </c>
      <c r="L128" s="8" t="s">
        <v>208</v>
      </c>
      <c r="M128" s="8" t="s">
        <v>208</v>
      </c>
      <c r="N128" s="8" t="s">
        <v>208</v>
      </c>
      <c r="O128" s="8" t="s">
        <v>208</v>
      </c>
      <c r="Q128" t="s">
        <v>492</v>
      </c>
      <c r="R128" t="s">
        <v>493</v>
      </c>
      <c r="S128" t="s">
        <v>493</v>
      </c>
      <c r="T128" t="s">
        <v>491</v>
      </c>
      <c r="U128" t="s">
        <v>494</v>
      </c>
      <c r="V128" t="s">
        <v>30</v>
      </c>
      <c r="W128" t="s">
        <v>298</v>
      </c>
      <c r="Y128" t="s">
        <v>299</v>
      </c>
      <c r="Z128" t="s">
        <v>299</v>
      </c>
      <c r="AA128" t="s">
        <v>300</v>
      </c>
      <c r="AB128" t="s">
        <v>301</v>
      </c>
      <c r="AC128" t="s">
        <v>301</v>
      </c>
      <c r="AD128" t="s">
        <v>216</v>
      </c>
      <c r="AE128" t="s">
        <v>300</v>
      </c>
      <c r="AG128" s="8" t="s">
        <v>218</v>
      </c>
      <c r="AH128" t="s">
        <v>302</v>
      </c>
      <c r="AI128" s="9" t="s">
        <v>218</v>
      </c>
      <c r="AJ128" s="9" t="s">
        <v>218</v>
      </c>
      <c r="AK128" t="s">
        <v>495</v>
      </c>
      <c r="AL128" s="9" t="s">
        <v>218</v>
      </c>
      <c r="AM128" s="8" t="s">
        <v>221</v>
      </c>
      <c r="AN128" s="8" t="s">
        <v>221</v>
      </c>
      <c r="AO128" s="8" t="s">
        <v>222</v>
      </c>
      <c r="AP128" s="8">
        <v>0</v>
      </c>
      <c r="AQ128" s="8">
        <v>0</v>
      </c>
      <c r="AR128" s="8">
        <v>0</v>
      </c>
      <c r="AS128" s="8">
        <v>0</v>
      </c>
      <c r="AT128" s="8">
        <v>0</v>
      </c>
      <c r="AU128" s="8">
        <v>0</v>
      </c>
      <c r="AV128" s="8">
        <v>0</v>
      </c>
      <c r="AW128" s="8">
        <v>0</v>
      </c>
      <c r="AX128" s="8"/>
      <c r="AY128" s="8"/>
      <c r="BC128" t="s">
        <v>496</v>
      </c>
    </row>
    <row r="129" spans="1:55">
      <c r="A129" s="6">
        <v>45737</v>
      </c>
      <c r="B129" s="7" t="s">
        <v>497</v>
      </c>
      <c r="C129" t="s">
        <v>387</v>
      </c>
      <c r="D129" t="s">
        <v>292</v>
      </c>
      <c r="E129" t="s">
        <v>292</v>
      </c>
      <c r="F129" t="s">
        <v>293</v>
      </c>
      <c r="G129" t="s">
        <v>294</v>
      </c>
      <c r="H129" s="8" t="s">
        <v>208</v>
      </c>
      <c r="I129" s="8" t="s">
        <v>208</v>
      </c>
      <c r="J129" s="8" t="s">
        <v>208</v>
      </c>
      <c r="K129" s="8" t="s">
        <v>208</v>
      </c>
      <c r="L129" s="8" t="s">
        <v>208</v>
      </c>
      <c r="M129" s="8" t="s">
        <v>208</v>
      </c>
      <c r="N129" s="8" t="s">
        <v>208</v>
      </c>
      <c r="O129" s="8" t="s">
        <v>208</v>
      </c>
      <c r="Q129" t="s">
        <v>498</v>
      </c>
      <c r="R129" t="s">
        <v>499</v>
      </c>
      <c r="S129" t="s">
        <v>499</v>
      </c>
      <c r="T129" t="s">
        <v>497</v>
      </c>
      <c r="U129" t="s">
        <v>500</v>
      </c>
      <c r="V129" t="s">
        <v>30</v>
      </c>
      <c r="W129" t="s">
        <v>298</v>
      </c>
      <c r="Y129" t="s">
        <v>299</v>
      </c>
      <c r="Z129" t="s">
        <v>299</v>
      </c>
      <c r="AA129" t="s">
        <v>300</v>
      </c>
      <c r="AB129" t="s">
        <v>301</v>
      </c>
      <c r="AC129" t="s">
        <v>301</v>
      </c>
      <c r="AD129" t="s">
        <v>216</v>
      </c>
      <c r="AE129" t="s">
        <v>300</v>
      </c>
      <c r="AG129" s="8" t="s">
        <v>218</v>
      </c>
      <c r="AH129" t="s">
        <v>302</v>
      </c>
      <c r="AI129" s="9" t="s">
        <v>218</v>
      </c>
      <c r="AJ129" s="9" t="s">
        <v>218</v>
      </c>
      <c r="AK129" t="s">
        <v>483</v>
      </c>
      <c r="AL129" s="9" t="s">
        <v>218</v>
      </c>
      <c r="AM129" s="8" t="s">
        <v>221</v>
      </c>
      <c r="AN129" s="8" t="s">
        <v>221</v>
      </c>
      <c r="AO129" s="8" t="s">
        <v>222</v>
      </c>
      <c r="AP129" s="8">
        <v>0</v>
      </c>
      <c r="AQ129" s="8">
        <v>0</v>
      </c>
      <c r="AR129" s="8">
        <v>0</v>
      </c>
      <c r="AS129" s="8">
        <v>0</v>
      </c>
      <c r="AT129" s="8">
        <v>0</v>
      </c>
      <c r="AU129" s="8">
        <v>0</v>
      </c>
      <c r="AV129" s="8">
        <v>0</v>
      </c>
      <c r="AW129" s="8">
        <v>0</v>
      </c>
      <c r="AX129" s="8"/>
      <c r="AY129" s="8"/>
      <c r="BC129" t="s">
        <v>501</v>
      </c>
    </row>
    <row r="130" spans="1:55">
      <c r="A130" s="6">
        <v>45737</v>
      </c>
      <c r="B130" s="7" t="s">
        <v>502</v>
      </c>
      <c r="C130" t="s">
        <v>387</v>
      </c>
      <c r="D130" t="s">
        <v>292</v>
      </c>
      <c r="E130" t="s">
        <v>292</v>
      </c>
      <c r="F130" t="s">
        <v>293</v>
      </c>
      <c r="G130" t="s">
        <v>294</v>
      </c>
      <c r="H130" s="8" t="s">
        <v>208</v>
      </c>
      <c r="I130" s="8" t="s">
        <v>208</v>
      </c>
      <c r="J130" s="8" t="s">
        <v>208</v>
      </c>
      <c r="K130" s="8" t="s">
        <v>208</v>
      </c>
      <c r="L130" s="8" t="s">
        <v>208</v>
      </c>
      <c r="M130" s="8" t="s">
        <v>208</v>
      </c>
      <c r="N130" s="8" t="s">
        <v>208</v>
      </c>
      <c r="O130" s="8" t="s">
        <v>208</v>
      </c>
      <c r="Q130" t="s">
        <v>503</v>
      </c>
      <c r="R130" t="s">
        <v>504</v>
      </c>
      <c r="S130" t="s">
        <v>504</v>
      </c>
      <c r="T130" t="s">
        <v>502</v>
      </c>
      <c r="U130" t="s">
        <v>505</v>
      </c>
      <c r="V130" t="s">
        <v>30</v>
      </c>
      <c r="W130" t="s">
        <v>298</v>
      </c>
      <c r="Y130" t="s">
        <v>299</v>
      </c>
      <c r="Z130" t="s">
        <v>299</v>
      </c>
      <c r="AA130" t="s">
        <v>300</v>
      </c>
      <c r="AB130" t="s">
        <v>301</v>
      </c>
      <c r="AC130" t="s">
        <v>301</v>
      </c>
      <c r="AD130" t="s">
        <v>216</v>
      </c>
      <c r="AE130" t="s">
        <v>300</v>
      </c>
      <c r="AG130" s="8" t="s">
        <v>218</v>
      </c>
      <c r="AH130" t="s">
        <v>302</v>
      </c>
      <c r="AI130" s="9" t="s">
        <v>218</v>
      </c>
      <c r="AJ130" s="9" t="s">
        <v>218</v>
      </c>
      <c r="AK130" t="s">
        <v>483</v>
      </c>
      <c r="AL130" s="9" t="s">
        <v>218</v>
      </c>
      <c r="AM130" s="8" t="s">
        <v>221</v>
      </c>
      <c r="AN130" s="8" t="s">
        <v>221</v>
      </c>
      <c r="AO130" s="8" t="s">
        <v>222</v>
      </c>
      <c r="AP130" s="8">
        <v>0</v>
      </c>
      <c r="AQ130" s="8">
        <v>0</v>
      </c>
      <c r="AR130" s="8">
        <v>0</v>
      </c>
      <c r="AS130" s="8">
        <v>0</v>
      </c>
      <c r="AT130" s="8">
        <v>0</v>
      </c>
      <c r="AU130" s="8">
        <v>0</v>
      </c>
      <c r="AV130" s="8">
        <v>0</v>
      </c>
      <c r="AW130" s="8">
        <v>0</v>
      </c>
      <c r="AX130" s="8"/>
      <c r="AY130" s="8"/>
      <c r="BC130" t="s">
        <v>506</v>
      </c>
    </row>
    <row r="131" spans="1:55">
      <c r="A131" s="6">
        <v>45737</v>
      </c>
      <c r="B131" s="7" t="s">
        <v>507</v>
      </c>
      <c r="C131" t="s">
        <v>387</v>
      </c>
      <c r="D131" t="s">
        <v>292</v>
      </c>
      <c r="E131" t="s">
        <v>292</v>
      </c>
      <c r="F131" t="s">
        <v>293</v>
      </c>
      <c r="G131" t="s">
        <v>294</v>
      </c>
      <c r="H131" s="8" t="s">
        <v>208</v>
      </c>
      <c r="I131" s="8" t="s">
        <v>208</v>
      </c>
      <c r="J131" s="8" t="s">
        <v>208</v>
      </c>
      <c r="K131" s="8" t="s">
        <v>208</v>
      </c>
      <c r="L131" s="8" t="s">
        <v>208</v>
      </c>
      <c r="M131" s="8" t="s">
        <v>208</v>
      </c>
      <c r="N131" s="8" t="s">
        <v>208</v>
      </c>
      <c r="O131" s="8" t="s">
        <v>208</v>
      </c>
      <c r="Q131" t="s">
        <v>508</v>
      </c>
      <c r="R131" t="s">
        <v>509</v>
      </c>
      <c r="S131" t="s">
        <v>509</v>
      </c>
      <c r="T131" t="s">
        <v>507</v>
      </c>
      <c r="U131" t="s">
        <v>510</v>
      </c>
      <c r="V131" t="s">
        <v>30</v>
      </c>
      <c r="W131" t="s">
        <v>298</v>
      </c>
      <c r="Y131" t="s">
        <v>299</v>
      </c>
      <c r="Z131" t="s">
        <v>299</v>
      </c>
      <c r="AA131" t="s">
        <v>300</v>
      </c>
      <c r="AB131" t="s">
        <v>301</v>
      </c>
      <c r="AC131" t="s">
        <v>301</v>
      </c>
      <c r="AD131" t="s">
        <v>216</v>
      </c>
      <c r="AE131" t="s">
        <v>300</v>
      </c>
      <c r="AG131" s="8" t="s">
        <v>218</v>
      </c>
      <c r="AH131" t="s">
        <v>302</v>
      </c>
      <c r="AI131" s="9" t="s">
        <v>218</v>
      </c>
      <c r="AJ131" s="9" t="s">
        <v>218</v>
      </c>
      <c r="AK131" t="s">
        <v>511</v>
      </c>
      <c r="AL131" s="9" t="s">
        <v>218</v>
      </c>
      <c r="AM131" s="8" t="s">
        <v>221</v>
      </c>
      <c r="AN131" s="8" t="s">
        <v>221</v>
      </c>
      <c r="AO131" s="8" t="s">
        <v>222</v>
      </c>
      <c r="AP131" s="8">
        <v>0</v>
      </c>
      <c r="AQ131" s="8">
        <v>0</v>
      </c>
      <c r="AR131" s="8">
        <v>0</v>
      </c>
      <c r="AS131" s="8">
        <v>0</v>
      </c>
      <c r="AT131" s="8">
        <v>0</v>
      </c>
      <c r="AU131" s="8">
        <v>0</v>
      </c>
      <c r="AV131" s="8">
        <v>0</v>
      </c>
      <c r="AW131" s="8">
        <v>0</v>
      </c>
      <c r="AX131" s="8"/>
      <c r="AY131" s="8"/>
      <c r="BC131" t="s">
        <v>512</v>
      </c>
    </row>
    <row r="132" spans="1:55">
      <c r="A132" s="6">
        <v>45737</v>
      </c>
      <c r="B132" s="7" t="s">
        <v>513</v>
      </c>
      <c r="C132" t="s">
        <v>387</v>
      </c>
      <c r="D132" t="s">
        <v>292</v>
      </c>
      <c r="E132" t="s">
        <v>292</v>
      </c>
      <c r="F132" t="s">
        <v>293</v>
      </c>
      <c r="G132" t="s">
        <v>294</v>
      </c>
      <c r="H132" s="8" t="s">
        <v>208</v>
      </c>
      <c r="I132" s="8" t="s">
        <v>208</v>
      </c>
      <c r="J132" s="8" t="s">
        <v>208</v>
      </c>
      <c r="K132" s="8" t="s">
        <v>208</v>
      </c>
      <c r="L132" s="8" t="s">
        <v>208</v>
      </c>
      <c r="M132" s="8" t="s">
        <v>208</v>
      </c>
      <c r="N132" s="8" t="s">
        <v>208</v>
      </c>
      <c r="O132" s="8" t="s">
        <v>208</v>
      </c>
      <c r="Q132" t="s">
        <v>514</v>
      </c>
      <c r="R132" t="s">
        <v>515</v>
      </c>
      <c r="S132" t="s">
        <v>515</v>
      </c>
      <c r="T132" t="s">
        <v>513</v>
      </c>
      <c r="U132" t="s">
        <v>516</v>
      </c>
      <c r="V132" t="s">
        <v>30</v>
      </c>
      <c r="W132" t="s">
        <v>298</v>
      </c>
      <c r="Y132" t="s">
        <v>299</v>
      </c>
      <c r="Z132" t="s">
        <v>299</v>
      </c>
      <c r="AA132" t="s">
        <v>300</v>
      </c>
      <c r="AB132" t="s">
        <v>301</v>
      </c>
      <c r="AC132" t="s">
        <v>301</v>
      </c>
      <c r="AD132" t="s">
        <v>216</v>
      </c>
      <c r="AE132" t="s">
        <v>300</v>
      </c>
      <c r="AG132" s="8" t="s">
        <v>218</v>
      </c>
      <c r="AH132" t="s">
        <v>302</v>
      </c>
      <c r="AI132" s="9" t="s">
        <v>218</v>
      </c>
      <c r="AJ132" s="9" t="s">
        <v>218</v>
      </c>
      <c r="AK132" t="s">
        <v>483</v>
      </c>
      <c r="AL132" s="9" t="s">
        <v>218</v>
      </c>
      <c r="AM132" s="8" t="s">
        <v>221</v>
      </c>
      <c r="AN132" s="8" t="s">
        <v>221</v>
      </c>
      <c r="AO132" s="8" t="s">
        <v>222</v>
      </c>
      <c r="AP132" s="8">
        <v>0</v>
      </c>
      <c r="AQ132" s="8">
        <v>0</v>
      </c>
      <c r="AR132" s="8">
        <v>0</v>
      </c>
      <c r="AS132" s="8">
        <v>0</v>
      </c>
      <c r="AT132" s="8">
        <v>0</v>
      </c>
      <c r="AU132" s="8">
        <v>0</v>
      </c>
      <c r="AV132" s="8">
        <v>0</v>
      </c>
      <c r="AW132" s="8">
        <v>0</v>
      </c>
      <c r="AX132" s="8"/>
      <c r="AY132" s="8"/>
      <c r="BC132" t="s">
        <v>517</v>
      </c>
    </row>
    <row r="133" spans="1:55">
      <c r="A133" s="6">
        <v>45737</v>
      </c>
      <c r="B133" s="7" t="s">
        <v>518</v>
      </c>
      <c r="C133" t="s">
        <v>387</v>
      </c>
      <c r="D133" t="s">
        <v>292</v>
      </c>
      <c r="E133" t="s">
        <v>292</v>
      </c>
      <c r="F133" t="s">
        <v>293</v>
      </c>
      <c r="G133" t="s">
        <v>294</v>
      </c>
      <c r="H133" s="8" t="s">
        <v>208</v>
      </c>
      <c r="I133" s="8" t="s">
        <v>208</v>
      </c>
      <c r="J133" s="8" t="s">
        <v>208</v>
      </c>
      <c r="K133" s="8" t="s">
        <v>208</v>
      </c>
      <c r="L133" s="8" t="s">
        <v>208</v>
      </c>
      <c r="M133" s="8" t="s">
        <v>208</v>
      </c>
      <c r="N133" s="8" t="s">
        <v>208</v>
      </c>
      <c r="O133" s="8" t="s">
        <v>208</v>
      </c>
      <c r="Q133" t="s">
        <v>519</v>
      </c>
      <c r="R133" t="s">
        <v>520</v>
      </c>
      <c r="S133" t="s">
        <v>520</v>
      </c>
      <c r="T133" t="s">
        <v>518</v>
      </c>
      <c r="U133" t="s">
        <v>521</v>
      </c>
      <c r="V133" t="s">
        <v>30</v>
      </c>
      <c r="W133" t="s">
        <v>298</v>
      </c>
      <c r="Y133" t="s">
        <v>299</v>
      </c>
      <c r="Z133" t="s">
        <v>299</v>
      </c>
      <c r="AA133" t="s">
        <v>300</v>
      </c>
      <c r="AB133" t="s">
        <v>301</v>
      </c>
      <c r="AC133" t="s">
        <v>301</v>
      </c>
      <c r="AD133" t="s">
        <v>216</v>
      </c>
      <c r="AE133" t="s">
        <v>300</v>
      </c>
      <c r="AG133" s="8" t="s">
        <v>218</v>
      </c>
      <c r="AH133" t="s">
        <v>302</v>
      </c>
      <c r="AI133" s="9" t="s">
        <v>218</v>
      </c>
      <c r="AJ133" s="9" t="s">
        <v>218</v>
      </c>
      <c r="AK133" t="s">
        <v>511</v>
      </c>
      <c r="AL133" s="9" t="s">
        <v>218</v>
      </c>
      <c r="AM133" s="8" t="s">
        <v>221</v>
      </c>
      <c r="AN133" s="8" t="s">
        <v>221</v>
      </c>
      <c r="AO133" s="8" t="s">
        <v>222</v>
      </c>
      <c r="AP133" s="8">
        <v>0</v>
      </c>
      <c r="AQ133" s="8">
        <v>0</v>
      </c>
      <c r="AR133" s="8">
        <v>0</v>
      </c>
      <c r="AS133" s="8">
        <v>0</v>
      </c>
      <c r="AT133" s="8">
        <v>0</v>
      </c>
      <c r="AU133" s="8">
        <v>0</v>
      </c>
      <c r="AV133" s="8">
        <v>0</v>
      </c>
      <c r="AW133" s="8">
        <v>0</v>
      </c>
      <c r="AX133" s="8"/>
      <c r="AY133" s="8"/>
      <c r="BC133" t="s">
        <v>522</v>
      </c>
    </row>
    <row r="134" spans="1:55">
      <c r="A134" s="6">
        <v>45737</v>
      </c>
      <c r="B134" s="7" t="s">
        <v>523</v>
      </c>
      <c r="C134" t="s">
        <v>387</v>
      </c>
      <c r="D134" t="s">
        <v>292</v>
      </c>
      <c r="E134" t="s">
        <v>292</v>
      </c>
      <c r="F134" t="s">
        <v>293</v>
      </c>
      <c r="G134" t="s">
        <v>294</v>
      </c>
      <c r="H134" s="8" t="s">
        <v>208</v>
      </c>
      <c r="I134" s="8" t="s">
        <v>208</v>
      </c>
      <c r="J134" s="8" t="s">
        <v>208</v>
      </c>
      <c r="K134" s="8" t="s">
        <v>208</v>
      </c>
      <c r="L134" s="8" t="s">
        <v>208</v>
      </c>
      <c r="M134" s="8" t="s">
        <v>208</v>
      </c>
      <c r="N134" s="8" t="s">
        <v>208</v>
      </c>
      <c r="O134" s="8" t="s">
        <v>208</v>
      </c>
      <c r="Q134" t="s">
        <v>524</v>
      </c>
      <c r="R134" t="s">
        <v>525</v>
      </c>
      <c r="S134" t="s">
        <v>525</v>
      </c>
      <c r="T134" t="s">
        <v>523</v>
      </c>
      <c r="U134" t="s">
        <v>526</v>
      </c>
      <c r="V134" t="s">
        <v>30</v>
      </c>
      <c r="W134" t="s">
        <v>298</v>
      </c>
      <c r="Y134" t="s">
        <v>299</v>
      </c>
      <c r="Z134" t="s">
        <v>299</v>
      </c>
      <c r="AA134" t="s">
        <v>300</v>
      </c>
      <c r="AB134" t="s">
        <v>465</v>
      </c>
      <c r="AC134" t="s">
        <v>465</v>
      </c>
      <c r="AD134" t="s">
        <v>216</v>
      </c>
      <c r="AE134" t="s">
        <v>300</v>
      </c>
      <c r="AG134" s="8" t="s">
        <v>218</v>
      </c>
      <c r="AH134" t="s">
        <v>302</v>
      </c>
      <c r="AI134" s="9" t="s">
        <v>218</v>
      </c>
      <c r="AJ134" s="9" t="s">
        <v>218</v>
      </c>
      <c r="AK134" t="s">
        <v>466</v>
      </c>
      <c r="AL134" s="9" t="s">
        <v>218</v>
      </c>
      <c r="AM134" s="8" t="s">
        <v>221</v>
      </c>
      <c r="AN134" s="8" t="s">
        <v>221</v>
      </c>
      <c r="AO134" s="8" t="s">
        <v>222</v>
      </c>
      <c r="AP134" s="8">
        <v>0</v>
      </c>
      <c r="AQ134" s="8">
        <v>0</v>
      </c>
      <c r="AR134" s="8">
        <v>0</v>
      </c>
      <c r="AS134" s="8">
        <v>0</v>
      </c>
      <c r="AT134" s="8">
        <v>0</v>
      </c>
      <c r="AU134" s="8">
        <v>0</v>
      </c>
      <c r="AV134" s="8">
        <v>0</v>
      </c>
      <c r="AW134" s="8">
        <v>0</v>
      </c>
      <c r="AX134" s="8"/>
      <c r="AY134" s="8"/>
      <c r="AZ134">
        <v>1</v>
      </c>
      <c r="BA134" t="s">
        <v>304</v>
      </c>
      <c r="BC134" t="s">
        <v>527</v>
      </c>
    </row>
    <row r="135" spans="1:55">
      <c r="A135" s="6">
        <v>45737</v>
      </c>
      <c r="B135" s="7" t="s">
        <v>528</v>
      </c>
      <c r="C135" t="s">
        <v>387</v>
      </c>
      <c r="D135" t="s">
        <v>292</v>
      </c>
      <c r="E135" t="s">
        <v>292</v>
      </c>
      <c r="F135" t="s">
        <v>293</v>
      </c>
      <c r="G135" t="s">
        <v>294</v>
      </c>
      <c r="H135" s="8" t="s">
        <v>208</v>
      </c>
      <c r="I135" s="8" t="s">
        <v>208</v>
      </c>
      <c r="J135" s="8" t="s">
        <v>208</v>
      </c>
      <c r="K135" s="8" t="s">
        <v>208</v>
      </c>
      <c r="L135" s="8" t="s">
        <v>208</v>
      </c>
      <c r="M135" s="8" t="s">
        <v>208</v>
      </c>
      <c r="N135" s="8" t="s">
        <v>208</v>
      </c>
      <c r="O135" s="8" t="s">
        <v>208</v>
      </c>
      <c r="Q135" t="s">
        <v>529</v>
      </c>
      <c r="R135" t="s">
        <v>530</v>
      </c>
      <c r="S135" t="s">
        <v>530</v>
      </c>
      <c r="T135" t="s">
        <v>528</v>
      </c>
      <c r="U135" t="s">
        <v>531</v>
      </c>
      <c r="V135" t="s">
        <v>30</v>
      </c>
      <c r="W135" t="s">
        <v>298</v>
      </c>
      <c r="Y135" t="s">
        <v>299</v>
      </c>
      <c r="Z135" t="s">
        <v>299</v>
      </c>
      <c r="AA135" t="s">
        <v>300</v>
      </c>
      <c r="AB135" t="s">
        <v>301</v>
      </c>
      <c r="AC135" t="s">
        <v>301</v>
      </c>
      <c r="AD135" t="s">
        <v>216</v>
      </c>
      <c r="AE135" t="s">
        <v>300</v>
      </c>
      <c r="AG135" s="8" t="s">
        <v>218</v>
      </c>
      <c r="AH135" t="s">
        <v>302</v>
      </c>
      <c r="AI135" s="9" t="s">
        <v>218</v>
      </c>
      <c r="AJ135" s="9" t="s">
        <v>218</v>
      </c>
      <c r="AK135" t="s">
        <v>532</v>
      </c>
      <c r="AL135" s="9" t="s">
        <v>218</v>
      </c>
      <c r="AM135" s="8" t="s">
        <v>221</v>
      </c>
      <c r="AN135" s="8" t="s">
        <v>221</v>
      </c>
      <c r="AO135" s="8" t="s">
        <v>222</v>
      </c>
      <c r="AP135" s="8">
        <v>0</v>
      </c>
      <c r="AQ135" s="8">
        <v>0</v>
      </c>
      <c r="AR135" s="8">
        <v>0</v>
      </c>
      <c r="AS135" s="8">
        <v>0</v>
      </c>
      <c r="AT135" s="8">
        <v>0</v>
      </c>
      <c r="AU135" s="8">
        <v>0</v>
      </c>
      <c r="AV135" s="8">
        <v>0</v>
      </c>
      <c r="AW135" s="8">
        <v>0</v>
      </c>
      <c r="AX135" s="8"/>
      <c r="AY135" s="8"/>
      <c r="AZ135">
        <v>1</v>
      </c>
      <c r="BA135" t="s">
        <v>304</v>
      </c>
      <c r="BC135" t="s">
        <v>533</v>
      </c>
    </row>
    <row r="136" spans="1:55">
      <c r="A136" s="6">
        <v>45737</v>
      </c>
      <c r="B136" s="7" t="s">
        <v>534</v>
      </c>
      <c r="C136" t="s">
        <v>387</v>
      </c>
      <c r="D136" t="s">
        <v>292</v>
      </c>
      <c r="E136" t="s">
        <v>292</v>
      </c>
      <c r="F136" t="s">
        <v>293</v>
      </c>
      <c r="G136" t="s">
        <v>294</v>
      </c>
      <c r="H136" s="8" t="s">
        <v>208</v>
      </c>
      <c r="I136" s="8" t="s">
        <v>208</v>
      </c>
      <c r="J136" s="8" t="s">
        <v>208</v>
      </c>
      <c r="K136" s="8" t="s">
        <v>208</v>
      </c>
      <c r="L136" s="8" t="s">
        <v>208</v>
      </c>
      <c r="M136" s="8" t="s">
        <v>208</v>
      </c>
      <c r="N136" s="8" t="s">
        <v>208</v>
      </c>
      <c r="O136" s="8" t="s">
        <v>208</v>
      </c>
      <c r="Q136" t="s">
        <v>535</v>
      </c>
      <c r="R136" t="s">
        <v>536</v>
      </c>
      <c r="S136" t="s">
        <v>536</v>
      </c>
      <c r="T136" t="s">
        <v>534</v>
      </c>
      <c r="U136" t="s">
        <v>537</v>
      </c>
      <c r="V136" t="s">
        <v>30</v>
      </c>
      <c r="W136" t="s">
        <v>298</v>
      </c>
      <c r="Y136" t="s">
        <v>299</v>
      </c>
      <c r="Z136" t="s">
        <v>299</v>
      </c>
      <c r="AA136" t="s">
        <v>300</v>
      </c>
      <c r="AB136" t="s">
        <v>538</v>
      </c>
      <c r="AC136" t="s">
        <v>538</v>
      </c>
      <c r="AD136" t="s">
        <v>216</v>
      </c>
      <c r="AE136" t="s">
        <v>300</v>
      </c>
      <c r="AG136" s="8" t="s">
        <v>218</v>
      </c>
      <c r="AH136" t="s">
        <v>302</v>
      </c>
      <c r="AI136" s="9" t="s">
        <v>218</v>
      </c>
      <c r="AJ136" s="9" t="s">
        <v>218</v>
      </c>
      <c r="AK136" t="s">
        <v>400</v>
      </c>
      <c r="AL136" s="9" t="s">
        <v>218</v>
      </c>
      <c r="AM136" s="8" t="s">
        <v>221</v>
      </c>
      <c r="AN136" s="8" t="s">
        <v>221</v>
      </c>
      <c r="AO136" s="8" t="s">
        <v>222</v>
      </c>
      <c r="AP136" s="8">
        <v>0</v>
      </c>
      <c r="AQ136" s="8">
        <v>0</v>
      </c>
      <c r="AR136" s="9">
        <v>7</v>
      </c>
      <c r="AS136" s="8">
        <v>0</v>
      </c>
      <c r="AT136" s="8">
        <v>0</v>
      </c>
      <c r="AU136" s="8">
        <v>0</v>
      </c>
      <c r="AV136" s="8">
        <v>0</v>
      </c>
      <c r="AW136" s="9">
        <v>7</v>
      </c>
      <c r="AX136" s="8"/>
      <c r="AY136" s="8"/>
      <c r="AZ136">
        <v>3</v>
      </c>
      <c r="BA136" t="s">
        <v>410</v>
      </c>
      <c r="BB136" t="s">
        <v>539</v>
      </c>
      <c r="BC136" t="s">
        <v>540</v>
      </c>
    </row>
    <row r="137" spans="1:55">
      <c r="A137" s="6">
        <v>45737</v>
      </c>
      <c r="B137" s="7" t="s">
        <v>541</v>
      </c>
      <c r="C137" t="s">
        <v>387</v>
      </c>
      <c r="D137" t="s">
        <v>292</v>
      </c>
      <c r="E137" t="s">
        <v>292</v>
      </c>
      <c r="F137" t="s">
        <v>293</v>
      </c>
      <c r="G137" t="s">
        <v>294</v>
      </c>
      <c r="H137" s="8" t="s">
        <v>208</v>
      </c>
      <c r="I137" s="8" t="s">
        <v>208</v>
      </c>
      <c r="J137" s="8" t="s">
        <v>208</v>
      </c>
      <c r="K137" s="8" t="s">
        <v>208</v>
      </c>
      <c r="L137" s="8" t="s">
        <v>208</v>
      </c>
      <c r="M137" s="8" t="s">
        <v>208</v>
      </c>
      <c r="N137" s="8" t="s">
        <v>208</v>
      </c>
      <c r="O137" s="8" t="s">
        <v>208</v>
      </c>
      <c r="Q137" t="s">
        <v>542</v>
      </c>
      <c r="R137" t="s">
        <v>543</v>
      </c>
      <c r="S137" t="s">
        <v>543</v>
      </c>
      <c r="T137" t="s">
        <v>541</v>
      </c>
      <c r="U137" t="s">
        <v>544</v>
      </c>
      <c r="V137" t="s">
        <v>30</v>
      </c>
      <c r="W137" t="s">
        <v>298</v>
      </c>
      <c r="Y137" t="s">
        <v>299</v>
      </c>
      <c r="Z137" t="s">
        <v>299</v>
      </c>
      <c r="AA137" t="s">
        <v>300</v>
      </c>
      <c r="AB137" t="s">
        <v>538</v>
      </c>
      <c r="AC137" t="s">
        <v>538</v>
      </c>
      <c r="AD137" t="s">
        <v>216</v>
      </c>
      <c r="AE137" t="s">
        <v>300</v>
      </c>
      <c r="AG137" s="8" t="s">
        <v>218</v>
      </c>
      <c r="AH137" t="s">
        <v>302</v>
      </c>
      <c r="AI137" s="9" t="s">
        <v>218</v>
      </c>
      <c r="AJ137" s="9" t="s">
        <v>218</v>
      </c>
      <c r="AK137" t="s">
        <v>400</v>
      </c>
      <c r="AL137" s="9" t="s">
        <v>218</v>
      </c>
      <c r="AM137" s="8" t="s">
        <v>221</v>
      </c>
      <c r="AN137" s="8" t="s">
        <v>221</v>
      </c>
      <c r="AO137" s="8" t="s">
        <v>222</v>
      </c>
      <c r="AP137" s="8">
        <v>0</v>
      </c>
      <c r="AQ137" s="8">
        <v>0</v>
      </c>
      <c r="AR137" s="9">
        <v>5</v>
      </c>
      <c r="AS137" s="8">
        <v>0</v>
      </c>
      <c r="AT137" s="8">
        <v>0</v>
      </c>
      <c r="AU137" s="8">
        <v>0</v>
      </c>
      <c r="AV137" s="8">
        <v>0</v>
      </c>
      <c r="AW137" s="9">
        <v>5</v>
      </c>
      <c r="AX137" s="8"/>
      <c r="AY137" s="8"/>
      <c r="AZ137">
        <v>3</v>
      </c>
      <c r="BA137" t="s">
        <v>545</v>
      </c>
      <c r="BB137" t="s">
        <v>546</v>
      </c>
      <c r="BC137" t="s">
        <v>547</v>
      </c>
    </row>
    <row r="138" spans="1:55">
      <c r="A138" s="6">
        <v>45737</v>
      </c>
      <c r="B138" s="7" t="s">
        <v>548</v>
      </c>
      <c r="C138" t="s">
        <v>387</v>
      </c>
      <c r="D138" t="s">
        <v>292</v>
      </c>
      <c r="E138" t="s">
        <v>292</v>
      </c>
      <c r="F138" t="s">
        <v>293</v>
      </c>
      <c r="G138" t="s">
        <v>294</v>
      </c>
      <c r="H138" s="8" t="s">
        <v>208</v>
      </c>
      <c r="I138" s="8" t="s">
        <v>208</v>
      </c>
      <c r="J138" s="8" t="s">
        <v>208</v>
      </c>
      <c r="K138" s="8" t="s">
        <v>208</v>
      </c>
      <c r="L138" s="8" t="s">
        <v>208</v>
      </c>
      <c r="M138" s="8" t="s">
        <v>208</v>
      </c>
      <c r="N138" s="8" t="s">
        <v>208</v>
      </c>
      <c r="O138" s="8" t="s">
        <v>208</v>
      </c>
      <c r="Q138" t="s">
        <v>549</v>
      </c>
      <c r="R138" t="s">
        <v>550</v>
      </c>
      <c r="S138" t="s">
        <v>550</v>
      </c>
      <c r="T138" t="s">
        <v>548</v>
      </c>
      <c r="U138" t="s">
        <v>551</v>
      </c>
      <c r="V138" t="s">
        <v>30</v>
      </c>
      <c r="W138" t="s">
        <v>298</v>
      </c>
      <c r="Y138" t="s">
        <v>299</v>
      </c>
      <c r="Z138" t="s">
        <v>299</v>
      </c>
      <c r="AA138" t="s">
        <v>300</v>
      </c>
      <c r="AB138" t="s">
        <v>408</v>
      </c>
      <c r="AC138" t="s">
        <v>408</v>
      </c>
      <c r="AD138" t="s">
        <v>216</v>
      </c>
      <c r="AE138" t="s">
        <v>300</v>
      </c>
      <c r="AG138" s="8" t="s">
        <v>218</v>
      </c>
      <c r="AH138" t="s">
        <v>302</v>
      </c>
      <c r="AI138" s="9" t="s">
        <v>218</v>
      </c>
      <c r="AJ138" s="9" t="s">
        <v>218</v>
      </c>
      <c r="AK138" t="s">
        <v>400</v>
      </c>
      <c r="AL138" s="9" t="s">
        <v>218</v>
      </c>
      <c r="AM138" s="8" t="s">
        <v>221</v>
      </c>
      <c r="AN138" s="8" t="s">
        <v>221</v>
      </c>
      <c r="AO138" s="8" t="s">
        <v>222</v>
      </c>
      <c r="AP138" s="8">
        <v>0</v>
      </c>
      <c r="AQ138" s="8">
        <v>0</v>
      </c>
      <c r="AR138" s="8">
        <v>0</v>
      </c>
      <c r="AS138" s="8">
        <v>0</v>
      </c>
      <c r="AT138" s="8">
        <v>0</v>
      </c>
      <c r="AU138" s="8">
        <v>0</v>
      </c>
      <c r="AV138" s="8">
        <v>0</v>
      </c>
      <c r="AW138" s="8">
        <v>0</v>
      </c>
      <c r="AX138" s="8"/>
      <c r="AY138" s="8"/>
      <c r="AZ138">
        <v>1</v>
      </c>
      <c r="BA138" t="s">
        <v>304</v>
      </c>
      <c r="BB138" t="s">
        <v>552</v>
      </c>
      <c r="BC138" t="s">
        <v>553</v>
      </c>
    </row>
    <row r="139" spans="1:55">
      <c r="A139" s="6">
        <v>45737</v>
      </c>
      <c r="B139" s="7" t="s">
        <v>554</v>
      </c>
      <c r="C139" t="s">
        <v>387</v>
      </c>
      <c r="D139" t="s">
        <v>292</v>
      </c>
      <c r="E139" t="s">
        <v>292</v>
      </c>
      <c r="F139" t="s">
        <v>293</v>
      </c>
      <c r="G139" t="s">
        <v>294</v>
      </c>
      <c r="H139" s="8" t="s">
        <v>208</v>
      </c>
      <c r="I139" s="8" t="s">
        <v>208</v>
      </c>
      <c r="J139" s="8" t="s">
        <v>208</v>
      </c>
      <c r="K139" s="8" t="s">
        <v>208</v>
      </c>
      <c r="L139" s="8" t="s">
        <v>208</v>
      </c>
      <c r="M139" s="8" t="s">
        <v>208</v>
      </c>
      <c r="N139" s="8" t="s">
        <v>208</v>
      </c>
      <c r="O139" s="8" t="s">
        <v>208</v>
      </c>
      <c r="Q139" t="s">
        <v>555</v>
      </c>
      <c r="R139" t="s">
        <v>556</v>
      </c>
      <c r="S139" t="s">
        <v>556</v>
      </c>
      <c r="T139" t="s">
        <v>554</v>
      </c>
      <c r="U139" t="s">
        <v>557</v>
      </c>
      <c r="V139" t="s">
        <v>30</v>
      </c>
      <c r="W139" t="s">
        <v>298</v>
      </c>
      <c r="Y139" t="s">
        <v>299</v>
      </c>
      <c r="Z139" t="s">
        <v>299</v>
      </c>
      <c r="AA139" t="s">
        <v>300</v>
      </c>
      <c r="AB139" t="s">
        <v>465</v>
      </c>
      <c r="AC139" t="s">
        <v>465</v>
      </c>
      <c r="AD139" t="s">
        <v>216</v>
      </c>
      <c r="AE139" t="s">
        <v>300</v>
      </c>
      <c r="AG139" s="8" t="s">
        <v>218</v>
      </c>
      <c r="AH139" t="s">
        <v>302</v>
      </c>
      <c r="AI139" s="9" t="s">
        <v>218</v>
      </c>
      <c r="AJ139" s="9" t="s">
        <v>218</v>
      </c>
      <c r="AK139" t="s">
        <v>558</v>
      </c>
      <c r="AL139" s="9" t="s">
        <v>218</v>
      </c>
      <c r="AM139" s="8" t="s">
        <v>221</v>
      </c>
      <c r="AN139" s="8" t="s">
        <v>221</v>
      </c>
      <c r="AO139" s="8" t="s">
        <v>222</v>
      </c>
      <c r="AP139" s="8">
        <v>0</v>
      </c>
      <c r="AQ139" s="8">
        <v>0</v>
      </c>
      <c r="AR139" s="8">
        <v>0</v>
      </c>
      <c r="AS139" s="8">
        <v>0</v>
      </c>
      <c r="AT139" s="8">
        <v>0</v>
      </c>
      <c r="AU139" s="8">
        <v>0</v>
      </c>
      <c r="AV139" s="8">
        <v>0</v>
      </c>
      <c r="AW139" s="8">
        <v>0</v>
      </c>
      <c r="AX139" s="8"/>
      <c r="AY139" s="8"/>
      <c r="AZ139">
        <v>1</v>
      </c>
      <c r="BA139" t="s">
        <v>304</v>
      </c>
      <c r="BB139" t="s">
        <v>559</v>
      </c>
      <c r="BC139" t="s">
        <v>560</v>
      </c>
    </row>
    <row r="140" spans="1:55">
      <c r="A140" s="6">
        <v>45737</v>
      </c>
      <c r="B140" s="7" t="s">
        <v>561</v>
      </c>
      <c r="C140" t="s">
        <v>387</v>
      </c>
      <c r="D140" t="s">
        <v>292</v>
      </c>
      <c r="E140" t="s">
        <v>292</v>
      </c>
      <c r="F140" t="s">
        <v>293</v>
      </c>
      <c r="G140" t="s">
        <v>294</v>
      </c>
      <c r="H140" s="8" t="s">
        <v>208</v>
      </c>
      <c r="I140" s="8" t="s">
        <v>208</v>
      </c>
      <c r="J140" s="8" t="s">
        <v>208</v>
      </c>
      <c r="K140" s="8" t="s">
        <v>208</v>
      </c>
      <c r="L140" s="8" t="s">
        <v>208</v>
      </c>
      <c r="M140" s="8" t="s">
        <v>208</v>
      </c>
      <c r="N140" s="8" t="s">
        <v>208</v>
      </c>
      <c r="O140" s="8" t="s">
        <v>208</v>
      </c>
      <c r="Q140" t="s">
        <v>562</v>
      </c>
      <c r="R140" t="s">
        <v>563</v>
      </c>
      <c r="S140" t="s">
        <v>563</v>
      </c>
      <c r="T140" t="s">
        <v>561</v>
      </c>
      <c r="U140" t="s">
        <v>564</v>
      </c>
      <c r="V140" t="s">
        <v>30</v>
      </c>
      <c r="W140" t="s">
        <v>298</v>
      </c>
      <c r="Y140" t="s">
        <v>299</v>
      </c>
      <c r="Z140" t="s">
        <v>299</v>
      </c>
      <c r="AA140" t="s">
        <v>300</v>
      </c>
      <c r="AB140" t="s">
        <v>301</v>
      </c>
      <c r="AC140" t="s">
        <v>301</v>
      </c>
      <c r="AD140" t="s">
        <v>216</v>
      </c>
      <c r="AE140" t="s">
        <v>300</v>
      </c>
      <c r="AG140" s="8" t="s">
        <v>218</v>
      </c>
      <c r="AH140" t="s">
        <v>302</v>
      </c>
      <c r="AI140" s="9" t="s">
        <v>218</v>
      </c>
      <c r="AJ140" s="9" t="s">
        <v>218</v>
      </c>
      <c r="AK140" t="s">
        <v>565</v>
      </c>
      <c r="AL140" s="9" t="s">
        <v>218</v>
      </c>
      <c r="AM140" s="8" t="s">
        <v>221</v>
      </c>
      <c r="AN140" s="8" t="s">
        <v>221</v>
      </c>
      <c r="AO140" s="8" t="s">
        <v>222</v>
      </c>
      <c r="AP140" s="8">
        <v>0</v>
      </c>
      <c r="AQ140" s="8">
        <v>0</v>
      </c>
      <c r="AR140" s="8">
        <v>0</v>
      </c>
      <c r="AS140" s="8">
        <v>0</v>
      </c>
      <c r="AT140" s="8">
        <v>0</v>
      </c>
      <c r="AU140" s="8">
        <v>0</v>
      </c>
      <c r="AV140" s="8">
        <v>0</v>
      </c>
      <c r="AW140" s="8">
        <v>0</v>
      </c>
      <c r="AX140" s="8"/>
      <c r="AY140" s="8"/>
      <c r="AZ140">
        <v>1</v>
      </c>
      <c r="BA140" t="s">
        <v>304</v>
      </c>
      <c r="BB140" t="s">
        <v>566</v>
      </c>
      <c r="BC140" t="s">
        <v>567</v>
      </c>
    </row>
    <row r="141" spans="1:55">
      <c r="A141" s="6">
        <v>45737</v>
      </c>
      <c r="B141" s="7" t="s">
        <v>568</v>
      </c>
      <c r="C141" t="s">
        <v>387</v>
      </c>
      <c r="D141" t="s">
        <v>292</v>
      </c>
      <c r="E141" t="s">
        <v>292</v>
      </c>
      <c r="F141" t="s">
        <v>293</v>
      </c>
      <c r="G141" t="s">
        <v>294</v>
      </c>
      <c r="H141" s="8" t="s">
        <v>208</v>
      </c>
      <c r="I141" s="8" t="s">
        <v>208</v>
      </c>
      <c r="J141" s="8" t="s">
        <v>208</v>
      </c>
      <c r="K141" s="8" t="s">
        <v>208</v>
      </c>
      <c r="L141" s="8" t="s">
        <v>208</v>
      </c>
      <c r="M141" s="8" t="s">
        <v>208</v>
      </c>
      <c r="N141" s="8" t="s">
        <v>208</v>
      </c>
      <c r="O141" s="8" t="s">
        <v>208</v>
      </c>
      <c r="Q141" t="s">
        <v>569</v>
      </c>
      <c r="R141" t="s">
        <v>570</v>
      </c>
      <c r="S141" t="s">
        <v>570</v>
      </c>
      <c r="T141" t="s">
        <v>568</v>
      </c>
      <c r="U141" t="s">
        <v>571</v>
      </c>
      <c r="V141" t="s">
        <v>30</v>
      </c>
      <c r="W141" t="s">
        <v>298</v>
      </c>
      <c r="Y141" t="s">
        <v>299</v>
      </c>
      <c r="Z141" t="s">
        <v>299</v>
      </c>
      <c r="AA141" t="s">
        <v>300</v>
      </c>
      <c r="AB141" t="s">
        <v>301</v>
      </c>
      <c r="AC141" t="s">
        <v>301</v>
      </c>
      <c r="AD141" t="s">
        <v>216</v>
      </c>
      <c r="AE141" t="s">
        <v>300</v>
      </c>
      <c r="AG141" s="8" t="s">
        <v>218</v>
      </c>
      <c r="AH141" t="s">
        <v>302</v>
      </c>
      <c r="AI141" s="9" t="s">
        <v>218</v>
      </c>
      <c r="AJ141" s="9" t="s">
        <v>218</v>
      </c>
      <c r="AK141" t="s">
        <v>572</v>
      </c>
      <c r="AL141" s="9" t="s">
        <v>218</v>
      </c>
      <c r="AM141" s="8" t="s">
        <v>221</v>
      </c>
      <c r="AN141" s="8" t="s">
        <v>221</v>
      </c>
      <c r="AO141" s="8" t="s">
        <v>222</v>
      </c>
      <c r="AP141" s="8">
        <v>0</v>
      </c>
      <c r="AQ141" s="8">
        <v>0</v>
      </c>
      <c r="AR141" s="8">
        <v>0</v>
      </c>
      <c r="AS141" s="8">
        <v>0</v>
      </c>
      <c r="AT141" s="8">
        <v>0</v>
      </c>
      <c r="AU141" s="8">
        <v>0</v>
      </c>
      <c r="AV141" s="8">
        <v>0</v>
      </c>
      <c r="AW141" s="8">
        <v>0</v>
      </c>
      <c r="AX141" s="8"/>
      <c r="AY141" s="8"/>
      <c r="AZ141">
        <v>1</v>
      </c>
      <c r="BA141" t="s">
        <v>573</v>
      </c>
      <c r="BB141" t="s">
        <v>574</v>
      </c>
      <c r="BC141" t="s">
        <v>575</v>
      </c>
    </row>
    <row r="142" spans="1:55">
      <c r="A142" s="6">
        <v>45737</v>
      </c>
      <c r="B142" s="7" t="s">
        <v>576</v>
      </c>
      <c r="C142" t="s">
        <v>387</v>
      </c>
      <c r="D142" t="s">
        <v>292</v>
      </c>
      <c r="E142" t="s">
        <v>292</v>
      </c>
      <c r="F142" t="s">
        <v>293</v>
      </c>
      <c r="G142" t="s">
        <v>294</v>
      </c>
      <c r="H142" s="8" t="s">
        <v>208</v>
      </c>
      <c r="I142" s="8" t="s">
        <v>208</v>
      </c>
      <c r="J142" s="8" t="s">
        <v>208</v>
      </c>
      <c r="K142" s="8" t="s">
        <v>208</v>
      </c>
      <c r="L142" s="8" t="s">
        <v>208</v>
      </c>
      <c r="M142" s="8" t="s">
        <v>208</v>
      </c>
      <c r="N142" s="8" t="s">
        <v>208</v>
      </c>
      <c r="O142" s="8" t="s">
        <v>208</v>
      </c>
      <c r="Q142" t="s">
        <v>577</v>
      </c>
      <c r="R142" t="s">
        <v>578</v>
      </c>
      <c r="S142" t="s">
        <v>578</v>
      </c>
      <c r="T142" t="s">
        <v>576</v>
      </c>
      <c r="U142" t="s">
        <v>579</v>
      </c>
      <c r="V142" t="s">
        <v>30</v>
      </c>
      <c r="W142" t="s">
        <v>298</v>
      </c>
      <c r="Y142" t="s">
        <v>299</v>
      </c>
      <c r="Z142" t="s">
        <v>299</v>
      </c>
      <c r="AA142" t="s">
        <v>300</v>
      </c>
      <c r="AB142" t="s">
        <v>417</v>
      </c>
      <c r="AC142" t="s">
        <v>417</v>
      </c>
      <c r="AD142" t="s">
        <v>216</v>
      </c>
      <c r="AE142" t="s">
        <v>300</v>
      </c>
      <c r="AG142" s="8" t="s">
        <v>218</v>
      </c>
      <c r="AH142" t="s">
        <v>302</v>
      </c>
      <c r="AI142" s="9" t="s">
        <v>218</v>
      </c>
      <c r="AJ142" s="9" t="s">
        <v>218</v>
      </c>
      <c r="AK142" t="s">
        <v>580</v>
      </c>
      <c r="AL142" s="9" t="s">
        <v>218</v>
      </c>
      <c r="AM142" s="8" t="s">
        <v>221</v>
      </c>
      <c r="AN142" s="8" t="s">
        <v>221</v>
      </c>
      <c r="AO142" s="8" t="s">
        <v>222</v>
      </c>
      <c r="AP142" s="8">
        <v>0</v>
      </c>
      <c r="AQ142" s="8">
        <v>0</v>
      </c>
      <c r="AR142" s="8">
        <v>0</v>
      </c>
      <c r="AS142" s="8">
        <v>0</v>
      </c>
      <c r="AT142" s="8">
        <v>0</v>
      </c>
      <c r="AU142" s="8">
        <v>0</v>
      </c>
      <c r="AV142" s="8">
        <v>0</v>
      </c>
      <c r="AW142" s="8">
        <v>0</v>
      </c>
      <c r="AX142" s="8"/>
      <c r="AY142" s="8"/>
      <c r="AZ142">
        <v>2</v>
      </c>
      <c r="BA142" t="s">
        <v>581</v>
      </c>
      <c r="BB142" t="s">
        <v>582</v>
      </c>
      <c r="BC142" t="s">
        <v>583</v>
      </c>
    </row>
    <row r="143" spans="1:55">
      <c r="A143" s="6">
        <v>45737</v>
      </c>
      <c r="B143" s="7" t="s">
        <v>584</v>
      </c>
      <c r="C143" t="s">
        <v>387</v>
      </c>
      <c r="D143" t="s">
        <v>292</v>
      </c>
      <c r="E143" t="s">
        <v>292</v>
      </c>
      <c r="F143" t="s">
        <v>293</v>
      </c>
      <c r="G143" t="s">
        <v>294</v>
      </c>
      <c r="H143" s="8" t="s">
        <v>208</v>
      </c>
      <c r="I143" s="8" t="s">
        <v>208</v>
      </c>
      <c r="J143" s="8" t="s">
        <v>208</v>
      </c>
      <c r="K143" s="8" t="s">
        <v>208</v>
      </c>
      <c r="L143" s="8" t="s">
        <v>208</v>
      </c>
      <c r="M143" s="8" t="s">
        <v>208</v>
      </c>
      <c r="N143" s="8" t="s">
        <v>208</v>
      </c>
      <c r="O143" s="8" t="s">
        <v>208</v>
      </c>
      <c r="Q143" t="s">
        <v>585</v>
      </c>
      <c r="R143" t="s">
        <v>586</v>
      </c>
      <c r="S143" t="s">
        <v>586</v>
      </c>
      <c r="T143" t="s">
        <v>584</v>
      </c>
      <c r="U143" t="s">
        <v>587</v>
      </c>
      <c r="V143" t="s">
        <v>30</v>
      </c>
      <c r="W143" t="s">
        <v>298</v>
      </c>
      <c r="Y143" t="s">
        <v>299</v>
      </c>
      <c r="Z143" t="s">
        <v>299</v>
      </c>
      <c r="AA143" t="s">
        <v>300</v>
      </c>
      <c r="AB143" t="s">
        <v>465</v>
      </c>
      <c r="AC143" t="s">
        <v>465</v>
      </c>
      <c r="AD143" t="s">
        <v>216</v>
      </c>
      <c r="AE143" t="s">
        <v>300</v>
      </c>
      <c r="AG143" s="8" t="s">
        <v>218</v>
      </c>
      <c r="AH143" t="s">
        <v>302</v>
      </c>
      <c r="AI143" s="9" t="s">
        <v>218</v>
      </c>
      <c r="AJ143" s="9" t="s">
        <v>218</v>
      </c>
      <c r="AK143" t="s">
        <v>588</v>
      </c>
      <c r="AL143" s="9" t="s">
        <v>218</v>
      </c>
      <c r="AM143" s="8" t="s">
        <v>221</v>
      </c>
      <c r="AN143" s="8" t="s">
        <v>221</v>
      </c>
      <c r="AO143" s="8" t="s">
        <v>222</v>
      </c>
      <c r="AP143" s="8">
        <v>0</v>
      </c>
      <c r="AQ143" s="8">
        <v>0</v>
      </c>
      <c r="AR143" s="8">
        <v>0</v>
      </c>
      <c r="AS143" s="8">
        <v>0</v>
      </c>
      <c r="AT143" s="8">
        <v>0</v>
      </c>
      <c r="AU143" s="8">
        <v>0</v>
      </c>
      <c r="AV143" s="8">
        <v>0</v>
      </c>
      <c r="AW143" s="8">
        <v>0</v>
      </c>
      <c r="AX143" s="8"/>
      <c r="AY143" s="8"/>
      <c r="AZ143">
        <v>2</v>
      </c>
      <c r="BA143" t="s">
        <v>589</v>
      </c>
      <c r="BB143" t="s">
        <v>590</v>
      </c>
      <c r="BC143" t="s">
        <v>591</v>
      </c>
    </row>
    <row r="144" spans="1:55">
      <c r="A144" s="6">
        <v>45737</v>
      </c>
      <c r="B144" s="7" t="s">
        <v>592</v>
      </c>
      <c r="C144" t="s">
        <v>387</v>
      </c>
      <c r="D144" t="s">
        <v>292</v>
      </c>
      <c r="E144" t="s">
        <v>292</v>
      </c>
      <c r="F144" t="s">
        <v>293</v>
      </c>
      <c r="G144" t="s">
        <v>294</v>
      </c>
      <c r="H144" s="8" t="s">
        <v>208</v>
      </c>
      <c r="I144" s="8" t="s">
        <v>208</v>
      </c>
      <c r="J144" s="8" t="s">
        <v>208</v>
      </c>
      <c r="K144" s="8" t="s">
        <v>208</v>
      </c>
      <c r="L144" s="8" t="s">
        <v>208</v>
      </c>
      <c r="M144" s="8" t="s">
        <v>208</v>
      </c>
      <c r="N144" s="8" t="s">
        <v>208</v>
      </c>
      <c r="O144" s="8" t="s">
        <v>208</v>
      </c>
      <c r="Q144" t="s">
        <v>593</v>
      </c>
      <c r="R144" t="s">
        <v>594</v>
      </c>
      <c r="S144" t="s">
        <v>594</v>
      </c>
      <c r="T144" t="s">
        <v>592</v>
      </c>
      <c r="U144" t="s">
        <v>595</v>
      </c>
      <c r="V144" t="s">
        <v>30</v>
      </c>
      <c r="W144" t="s">
        <v>298</v>
      </c>
      <c r="Y144" t="s">
        <v>299</v>
      </c>
      <c r="Z144" t="s">
        <v>299</v>
      </c>
      <c r="AA144" t="s">
        <v>300</v>
      </c>
      <c r="AB144" t="s">
        <v>301</v>
      </c>
      <c r="AC144" t="s">
        <v>301</v>
      </c>
      <c r="AD144" t="s">
        <v>216</v>
      </c>
      <c r="AE144" t="s">
        <v>300</v>
      </c>
      <c r="AG144" s="8" t="s">
        <v>218</v>
      </c>
      <c r="AH144" t="s">
        <v>302</v>
      </c>
      <c r="AI144" s="9" t="s">
        <v>218</v>
      </c>
      <c r="AJ144" s="9" t="s">
        <v>218</v>
      </c>
      <c r="AK144" t="s">
        <v>596</v>
      </c>
      <c r="AL144" s="9" t="s">
        <v>218</v>
      </c>
      <c r="AM144" s="8" t="s">
        <v>221</v>
      </c>
      <c r="AN144" s="8" t="s">
        <v>221</v>
      </c>
      <c r="AO144" s="8" t="s">
        <v>222</v>
      </c>
      <c r="AP144" s="8">
        <v>0</v>
      </c>
      <c r="AQ144" s="8">
        <v>0</v>
      </c>
      <c r="AR144" s="8">
        <v>0</v>
      </c>
      <c r="AS144" s="8">
        <v>0</v>
      </c>
      <c r="AT144" s="8">
        <v>0</v>
      </c>
      <c r="AU144" s="8">
        <v>0</v>
      </c>
      <c r="AV144" s="8">
        <v>0</v>
      </c>
      <c r="AW144" s="8">
        <v>0</v>
      </c>
      <c r="AX144" s="8"/>
      <c r="AY144" s="8"/>
      <c r="AZ144">
        <v>1</v>
      </c>
      <c r="BA144" t="s">
        <v>304</v>
      </c>
      <c r="BB144" t="s">
        <v>597</v>
      </c>
      <c r="BC144" t="s">
        <v>598</v>
      </c>
    </row>
    <row r="145" spans="1:55">
      <c r="A145" s="6">
        <v>45737</v>
      </c>
      <c r="B145" s="7" t="s">
        <v>599</v>
      </c>
      <c r="C145" t="s">
        <v>387</v>
      </c>
      <c r="D145" t="s">
        <v>292</v>
      </c>
      <c r="E145" t="s">
        <v>292</v>
      </c>
      <c r="F145" t="s">
        <v>293</v>
      </c>
      <c r="G145" t="s">
        <v>294</v>
      </c>
      <c r="H145" s="8" t="s">
        <v>208</v>
      </c>
      <c r="I145" s="8" t="s">
        <v>208</v>
      </c>
      <c r="J145" s="8" t="s">
        <v>208</v>
      </c>
      <c r="K145" s="8" t="s">
        <v>208</v>
      </c>
      <c r="L145" s="8" t="s">
        <v>208</v>
      </c>
      <c r="M145" s="8" t="s">
        <v>208</v>
      </c>
      <c r="N145" s="8" t="s">
        <v>208</v>
      </c>
      <c r="O145" s="8" t="s">
        <v>208</v>
      </c>
      <c r="Q145" t="s">
        <v>600</v>
      </c>
      <c r="R145" t="s">
        <v>601</v>
      </c>
      <c r="S145" t="s">
        <v>601</v>
      </c>
      <c r="T145" t="s">
        <v>599</v>
      </c>
      <c r="U145" t="s">
        <v>602</v>
      </c>
      <c r="V145" t="s">
        <v>30</v>
      </c>
      <c r="W145" t="s">
        <v>298</v>
      </c>
      <c r="Y145" t="s">
        <v>299</v>
      </c>
      <c r="Z145" t="s">
        <v>299</v>
      </c>
      <c r="AA145" t="s">
        <v>300</v>
      </c>
      <c r="AB145" t="s">
        <v>603</v>
      </c>
      <c r="AC145" t="s">
        <v>603</v>
      </c>
      <c r="AD145" t="s">
        <v>216</v>
      </c>
      <c r="AE145" t="s">
        <v>300</v>
      </c>
      <c r="AG145" s="8" t="s">
        <v>218</v>
      </c>
      <c r="AH145" t="s">
        <v>302</v>
      </c>
      <c r="AI145" s="9" t="s">
        <v>218</v>
      </c>
      <c r="AJ145" s="9" t="s">
        <v>218</v>
      </c>
      <c r="AK145" t="s">
        <v>400</v>
      </c>
      <c r="AL145" s="9" t="s">
        <v>218</v>
      </c>
      <c r="AM145" s="8" t="s">
        <v>221</v>
      </c>
      <c r="AN145" s="8" t="s">
        <v>221</v>
      </c>
      <c r="AO145" s="8" t="s">
        <v>222</v>
      </c>
      <c r="AP145" s="8">
        <v>0</v>
      </c>
      <c r="AQ145" s="8">
        <v>0</v>
      </c>
      <c r="AR145" s="8">
        <v>0</v>
      </c>
      <c r="AS145" s="8">
        <v>0</v>
      </c>
      <c r="AT145" s="8">
        <v>0</v>
      </c>
      <c r="AU145" s="8">
        <v>0</v>
      </c>
      <c r="AV145" s="8">
        <v>0</v>
      </c>
      <c r="AW145" s="8">
        <v>0</v>
      </c>
      <c r="AX145" s="8"/>
      <c r="AY145" s="8"/>
      <c r="AZ145">
        <v>1</v>
      </c>
      <c r="BA145" t="s">
        <v>304</v>
      </c>
      <c r="BB145" t="s">
        <v>604</v>
      </c>
      <c r="BC145" t="s">
        <v>605</v>
      </c>
    </row>
    <row r="146" spans="1:55">
      <c r="A146" s="6">
        <v>45737</v>
      </c>
      <c r="B146" s="7" t="s">
        <v>606</v>
      </c>
      <c r="C146" t="s">
        <v>387</v>
      </c>
      <c r="D146" t="s">
        <v>292</v>
      </c>
      <c r="E146" t="s">
        <v>292</v>
      </c>
      <c r="F146" t="s">
        <v>293</v>
      </c>
      <c r="G146" t="s">
        <v>294</v>
      </c>
      <c r="H146" s="8" t="s">
        <v>208</v>
      </c>
      <c r="I146" s="8" t="s">
        <v>208</v>
      </c>
      <c r="J146" s="8" t="s">
        <v>208</v>
      </c>
      <c r="K146" s="8" t="s">
        <v>208</v>
      </c>
      <c r="L146" s="8" t="s">
        <v>208</v>
      </c>
      <c r="M146" s="8" t="s">
        <v>208</v>
      </c>
      <c r="N146" s="8" t="s">
        <v>208</v>
      </c>
      <c r="O146" s="8" t="s">
        <v>208</v>
      </c>
      <c r="Q146" t="s">
        <v>607</v>
      </c>
      <c r="R146" t="s">
        <v>608</v>
      </c>
      <c r="S146" t="s">
        <v>608</v>
      </c>
      <c r="T146" t="s">
        <v>606</v>
      </c>
      <c r="U146" t="s">
        <v>609</v>
      </c>
      <c r="V146" t="s">
        <v>30</v>
      </c>
      <c r="W146" t="s">
        <v>298</v>
      </c>
      <c r="Y146" t="s">
        <v>299</v>
      </c>
      <c r="Z146" t="s">
        <v>299</v>
      </c>
      <c r="AA146" t="s">
        <v>300</v>
      </c>
      <c r="AB146" t="s">
        <v>408</v>
      </c>
      <c r="AC146" t="s">
        <v>408</v>
      </c>
      <c r="AD146" t="s">
        <v>216</v>
      </c>
      <c r="AE146" t="s">
        <v>300</v>
      </c>
      <c r="AG146" s="8" t="s">
        <v>218</v>
      </c>
      <c r="AH146" t="s">
        <v>302</v>
      </c>
      <c r="AI146" s="9" t="s">
        <v>218</v>
      </c>
      <c r="AJ146" s="9" t="s">
        <v>218</v>
      </c>
      <c r="AK146" t="s">
        <v>400</v>
      </c>
      <c r="AL146" s="9" t="s">
        <v>218</v>
      </c>
      <c r="AM146" s="8" t="s">
        <v>221</v>
      </c>
      <c r="AN146" s="8" t="s">
        <v>221</v>
      </c>
      <c r="AO146" s="8" t="s">
        <v>222</v>
      </c>
      <c r="AP146" s="8">
        <v>0</v>
      </c>
      <c r="AQ146" s="8">
        <v>0</v>
      </c>
      <c r="AR146" s="8">
        <v>0</v>
      </c>
      <c r="AS146" s="8">
        <v>0</v>
      </c>
      <c r="AT146" s="8">
        <v>0</v>
      </c>
      <c r="AU146" s="8">
        <v>0</v>
      </c>
      <c r="AV146" s="8">
        <v>0</v>
      </c>
      <c r="AW146" s="8">
        <v>0</v>
      </c>
      <c r="AX146" s="8"/>
      <c r="AY146" s="8"/>
      <c r="AZ146">
        <v>1</v>
      </c>
      <c r="BA146" t="s">
        <v>304</v>
      </c>
      <c r="BB146" t="s">
        <v>610</v>
      </c>
      <c r="BC146" t="s">
        <v>611</v>
      </c>
    </row>
    <row r="147" spans="1:55">
      <c r="A147" s="6">
        <v>45737</v>
      </c>
      <c r="B147" s="7" t="s">
        <v>612</v>
      </c>
      <c r="C147" t="s">
        <v>387</v>
      </c>
      <c r="D147" t="s">
        <v>292</v>
      </c>
      <c r="E147" t="s">
        <v>292</v>
      </c>
      <c r="F147" t="s">
        <v>293</v>
      </c>
      <c r="G147" t="s">
        <v>294</v>
      </c>
      <c r="H147" s="8" t="s">
        <v>208</v>
      </c>
      <c r="I147" s="8" t="s">
        <v>208</v>
      </c>
      <c r="J147" s="8" t="s">
        <v>208</v>
      </c>
      <c r="K147" s="8" t="s">
        <v>208</v>
      </c>
      <c r="L147" s="8" t="s">
        <v>208</v>
      </c>
      <c r="M147" s="8" t="s">
        <v>208</v>
      </c>
      <c r="N147" s="8" t="s">
        <v>208</v>
      </c>
      <c r="O147" s="8" t="s">
        <v>208</v>
      </c>
      <c r="Q147" t="s">
        <v>613</v>
      </c>
      <c r="R147" t="s">
        <v>614</v>
      </c>
      <c r="S147" t="s">
        <v>614</v>
      </c>
      <c r="T147" t="s">
        <v>612</v>
      </c>
      <c r="U147" t="s">
        <v>615</v>
      </c>
      <c r="V147" t="s">
        <v>30</v>
      </c>
      <c r="W147" t="s">
        <v>298</v>
      </c>
      <c r="Y147" t="s">
        <v>299</v>
      </c>
      <c r="Z147" t="s">
        <v>299</v>
      </c>
      <c r="AA147" t="s">
        <v>300</v>
      </c>
      <c r="AB147" t="s">
        <v>603</v>
      </c>
      <c r="AC147" t="s">
        <v>603</v>
      </c>
      <c r="AD147" t="s">
        <v>216</v>
      </c>
      <c r="AE147" t="s">
        <v>300</v>
      </c>
      <c r="AG147" s="8" t="s">
        <v>218</v>
      </c>
      <c r="AH147" t="s">
        <v>302</v>
      </c>
      <c r="AI147" s="9" t="s">
        <v>218</v>
      </c>
      <c r="AJ147" s="9" t="s">
        <v>218</v>
      </c>
      <c r="AK147" t="s">
        <v>400</v>
      </c>
      <c r="AL147" s="9" t="s">
        <v>218</v>
      </c>
      <c r="AM147" s="8" t="s">
        <v>221</v>
      </c>
      <c r="AN147" s="8" t="s">
        <v>221</v>
      </c>
      <c r="AO147" s="8" t="s">
        <v>222</v>
      </c>
      <c r="AP147" s="8">
        <v>0</v>
      </c>
      <c r="AQ147" s="8">
        <v>0</v>
      </c>
      <c r="AR147" s="8">
        <v>0</v>
      </c>
      <c r="AS147" s="8">
        <v>0</v>
      </c>
      <c r="AT147" s="8">
        <v>0</v>
      </c>
      <c r="AU147" s="8">
        <v>0</v>
      </c>
      <c r="AV147" s="8">
        <v>0</v>
      </c>
      <c r="AW147" s="8">
        <v>0</v>
      </c>
      <c r="AX147" s="8"/>
      <c r="AY147" s="8"/>
      <c r="AZ147">
        <v>1</v>
      </c>
      <c r="BA147" t="s">
        <v>304</v>
      </c>
      <c r="BB147" t="s">
        <v>616</v>
      </c>
      <c r="BC147" t="s">
        <v>617</v>
      </c>
    </row>
    <row r="148" spans="1:55">
      <c r="A148" s="6">
        <v>45737</v>
      </c>
      <c r="B148" s="7" t="s">
        <v>618</v>
      </c>
      <c r="C148" t="s">
        <v>387</v>
      </c>
      <c r="D148" t="s">
        <v>292</v>
      </c>
      <c r="E148" t="s">
        <v>292</v>
      </c>
      <c r="F148" t="s">
        <v>293</v>
      </c>
      <c r="G148" t="s">
        <v>294</v>
      </c>
      <c r="H148" s="8" t="s">
        <v>208</v>
      </c>
      <c r="I148" s="8" t="s">
        <v>208</v>
      </c>
      <c r="J148" s="8" t="s">
        <v>208</v>
      </c>
      <c r="K148" s="8" t="s">
        <v>208</v>
      </c>
      <c r="L148" s="8" t="s">
        <v>208</v>
      </c>
      <c r="M148" s="8" t="s">
        <v>208</v>
      </c>
      <c r="N148" s="8" t="s">
        <v>208</v>
      </c>
      <c r="O148" s="8" t="s">
        <v>208</v>
      </c>
      <c r="Q148" t="s">
        <v>619</v>
      </c>
      <c r="R148" t="s">
        <v>620</v>
      </c>
      <c r="S148" t="s">
        <v>620</v>
      </c>
      <c r="T148" t="s">
        <v>618</v>
      </c>
      <c r="U148" t="s">
        <v>621</v>
      </c>
      <c r="V148" t="s">
        <v>30</v>
      </c>
      <c r="W148" t="s">
        <v>298</v>
      </c>
      <c r="Y148" t="s">
        <v>299</v>
      </c>
      <c r="Z148" t="s">
        <v>299</v>
      </c>
      <c r="AA148" t="s">
        <v>300</v>
      </c>
      <c r="AB148" t="s">
        <v>417</v>
      </c>
      <c r="AC148" t="s">
        <v>417</v>
      </c>
      <c r="AD148" t="s">
        <v>216</v>
      </c>
      <c r="AE148" t="s">
        <v>300</v>
      </c>
      <c r="AG148" s="8" t="s">
        <v>218</v>
      </c>
      <c r="AH148" t="s">
        <v>302</v>
      </c>
      <c r="AI148" s="9" t="s">
        <v>218</v>
      </c>
      <c r="AJ148" s="9" t="s">
        <v>218</v>
      </c>
      <c r="AK148" t="s">
        <v>400</v>
      </c>
      <c r="AL148" s="9" t="s">
        <v>218</v>
      </c>
      <c r="AM148" s="8" t="s">
        <v>221</v>
      </c>
      <c r="AN148" s="8" t="s">
        <v>221</v>
      </c>
      <c r="AO148" s="8" t="s">
        <v>222</v>
      </c>
      <c r="AP148" s="8">
        <v>0</v>
      </c>
      <c r="AQ148" s="8">
        <v>0</v>
      </c>
      <c r="AR148" s="8">
        <v>0</v>
      </c>
      <c r="AS148" s="8">
        <v>0</v>
      </c>
      <c r="AT148" s="8">
        <v>0</v>
      </c>
      <c r="AU148" s="8">
        <v>0</v>
      </c>
      <c r="AV148" s="8">
        <v>0</v>
      </c>
      <c r="AW148" s="8">
        <v>0</v>
      </c>
      <c r="AX148" s="8"/>
      <c r="AY148" s="8"/>
      <c r="AZ148">
        <v>1</v>
      </c>
      <c r="BA148" t="s">
        <v>304</v>
      </c>
      <c r="BB148" t="s">
        <v>622</v>
      </c>
      <c r="BC148" t="s">
        <v>623</v>
      </c>
    </row>
    <row r="149" spans="1:55">
      <c r="A149" s="6">
        <v>45737</v>
      </c>
      <c r="B149" s="7" t="s">
        <v>624</v>
      </c>
      <c r="C149" t="s">
        <v>387</v>
      </c>
      <c r="D149" t="s">
        <v>292</v>
      </c>
      <c r="E149" t="s">
        <v>292</v>
      </c>
      <c r="F149" t="s">
        <v>293</v>
      </c>
      <c r="G149" t="s">
        <v>294</v>
      </c>
      <c r="H149" s="8" t="s">
        <v>208</v>
      </c>
      <c r="I149" s="8" t="s">
        <v>208</v>
      </c>
      <c r="J149" s="8" t="s">
        <v>208</v>
      </c>
      <c r="K149" s="8" t="s">
        <v>208</v>
      </c>
      <c r="L149" s="8" t="s">
        <v>208</v>
      </c>
      <c r="M149" s="8" t="s">
        <v>208</v>
      </c>
      <c r="N149" s="8" t="s">
        <v>208</v>
      </c>
      <c r="O149" s="8" t="s">
        <v>208</v>
      </c>
      <c r="Q149" t="s">
        <v>625</v>
      </c>
      <c r="R149" t="s">
        <v>626</v>
      </c>
      <c r="S149" t="s">
        <v>626</v>
      </c>
      <c r="T149" t="s">
        <v>624</v>
      </c>
      <c r="U149" t="s">
        <v>627</v>
      </c>
      <c r="V149" t="s">
        <v>30</v>
      </c>
      <c r="W149" t="s">
        <v>298</v>
      </c>
      <c r="Y149" t="s">
        <v>299</v>
      </c>
      <c r="Z149" t="s">
        <v>299</v>
      </c>
      <c r="AA149" t="s">
        <v>300</v>
      </c>
      <c r="AB149" t="s">
        <v>301</v>
      </c>
      <c r="AC149" t="s">
        <v>301</v>
      </c>
      <c r="AD149" t="s">
        <v>216</v>
      </c>
      <c r="AE149" t="s">
        <v>300</v>
      </c>
      <c r="AG149" s="8" t="s">
        <v>218</v>
      </c>
      <c r="AH149" t="s">
        <v>302</v>
      </c>
      <c r="AI149" s="9" t="s">
        <v>218</v>
      </c>
      <c r="AJ149" s="9" t="s">
        <v>218</v>
      </c>
      <c r="AK149" t="s">
        <v>628</v>
      </c>
      <c r="AL149" s="9" t="s">
        <v>218</v>
      </c>
      <c r="AM149" s="8" t="s">
        <v>221</v>
      </c>
      <c r="AN149" s="8" t="s">
        <v>221</v>
      </c>
      <c r="AO149" s="8" t="s">
        <v>222</v>
      </c>
      <c r="AP149" s="8">
        <v>0</v>
      </c>
      <c r="AQ149" s="8">
        <v>0</v>
      </c>
      <c r="AR149" s="8">
        <v>0</v>
      </c>
      <c r="AS149" s="8">
        <v>0</v>
      </c>
      <c r="AT149" s="8">
        <v>0</v>
      </c>
      <c r="AU149" s="8">
        <v>0</v>
      </c>
      <c r="AV149" s="8">
        <v>0</v>
      </c>
      <c r="AW149" s="8">
        <v>0</v>
      </c>
      <c r="AX149" s="8"/>
      <c r="AY149" s="8"/>
      <c r="AZ149">
        <v>0</v>
      </c>
      <c r="BB149" t="s">
        <v>629</v>
      </c>
      <c r="BC149" t="s">
        <v>630</v>
      </c>
    </row>
    <row r="150" spans="1:55">
      <c r="A150" s="6">
        <v>45737</v>
      </c>
      <c r="B150" s="7" t="s">
        <v>631</v>
      </c>
      <c r="C150" t="s">
        <v>387</v>
      </c>
      <c r="D150" t="s">
        <v>292</v>
      </c>
      <c r="E150" t="s">
        <v>292</v>
      </c>
      <c r="F150" t="s">
        <v>293</v>
      </c>
      <c r="G150" t="s">
        <v>294</v>
      </c>
      <c r="H150" s="8" t="s">
        <v>208</v>
      </c>
      <c r="I150" s="8" t="s">
        <v>208</v>
      </c>
      <c r="J150" s="8" t="s">
        <v>208</v>
      </c>
      <c r="K150" s="8" t="s">
        <v>208</v>
      </c>
      <c r="L150" s="8" t="s">
        <v>208</v>
      </c>
      <c r="M150" s="8" t="s">
        <v>208</v>
      </c>
      <c r="N150" s="8" t="s">
        <v>208</v>
      </c>
      <c r="O150" s="8" t="s">
        <v>208</v>
      </c>
      <c r="Q150" t="s">
        <v>632</v>
      </c>
      <c r="R150" t="s">
        <v>633</v>
      </c>
      <c r="S150" t="s">
        <v>633</v>
      </c>
      <c r="T150" t="s">
        <v>631</v>
      </c>
      <c r="U150" t="s">
        <v>634</v>
      </c>
      <c r="V150" t="s">
        <v>635</v>
      </c>
      <c r="W150" t="s">
        <v>298</v>
      </c>
      <c r="Y150" t="s">
        <v>299</v>
      </c>
      <c r="Z150" t="s">
        <v>299</v>
      </c>
      <c r="AA150" t="s">
        <v>636</v>
      </c>
      <c r="AB150" t="s">
        <v>425</v>
      </c>
      <c r="AC150" t="s">
        <v>425</v>
      </c>
      <c r="AD150" t="s">
        <v>216</v>
      </c>
      <c r="AE150" t="s">
        <v>636</v>
      </c>
      <c r="AG150" s="8" t="s">
        <v>218</v>
      </c>
      <c r="AH150" t="s">
        <v>302</v>
      </c>
      <c r="AI150" s="9" t="s">
        <v>218</v>
      </c>
      <c r="AJ150" s="9" t="s">
        <v>218</v>
      </c>
      <c r="AK150" t="s">
        <v>637</v>
      </c>
      <c r="AL150" s="9" t="s">
        <v>218</v>
      </c>
      <c r="AM150" s="8" t="s">
        <v>221</v>
      </c>
      <c r="AN150" s="8" t="s">
        <v>221</v>
      </c>
      <c r="AO150" s="8" t="s">
        <v>222</v>
      </c>
      <c r="AP150" s="8">
        <v>0</v>
      </c>
      <c r="AQ150" s="8">
        <v>0</v>
      </c>
      <c r="AR150" s="8">
        <v>0</v>
      </c>
      <c r="AS150" s="8">
        <v>0</v>
      </c>
      <c r="AT150" s="8">
        <v>0</v>
      </c>
      <c r="AU150" s="8">
        <v>0</v>
      </c>
      <c r="AV150" s="8">
        <v>0</v>
      </c>
      <c r="AW150" s="8">
        <v>0</v>
      </c>
      <c r="AX150" s="8"/>
      <c r="AY150" s="8"/>
      <c r="AZ150">
        <v>1</v>
      </c>
      <c r="BA150" t="s">
        <v>304</v>
      </c>
      <c r="BB150" t="s">
        <v>638</v>
      </c>
      <c r="BC150" t="s">
        <v>639</v>
      </c>
    </row>
    <row r="151" spans="1:55">
      <c r="A151" s="6">
        <v>45737</v>
      </c>
      <c r="B151" s="7" t="s">
        <v>640</v>
      </c>
      <c r="C151" t="s">
        <v>387</v>
      </c>
      <c r="D151" t="s">
        <v>292</v>
      </c>
      <c r="E151" t="s">
        <v>292</v>
      </c>
      <c r="F151" t="s">
        <v>293</v>
      </c>
      <c r="G151" t="s">
        <v>294</v>
      </c>
      <c r="H151" s="8" t="s">
        <v>208</v>
      </c>
      <c r="I151" s="8" t="s">
        <v>208</v>
      </c>
      <c r="J151" s="8" t="s">
        <v>208</v>
      </c>
      <c r="K151" s="8" t="s">
        <v>208</v>
      </c>
      <c r="L151" s="8" t="s">
        <v>208</v>
      </c>
      <c r="M151" s="8" t="s">
        <v>208</v>
      </c>
      <c r="N151" s="8" t="s">
        <v>208</v>
      </c>
      <c r="O151" s="8" t="s">
        <v>208</v>
      </c>
      <c r="Q151" t="s">
        <v>641</v>
      </c>
      <c r="R151" t="s">
        <v>642</v>
      </c>
      <c r="S151" t="s">
        <v>642</v>
      </c>
      <c r="T151" t="s">
        <v>640</v>
      </c>
      <c r="U151" t="s">
        <v>643</v>
      </c>
      <c r="V151" t="s">
        <v>644</v>
      </c>
      <c r="W151" t="s">
        <v>298</v>
      </c>
      <c r="Y151" t="s">
        <v>299</v>
      </c>
      <c r="Z151" t="s">
        <v>299</v>
      </c>
      <c r="AA151" t="s">
        <v>645</v>
      </c>
      <c r="AB151" t="s">
        <v>646</v>
      </c>
      <c r="AC151" t="s">
        <v>646</v>
      </c>
      <c r="AD151" t="s">
        <v>216</v>
      </c>
      <c r="AE151" t="s">
        <v>645</v>
      </c>
      <c r="AG151" s="9" t="s">
        <v>221</v>
      </c>
      <c r="AH151" t="s">
        <v>302</v>
      </c>
      <c r="AI151" s="9" t="s">
        <v>218</v>
      </c>
      <c r="AJ151" s="9" t="s">
        <v>218</v>
      </c>
      <c r="AK151" t="s">
        <v>234</v>
      </c>
      <c r="AL151" s="9" t="s">
        <v>218</v>
      </c>
      <c r="AM151" s="8" t="s">
        <v>221</v>
      </c>
      <c r="AN151" s="8" t="s">
        <v>221</v>
      </c>
      <c r="AO151" s="8" t="s">
        <v>222</v>
      </c>
      <c r="AP151" s="8">
        <v>0</v>
      </c>
      <c r="AQ151" s="8">
        <v>0</v>
      </c>
      <c r="AR151" s="9">
        <v>48</v>
      </c>
      <c r="AS151" s="8">
        <v>0</v>
      </c>
      <c r="AT151" s="8">
        <v>0</v>
      </c>
      <c r="AU151" s="8">
        <v>0</v>
      </c>
      <c r="AV151" s="8">
        <v>0</v>
      </c>
      <c r="AW151" s="9">
        <v>48</v>
      </c>
      <c r="AX151" s="8"/>
      <c r="AY151" s="8"/>
      <c r="AZ151">
        <v>3</v>
      </c>
      <c r="BA151" t="s">
        <v>410</v>
      </c>
      <c r="BB151" t="s">
        <v>647</v>
      </c>
      <c r="BC151" t="s">
        <v>648</v>
      </c>
    </row>
    <row r="152" spans="1:55">
      <c r="A152" s="6">
        <v>45737</v>
      </c>
      <c r="B152" s="7" t="s">
        <v>649</v>
      </c>
      <c r="C152" t="s">
        <v>387</v>
      </c>
      <c r="D152" t="s">
        <v>292</v>
      </c>
      <c r="E152" t="s">
        <v>292</v>
      </c>
      <c r="F152" t="s">
        <v>293</v>
      </c>
      <c r="G152" t="s">
        <v>294</v>
      </c>
      <c r="H152" s="8" t="s">
        <v>208</v>
      </c>
      <c r="I152" s="8" t="s">
        <v>208</v>
      </c>
      <c r="J152" s="8" t="s">
        <v>208</v>
      </c>
      <c r="K152" s="8" t="s">
        <v>208</v>
      </c>
      <c r="L152" s="8" t="s">
        <v>208</v>
      </c>
      <c r="M152" s="8" t="s">
        <v>208</v>
      </c>
      <c r="N152" s="8" t="s">
        <v>208</v>
      </c>
      <c r="O152" s="8" t="s">
        <v>208</v>
      </c>
      <c r="Q152" t="s">
        <v>650</v>
      </c>
      <c r="R152" t="s">
        <v>651</v>
      </c>
      <c r="S152" t="s">
        <v>651</v>
      </c>
      <c r="T152" t="s">
        <v>649</v>
      </c>
      <c r="U152" t="s">
        <v>652</v>
      </c>
      <c r="V152" t="s">
        <v>38</v>
      </c>
      <c r="W152" t="s">
        <v>298</v>
      </c>
      <c r="Y152" t="s">
        <v>299</v>
      </c>
      <c r="Z152" t="s">
        <v>299</v>
      </c>
      <c r="AA152" t="s">
        <v>653</v>
      </c>
      <c r="AB152" t="s">
        <v>301</v>
      </c>
      <c r="AC152" t="s">
        <v>301</v>
      </c>
      <c r="AD152" t="s">
        <v>216</v>
      </c>
      <c r="AE152" t="s">
        <v>654</v>
      </c>
      <c r="AG152" s="8" t="s">
        <v>218</v>
      </c>
      <c r="AH152" t="s">
        <v>302</v>
      </c>
      <c r="AI152" s="9" t="s">
        <v>218</v>
      </c>
      <c r="AJ152" s="9" t="s">
        <v>218</v>
      </c>
      <c r="AK152" t="s">
        <v>655</v>
      </c>
      <c r="AL152" s="9" t="s">
        <v>218</v>
      </c>
      <c r="AM152" s="8" t="s">
        <v>221</v>
      </c>
      <c r="AN152" s="8" t="s">
        <v>221</v>
      </c>
      <c r="AO152" s="8" t="s">
        <v>222</v>
      </c>
      <c r="AP152" s="8">
        <v>0</v>
      </c>
      <c r="AQ152" s="8">
        <v>0</v>
      </c>
      <c r="AR152" s="8">
        <v>0</v>
      </c>
      <c r="AS152" s="8">
        <v>0</v>
      </c>
      <c r="AT152" s="8">
        <v>0</v>
      </c>
      <c r="AU152" s="8">
        <v>0</v>
      </c>
      <c r="AV152" s="8">
        <v>0</v>
      </c>
      <c r="AW152" s="8">
        <v>0</v>
      </c>
      <c r="AX152" s="8"/>
      <c r="AY152" s="8"/>
      <c r="AZ152">
        <v>0</v>
      </c>
      <c r="BB152" t="s">
        <v>656</v>
      </c>
      <c r="BC152" t="s">
        <v>657</v>
      </c>
    </row>
    <row r="153" spans="1:55">
      <c r="A153" s="6">
        <v>45737</v>
      </c>
      <c r="B153" s="7" t="s">
        <v>658</v>
      </c>
      <c r="C153" t="s">
        <v>387</v>
      </c>
      <c r="D153" t="s">
        <v>292</v>
      </c>
      <c r="E153" t="s">
        <v>292</v>
      </c>
      <c r="F153" t="s">
        <v>293</v>
      </c>
      <c r="G153" t="s">
        <v>294</v>
      </c>
      <c r="H153" s="8" t="s">
        <v>208</v>
      </c>
      <c r="I153" s="8" t="s">
        <v>208</v>
      </c>
      <c r="J153" s="8" t="s">
        <v>208</v>
      </c>
      <c r="K153" s="8" t="s">
        <v>208</v>
      </c>
      <c r="L153" s="8" t="s">
        <v>208</v>
      </c>
      <c r="M153" s="8" t="s">
        <v>208</v>
      </c>
      <c r="N153" s="8" t="s">
        <v>208</v>
      </c>
      <c r="O153" s="8" t="s">
        <v>208</v>
      </c>
      <c r="Q153" t="s">
        <v>659</v>
      </c>
      <c r="R153" t="s">
        <v>660</v>
      </c>
      <c r="S153" t="s">
        <v>660</v>
      </c>
      <c r="T153" t="s">
        <v>658</v>
      </c>
      <c r="U153" t="s">
        <v>661</v>
      </c>
      <c r="V153" t="s">
        <v>662</v>
      </c>
      <c r="W153" t="s">
        <v>298</v>
      </c>
      <c r="Y153" t="s">
        <v>299</v>
      </c>
      <c r="Z153" t="s">
        <v>299</v>
      </c>
      <c r="AA153" t="s">
        <v>663</v>
      </c>
      <c r="AB153" t="s">
        <v>465</v>
      </c>
      <c r="AC153" t="s">
        <v>465</v>
      </c>
      <c r="AD153" t="s">
        <v>216</v>
      </c>
      <c r="AE153" t="s">
        <v>663</v>
      </c>
      <c r="AG153" s="8" t="s">
        <v>218</v>
      </c>
      <c r="AH153" t="s">
        <v>302</v>
      </c>
      <c r="AI153" s="9" t="s">
        <v>218</v>
      </c>
      <c r="AJ153" s="9" t="s">
        <v>218</v>
      </c>
      <c r="AK153" t="s">
        <v>234</v>
      </c>
      <c r="AL153" s="9" t="s">
        <v>218</v>
      </c>
      <c r="AM153" s="8" t="s">
        <v>221</v>
      </c>
      <c r="AN153" s="8" t="s">
        <v>221</v>
      </c>
      <c r="AO153" s="8" t="s">
        <v>222</v>
      </c>
      <c r="AP153" s="8">
        <v>0</v>
      </c>
      <c r="AQ153" s="8">
        <v>0</v>
      </c>
      <c r="AR153" s="9">
        <v>4</v>
      </c>
      <c r="AS153" s="8">
        <v>0</v>
      </c>
      <c r="AT153" s="8">
        <v>0</v>
      </c>
      <c r="AU153" s="8">
        <v>0</v>
      </c>
      <c r="AV153" s="8">
        <v>0</v>
      </c>
      <c r="AW153" s="9">
        <v>4</v>
      </c>
      <c r="AX153" s="9" t="s">
        <v>664</v>
      </c>
      <c r="AY153" s="8"/>
      <c r="AZ153">
        <v>1</v>
      </c>
      <c r="BA153" t="s">
        <v>304</v>
      </c>
      <c r="BB153" t="s">
        <v>665</v>
      </c>
      <c r="BC153" t="s">
        <v>666</v>
      </c>
    </row>
    <row r="154" spans="1:55">
      <c r="A154" s="6">
        <v>45737</v>
      </c>
      <c r="B154" s="7" t="s">
        <v>667</v>
      </c>
      <c r="C154" t="s">
        <v>668</v>
      </c>
      <c r="D154" t="s">
        <v>292</v>
      </c>
      <c r="E154" t="s">
        <v>292</v>
      </c>
      <c r="F154" t="s">
        <v>293</v>
      </c>
      <c r="G154" t="s">
        <v>294</v>
      </c>
      <c r="H154" s="8" t="s">
        <v>208</v>
      </c>
      <c r="I154" s="8" t="s">
        <v>208</v>
      </c>
      <c r="J154" s="8" t="s">
        <v>208</v>
      </c>
      <c r="K154" s="8" t="s">
        <v>208</v>
      </c>
      <c r="L154" s="8" t="s">
        <v>208</v>
      </c>
      <c r="M154" s="8" t="s">
        <v>208</v>
      </c>
      <c r="N154" s="8" t="s">
        <v>208</v>
      </c>
      <c r="O154" s="8" t="s">
        <v>208</v>
      </c>
      <c r="Q154" t="s">
        <v>669</v>
      </c>
      <c r="R154" t="s">
        <v>670</v>
      </c>
      <c r="S154" t="s">
        <v>670</v>
      </c>
      <c r="T154" t="s">
        <v>667</v>
      </c>
      <c r="U154" t="s">
        <v>671</v>
      </c>
      <c r="V154" t="s">
        <v>138</v>
      </c>
      <c r="W154" t="s">
        <v>212</v>
      </c>
      <c r="Y154" t="s">
        <v>213</v>
      </c>
      <c r="Z154" t="s">
        <v>213</v>
      </c>
      <c r="AA154" t="s">
        <v>214</v>
      </c>
      <c r="AB154" t="s">
        <v>672</v>
      </c>
      <c r="AC154" t="s">
        <v>672</v>
      </c>
      <c r="AD154" t="s">
        <v>216</v>
      </c>
      <c r="AE154" t="s">
        <v>673</v>
      </c>
      <c r="AG154" s="8" t="s">
        <v>218</v>
      </c>
      <c r="AH154" t="s">
        <v>219</v>
      </c>
      <c r="AI154" s="9" t="s">
        <v>218</v>
      </c>
      <c r="AJ154" s="9" t="s">
        <v>218</v>
      </c>
      <c r="AK154" t="s">
        <v>234</v>
      </c>
      <c r="AL154" s="9" t="s">
        <v>218</v>
      </c>
      <c r="AM154" s="8" t="s">
        <v>221</v>
      </c>
      <c r="AN154" s="8" t="s">
        <v>221</v>
      </c>
      <c r="AO154" s="8" t="s">
        <v>222</v>
      </c>
      <c r="AP154" s="8">
        <v>0</v>
      </c>
      <c r="AQ154" s="8">
        <v>0</v>
      </c>
      <c r="AR154" s="9">
        <v>130</v>
      </c>
      <c r="AS154" s="8">
        <v>0</v>
      </c>
      <c r="AT154" s="8">
        <v>0</v>
      </c>
      <c r="AU154" s="8">
        <v>0</v>
      </c>
      <c r="AV154" s="8">
        <v>0</v>
      </c>
      <c r="AW154" s="9">
        <v>130</v>
      </c>
      <c r="AX154" s="8"/>
      <c r="AY154" s="9" t="s">
        <v>674</v>
      </c>
      <c r="AZ154">
        <v>2</v>
      </c>
      <c r="BA154" t="s">
        <v>287</v>
      </c>
      <c r="BB154" t="s">
        <v>675</v>
      </c>
      <c r="BC154" t="s">
        <v>676</v>
      </c>
    </row>
    <row r="155" spans="1:55">
      <c r="A155" s="6">
        <v>45737</v>
      </c>
      <c r="B155" s="7" t="s">
        <v>677</v>
      </c>
      <c r="C155" t="s">
        <v>668</v>
      </c>
      <c r="D155" t="s">
        <v>292</v>
      </c>
      <c r="E155" t="s">
        <v>292</v>
      </c>
      <c r="F155" t="s">
        <v>293</v>
      </c>
      <c r="G155" t="s">
        <v>294</v>
      </c>
      <c r="H155" s="8" t="s">
        <v>208</v>
      </c>
      <c r="I155" s="8" t="s">
        <v>208</v>
      </c>
      <c r="J155" s="8" t="s">
        <v>208</v>
      </c>
      <c r="K155" s="8" t="s">
        <v>208</v>
      </c>
      <c r="L155" s="8" t="s">
        <v>208</v>
      </c>
      <c r="M155" s="8" t="s">
        <v>208</v>
      </c>
      <c r="N155" s="8" t="s">
        <v>208</v>
      </c>
      <c r="O155" s="8" t="s">
        <v>208</v>
      </c>
      <c r="Q155" t="s">
        <v>678</v>
      </c>
      <c r="R155" t="s">
        <v>679</v>
      </c>
      <c r="S155" t="s">
        <v>679</v>
      </c>
      <c r="T155" t="s">
        <v>677</v>
      </c>
      <c r="U155" t="s">
        <v>680</v>
      </c>
      <c r="V155" t="s">
        <v>140</v>
      </c>
      <c r="W155" t="s">
        <v>212</v>
      </c>
      <c r="Y155" t="s">
        <v>213</v>
      </c>
      <c r="Z155" t="s">
        <v>213</v>
      </c>
      <c r="AA155" t="s">
        <v>214</v>
      </c>
      <c r="AB155" t="s">
        <v>681</v>
      </c>
      <c r="AC155" t="s">
        <v>681</v>
      </c>
      <c r="AD155" t="s">
        <v>216</v>
      </c>
      <c r="AE155" t="s">
        <v>673</v>
      </c>
      <c r="AG155" s="8" t="s">
        <v>218</v>
      </c>
      <c r="AH155" t="s">
        <v>219</v>
      </c>
      <c r="AI155" s="9" t="s">
        <v>218</v>
      </c>
      <c r="AJ155" s="9" t="s">
        <v>218</v>
      </c>
      <c r="AK155" t="s">
        <v>234</v>
      </c>
      <c r="AL155" s="9" t="s">
        <v>218</v>
      </c>
      <c r="AM155" s="8" t="s">
        <v>221</v>
      </c>
      <c r="AN155" s="8" t="s">
        <v>221</v>
      </c>
      <c r="AO155" s="8" t="s">
        <v>222</v>
      </c>
      <c r="AP155" s="8">
        <v>0</v>
      </c>
      <c r="AQ155" s="8">
        <v>0</v>
      </c>
      <c r="AR155" s="9">
        <v>123</v>
      </c>
      <c r="AS155" s="8">
        <v>0</v>
      </c>
      <c r="AT155" s="8">
        <v>0</v>
      </c>
      <c r="AU155" s="8">
        <v>0</v>
      </c>
      <c r="AV155" s="8">
        <v>0</v>
      </c>
      <c r="AW155" s="9">
        <v>123</v>
      </c>
      <c r="AX155" s="8"/>
      <c r="AY155" s="9" t="s">
        <v>682</v>
      </c>
      <c r="AZ155">
        <v>3</v>
      </c>
      <c r="BA155" t="s">
        <v>683</v>
      </c>
      <c r="BB155" t="s">
        <v>684</v>
      </c>
      <c r="BC155" t="s">
        <v>685</v>
      </c>
    </row>
    <row r="156" spans="1:55">
      <c r="A156" s="6">
        <v>45737</v>
      </c>
      <c r="B156" s="7" t="s">
        <v>686</v>
      </c>
      <c r="C156" t="s">
        <v>687</v>
      </c>
      <c r="D156" t="s">
        <v>292</v>
      </c>
      <c r="E156" t="s">
        <v>292</v>
      </c>
      <c r="F156" t="s">
        <v>293</v>
      </c>
      <c r="G156" t="s">
        <v>294</v>
      </c>
      <c r="H156" s="8" t="s">
        <v>208</v>
      </c>
      <c r="I156" s="8" t="s">
        <v>208</v>
      </c>
      <c r="J156" s="8" t="s">
        <v>208</v>
      </c>
      <c r="K156" s="8" t="s">
        <v>208</v>
      </c>
      <c r="L156" s="8" t="s">
        <v>208</v>
      </c>
      <c r="M156" s="8" t="s">
        <v>208</v>
      </c>
      <c r="N156" s="8" t="s">
        <v>208</v>
      </c>
      <c r="O156" s="8" t="s">
        <v>208</v>
      </c>
      <c r="Q156" t="s">
        <v>688</v>
      </c>
      <c r="R156" t="s">
        <v>689</v>
      </c>
      <c r="S156" t="s">
        <v>689</v>
      </c>
      <c r="T156" t="s">
        <v>686</v>
      </c>
      <c r="U156" t="s">
        <v>690</v>
      </c>
      <c r="V156" t="s">
        <v>662</v>
      </c>
      <c r="W156" t="s">
        <v>232</v>
      </c>
      <c r="Y156" t="s">
        <v>233</v>
      </c>
      <c r="Z156" t="s">
        <v>233</v>
      </c>
      <c r="AA156" t="s">
        <v>663</v>
      </c>
      <c r="AB156" t="s">
        <v>691</v>
      </c>
      <c r="AC156" t="s">
        <v>691</v>
      </c>
      <c r="AD156" t="s">
        <v>216</v>
      </c>
      <c r="AE156" t="s">
        <v>673</v>
      </c>
      <c r="AG156" s="8" t="s">
        <v>218</v>
      </c>
      <c r="AH156" t="s">
        <v>219</v>
      </c>
      <c r="AI156" s="9" t="s">
        <v>218</v>
      </c>
      <c r="AJ156" s="9" t="s">
        <v>218</v>
      </c>
      <c r="AK156" t="s">
        <v>234</v>
      </c>
      <c r="AL156" s="9" t="s">
        <v>218</v>
      </c>
      <c r="AM156" s="8" t="s">
        <v>221</v>
      </c>
      <c r="AN156" s="8" t="s">
        <v>221</v>
      </c>
      <c r="AO156" s="8" t="s">
        <v>222</v>
      </c>
      <c r="AP156" s="8">
        <v>0</v>
      </c>
      <c r="AQ156" s="8">
        <v>0</v>
      </c>
      <c r="AR156" s="9">
        <v>636</v>
      </c>
      <c r="AS156" s="8">
        <v>0</v>
      </c>
      <c r="AT156" s="8">
        <v>0</v>
      </c>
      <c r="AU156" s="8">
        <v>0</v>
      </c>
      <c r="AV156" s="8">
        <v>0</v>
      </c>
      <c r="AW156" s="9">
        <v>636</v>
      </c>
      <c r="AX156" s="9" t="s">
        <v>692</v>
      </c>
      <c r="AY156" s="8"/>
      <c r="AZ156">
        <v>1</v>
      </c>
      <c r="BA156" t="s">
        <v>693</v>
      </c>
      <c r="BB156" t="s">
        <v>694</v>
      </c>
      <c r="BC156" t="s">
        <v>695</v>
      </c>
    </row>
    <row r="157" spans="1:55">
      <c r="A157" s="6">
        <v>45737</v>
      </c>
      <c r="B157" s="7" t="s">
        <v>696</v>
      </c>
      <c r="C157" t="s">
        <v>668</v>
      </c>
      <c r="D157" t="s">
        <v>292</v>
      </c>
      <c r="E157" t="s">
        <v>292</v>
      </c>
      <c r="F157" t="s">
        <v>293</v>
      </c>
      <c r="G157" t="s">
        <v>294</v>
      </c>
      <c r="H157" s="8" t="s">
        <v>208</v>
      </c>
      <c r="I157" s="8" t="s">
        <v>208</v>
      </c>
      <c r="J157" s="8" t="s">
        <v>208</v>
      </c>
      <c r="K157" s="8" t="s">
        <v>208</v>
      </c>
      <c r="L157" s="8" t="s">
        <v>208</v>
      </c>
      <c r="M157" s="8" t="s">
        <v>208</v>
      </c>
      <c r="N157" s="8" t="s">
        <v>208</v>
      </c>
      <c r="O157" s="8" t="s">
        <v>208</v>
      </c>
      <c r="Q157" t="s">
        <v>697</v>
      </c>
      <c r="R157" t="s">
        <v>698</v>
      </c>
      <c r="S157" t="s">
        <v>698</v>
      </c>
      <c r="T157" t="s">
        <v>696</v>
      </c>
      <c r="U157" t="s">
        <v>699</v>
      </c>
      <c r="V157" t="s">
        <v>700</v>
      </c>
      <c r="W157" t="s">
        <v>212</v>
      </c>
      <c r="Y157" t="s">
        <v>213</v>
      </c>
      <c r="Z157" t="s">
        <v>213</v>
      </c>
      <c r="AA157" t="s">
        <v>645</v>
      </c>
      <c r="AB157" t="s">
        <v>701</v>
      </c>
      <c r="AC157" t="s">
        <v>701</v>
      </c>
      <c r="AD157" t="s">
        <v>216</v>
      </c>
      <c r="AE157" t="s">
        <v>673</v>
      </c>
      <c r="AG157" s="8" t="s">
        <v>218</v>
      </c>
      <c r="AH157" t="s">
        <v>219</v>
      </c>
      <c r="AI157" s="9" t="s">
        <v>218</v>
      </c>
      <c r="AJ157" s="9" t="s">
        <v>218</v>
      </c>
      <c r="AK157" t="s">
        <v>702</v>
      </c>
      <c r="AL157" s="9" t="s">
        <v>218</v>
      </c>
      <c r="AM157" s="8" t="s">
        <v>221</v>
      </c>
      <c r="AN157" s="8" t="s">
        <v>221</v>
      </c>
      <c r="AO157" s="8" t="s">
        <v>222</v>
      </c>
      <c r="AP157" s="8">
        <v>0</v>
      </c>
      <c r="AQ157" s="8">
        <v>0</v>
      </c>
      <c r="AR157" s="8">
        <v>0</v>
      </c>
      <c r="AS157" s="8">
        <v>0</v>
      </c>
      <c r="AT157" s="8">
        <v>0</v>
      </c>
      <c r="AU157" s="8">
        <v>0</v>
      </c>
      <c r="AV157" s="8">
        <v>0</v>
      </c>
      <c r="AW157" s="8">
        <v>0</v>
      </c>
      <c r="AX157" s="8"/>
      <c r="AY157" s="8"/>
      <c r="AZ157">
        <v>2</v>
      </c>
      <c r="BA157" t="s">
        <v>287</v>
      </c>
      <c r="BB157" t="s">
        <v>703</v>
      </c>
      <c r="BC157" t="s">
        <v>704</v>
      </c>
    </row>
    <row r="158" spans="1:55">
      <c r="A158" s="6">
        <v>45737</v>
      </c>
      <c r="B158" s="7" t="s">
        <v>705</v>
      </c>
      <c r="C158" t="s">
        <v>668</v>
      </c>
      <c r="D158" t="s">
        <v>292</v>
      </c>
      <c r="E158" t="s">
        <v>292</v>
      </c>
      <c r="F158" t="s">
        <v>293</v>
      </c>
      <c r="G158" t="s">
        <v>294</v>
      </c>
      <c r="H158" s="8" t="s">
        <v>208</v>
      </c>
      <c r="I158" s="8" t="s">
        <v>208</v>
      </c>
      <c r="J158" s="8" t="s">
        <v>208</v>
      </c>
      <c r="K158" s="8" t="s">
        <v>208</v>
      </c>
      <c r="L158" s="8" t="s">
        <v>208</v>
      </c>
      <c r="M158" s="8" t="s">
        <v>208</v>
      </c>
      <c r="N158" s="8" t="s">
        <v>208</v>
      </c>
      <c r="O158" s="8" t="s">
        <v>208</v>
      </c>
      <c r="Q158" t="s">
        <v>706</v>
      </c>
      <c r="R158" t="s">
        <v>707</v>
      </c>
      <c r="S158" t="s">
        <v>707</v>
      </c>
      <c r="T158" t="s">
        <v>705</v>
      </c>
      <c r="U158" t="s">
        <v>708</v>
      </c>
      <c r="V158" t="s">
        <v>140</v>
      </c>
      <c r="W158" t="s">
        <v>212</v>
      </c>
      <c r="Y158" t="s">
        <v>213</v>
      </c>
      <c r="Z158" t="s">
        <v>213</v>
      </c>
      <c r="AA158" t="s">
        <v>663</v>
      </c>
      <c r="AB158" t="s">
        <v>681</v>
      </c>
      <c r="AC158" t="s">
        <v>681</v>
      </c>
      <c r="AD158" t="s">
        <v>216</v>
      </c>
      <c r="AE158" t="s">
        <v>673</v>
      </c>
      <c r="AG158" s="8" t="s">
        <v>218</v>
      </c>
      <c r="AH158" t="s">
        <v>219</v>
      </c>
      <c r="AI158" s="9" t="s">
        <v>218</v>
      </c>
      <c r="AJ158" s="9" t="s">
        <v>218</v>
      </c>
      <c r="AK158" t="s">
        <v>709</v>
      </c>
      <c r="AL158" s="9" t="s">
        <v>218</v>
      </c>
      <c r="AM158" s="8" t="s">
        <v>221</v>
      </c>
      <c r="AN158" s="8" t="s">
        <v>221</v>
      </c>
      <c r="AO158" s="8" t="s">
        <v>222</v>
      </c>
      <c r="AP158" s="8">
        <v>0</v>
      </c>
      <c r="AQ158" s="8">
        <v>0</v>
      </c>
      <c r="AR158" s="9">
        <v>59</v>
      </c>
      <c r="AS158" s="8">
        <v>0</v>
      </c>
      <c r="AT158" s="8">
        <v>0</v>
      </c>
      <c r="AU158" s="8">
        <v>0</v>
      </c>
      <c r="AV158" s="8">
        <v>0</v>
      </c>
      <c r="AW158" s="9">
        <v>59</v>
      </c>
      <c r="AX158" s="8"/>
      <c r="AY158" s="8"/>
      <c r="AZ158">
        <v>1</v>
      </c>
      <c r="BA158" t="s">
        <v>710</v>
      </c>
      <c r="BB158" t="s">
        <v>711</v>
      </c>
      <c r="BC158" t="s">
        <v>712</v>
      </c>
    </row>
    <row r="159" spans="1:55">
      <c r="A159" s="6">
        <v>45737</v>
      </c>
      <c r="B159" s="7" t="s">
        <v>713</v>
      </c>
      <c r="C159" t="s">
        <v>714</v>
      </c>
      <c r="D159" t="s">
        <v>292</v>
      </c>
      <c r="E159" t="s">
        <v>292</v>
      </c>
      <c r="F159" t="s">
        <v>293</v>
      </c>
      <c r="G159" t="s">
        <v>294</v>
      </c>
      <c r="H159" s="8" t="s">
        <v>208</v>
      </c>
      <c r="I159" s="8" t="s">
        <v>208</v>
      </c>
      <c r="J159" s="8" t="s">
        <v>208</v>
      </c>
      <c r="K159" s="8" t="s">
        <v>208</v>
      </c>
      <c r="L159" s="8" t="s">
        <v>208</v>
      </c>
      <c r="M159" s="8" t="s">
        <v>208</v>
      </c>
      <c r="N159" s="8" t="s">
        <v>208</v>
      </c>
      <c r="O159" s="8" t="s">
        <v>208</v>
      </c>
      <c r="Q159" t="s">
        <v>715</v>
      </c>
      <c r="R159" t="s">
        <v>716</v>
      </c>
      <c r="S159" t="s">
        <v>716</v>
      </c>
      <c r="T159" t="s">
        <v>713</v>
      </c>
      <c r="U159" t="s">
        <v>717</v>
      </c>
      <c r="V159" t="s">
        <v>30</v>
      </c>
      <c r="W159" t="s">
        <v>298</v>
      </c>
      <c r="Y159" t="s">
        <v>299</v>
      </c>
      <c r="Z159" t="s">
        <v>299</v>
      </c>
      <c r="AA159" t="s">
        <v>300</v>
      </c>
      <c r="AB159" t="s">
        <v>391</v>
      </c>
      <c r="AC159" t="s">
        <v>391</v>
      </c>
      <c r="AD159" t="s">
        <v>216</v>
      </c>
      <c r="AE159" t="s">
        <v>300</v>
      </c>
      <c r="AG159" s="8" t="s">
        <v>218</v>
      </c>
      <c r="AH159" t="s">
        <v>302</v>
      </c>
      <c r="AI159" s="9" t="s">
        <v>218</v>
      </c>
      <c r="AJ159" s="9" t="s">
        <v>218</v>
      </c>
      <c r="AK159" t="s">
        <v>400</v>
      </c>
      <c r="AL159" s="9" t="s">
        <v>218</v>
      </c>
      <c r="AM159" s="8" t="s">
        <v>221</v>
      </c>
      <c r="AN159" s="8" t="s">
        <v>221</v>
      </c>
      <c r="AO159" s="8" t="s">
        <v>222</v>
      </c>
      <c r="AP159" s="8">
        <v>0</v>
      </c>
      <c r="AQ159" s="8">
        <v>0</v>
      </c>
      <c r="AR159" s="8">
        <v>0</v>
      </c>
      <c r="AS159" s="8">
        <v>0</v>
      </c>
      <c r="AT159" s="8">
        <v>0</v>
      </c>
      <c r="AU159" s="8">
        <v>0</v>
      </c>
      <c r="AV159" s="8">
        <v>0</v>
      </c>
      <c r="AW159" s="8">
        <v>0</v>
      </c>
      <c r="AX159" s="8"/>
      <c r="AY159" s="8"/>
      <c r="AZ159">
        <v>1</v>
      </c>
      <c r="BA159" t="s">
        <v>418</v>
      </c>
      <c r="BB159" t="s">
        <v>718</v>
      </c>
      <c r="BC159" t="s">
        <v>719</v>
      </c>
    </row>
    <row r="160" spans="1:55">
      <c r="A160" s="6">
        <v>45737</v>
      </c>
      <c r="B160" s="7" t="s">
        <v>720</v>
      </c>
      <c r="C160" t="s">
        <v>714</v>
      </c>
      <c r="D160" t="s">
        <v>292</v>
      </c>
      <c r="E160" t="s">
        <v>292</v>
      </c>
      <c r="F160" t="s">
        <v>293</v>
      </c>
      <c r="G160" t="s">
        <v>294</v>
      </c>
      <c r="H160" s="8" t="s">
        <v>208</v>
      </c>
      <c r="I160" s="8" t="s">
        <v>208</v>
      </c>
      <c r="J160" s="8" t="s">
        <v>208</v>
      </c>
      <c r="K160" s="8" t="s">
        <v>208</v>
      </c>
      <c r="L160" s="8" t="s">
        <v>208</v>
      </c>
      <c r="M160" s="8" t="s">
        <v>208</v>
      </c>
      <c r="N160" s="8" t="s">
        <v>208</v>
      </c>
      <c r="O160" s="8" t="s">
        <v>208</v>
      </c>
      <c r="Q160" t="s">
        <v>721</v>
      </c>
      <c r="R160" t="s">
        <v>722</v>
      </c>
      <c r="S160" t="s">
        <v>722</v>
      </c>
      <c r="T160" t="s">
        <v>720</v>
      </c>
      <c r="U160" t="s">
        <v>723</v>
      </c>
      <c r="V160" t="s">
        <v>30</v>
      </c>
      <c r="W160" t="s">
        <v>298</v>
      </c>
      <c r="Y160" t="s">
        <v>299</v>
      </c>
      <c r="Z160" t="s">
        <v>299</v>
      </c>
      <c r="AA160" t="s">
        <v>300</v>
      </c>
      <c r="AB160" t="s">
        <v>408</v>
      </c>
      <c r="AC160" t="s">
        <v>408</v>
      </c>
      <c r="AD160" t="s">
        <v>216</v>
      </c>
      <c r="AE160" t="s">
        <v>724</v>
      </c>
      <c r="AG160" s="8" t="s">
        <v>218</v>
      </c>
      <c r="AH160" t="s">
        <v>302</v>
      </c>
      <c r="AI160" s="9" t="s">
        <v>218</v>
      </c>
      <c r="AJ160" s="9" t="s">
        <v>218</v>
      </c>
      <c r="AK160" t="s">
        <v>725</v>
      </c>
      <c r="AL160" s="9" t="s">
        <v>218</v>
      </c>
      <c r="AM160" s="8" t="s">
        <v>221</v>
      </c>
      <c r="AN160" s="8" t="s">
        <v>221</v>
      </c>
      <c r="AO160" s="8" t="s">
        <v>222</v>
      </c>
      <c r="AP160" s="8">
        <v>0</v>
      </c>
      <c r="AQ160" s="8">
        <v>0</v>
      </c>
      <c r="AR160" s="9">
        <v>13</v>
      </c>
      <c r="AS160" s="8">
        <v>0</v>
      </c>
      <c r="AT160" s="8">
        <v>0</v>
      </c>
      <c r="AU160" s="8">
        <v>0</v>
      </c>
      <c r="AV160" s="8">
        <v>0</v>
      </c>
      <c r="AW160" s="9">
        <v>13</v>
      </c>
      <c r="AX160" s="8"/>
      <c r="AY160" s="8"/>
      <c r="AZ160">
        <v>3</v>
      </c>
      <c r="BA160" t="s">
        <v>410</v>
      </c>
      <c r="BB160" t="s">
        <v>726</v>
      </c>
      <c r="BC160" t="s">
        <v>727</v>
      </c>
    </row>
    <row r="161" spans="1:55">
      <c r="A161" s="6">
        <v>45737</v>
      </c>
      <c r="B161" s="7" t="s">
        <v>728</v>
      </c>
      <c r="C161" t="s">
        <v>714</v>
      </c>
      <c r="D161" t="s">
        <v>292</v>
      </c>
      <c r="E161" t="s">
        <v>292</v>
      </c>
      <c r="F161" t="s">
        <v>293</v>
      </c>
      <c r="G161" t="s">
        <v>294</v>
      </c>
      <c r="H161" s="8" t="s">
        <v>208</v>
      </c>
      <c r="I161" s="8" t="s">
        <v>208</v>
      </c>
      <c r="J161" s="8" t="s">
        <v>208</v>
      </c>
      <c r="K161" s="8" t="s">
        <v>208</v>
      </c>
      <c r="L161" s="8" t="s">
        <v>208</v>
      </c>
      <c r="M161" s="8" t="s">
        <v>208</v>
      </c>
      <c r="N161" s="8" t="s">
        <v>208</v>
      </c>
      <c r="O161" s="8" t="s">
        <v>208</v>
      </c>
      <c r="Q161" t="s">
        <v>729</v>
      </c>
      <c r="R161" t="s">
        <v>730</v>
      </c>
      <c r="S161" t="s">
        <v>730</v>
      </c>
      <c r="T161" t="s">
        <v>728</v>
      </c>
      <c r="U161" t="s">
        <v>731</v>
      </c>
      <c r="V161" t="s">
        <v>83</v>
      </c>
      <c r="W161" t="s">
        <v>298</v>
      </c>
      <c r="Y161" t="s">
        <v>299</v>
      </c>
      <c r="Z161" t="s">
        <v>299</v>
      </c>
      <c r="AA161" t="s">
        <v>732</v>
      </c>
      <c r="AB161" t="s">
        <v>417</v>
      </c>
      <c r="AC161" t="s">
        <v>417</v>
      </c>
      <c r="AD161" t="s">
        <v>216</v>
      </c>
      <c r="AE161" t="s">
        <v>732</v>
      </c>
      <c r="AG161" s="8" t="s">
        <v>218</v>
      </c>
      <c r="AH161" t="s">
        <v>302</v>
      </c>
      <c r="AI161" s="9" t="s">
        <v>218</v>
      </c>
      <c r="AJ161" s="9" t="s">
        <v>218</v>
      </c>
      <c r="AK161" t="s">
        <v>234</v>
      </c>
      <c r="AL161" s="9" t="s">
        <v>218</v>
      </c>
      <c r="AM161" s="8" t="s">
        <v>221</v>
      </c>
      <c r="AN161" s="8" t="s">
        <v>221</v>
      </c>
      <c r="AO161" s="8" t="s">
        <v>222</v>
      </c>
      <c r="AP161" s="8">
        <v>0</v>
      </c>
      <c r="AQ161" s="8">
        <v>0</v>
      </c>
      <c r="AR161" s="9">
        <v>20</v>
      </c>
      <c r="AS161" s="8">
        <v>0</v>
      </c>
      <c r="AT161" s="8">
        <v>0</v>
      </c>
      <c r="AU161" s="8">
        <v>0</v>
      </c>
      <c r="AV161" s="8">
        <v>0</v>
      </c>
      <c r="AW161" s="9">
        <v>20</v>
      </c>
      <c r="AX161" s="8"/>
      <c r="AY161" s="8"/>
      <c r="AZ161">
        <v>3</v>
      </c>
      <c r="BA161" t="s">
        <v>410</v>
      </c>
      <c r="BB161" t="s">
        <v>733</v>
      </c>
      <c r="BC161" t="s">
        <v>734</v>
      </c>
    </row>
    <row r="162" spans="1:55">
      <c r="A162" s="6">
        <v>45737</v>
      </c>
      <c r="B162" s="7" t="s">
        <v>735</v>
      </c>
      <c r="C162" t="s">
        <v>714</v>
      </c>
      <c r="D162" t="s">
        <v>292</v>
      </c>
      <c r="E162" t="s">
        <v>292</v>
      </c>
      <c r="F162" t="s">
        <v>293</v>
      </c>
      <c r="G162" t="s">
        <v>294</v>
      </c>
      <c r="H162" s="8" t="s">
        <v>208</v>
      </c>
      <c r="I162" s="8" t="s">
        <v>208</v>
      </c>
      <c r="J162" s="8" t="s">
        <v>208</v>
      </c>
      <c r="K162" s="8" t="s">
        <v>208</v>
      </c>
      <c r="L162" s="8" t="s">
        <v>208</v>
      </c>
      <c r="M162" s="8" t="s">
        <v>208</v>
      </c>
      <c r="N162" s="8" t="s">
        <v>208</v>
      </c>
      <c r="O162" s="8" t="s">
        <v>208</v>
      </c>
      <c r="Q162" t="s">
        <v>736</v>
      </c>
      <c r="R162" t="s">
        <v>737</v>
      </c>
      <c r="S162" t="s">
        <v>737</v>
      </c>
      <c r="T162" t="s">
        <v>735</v>
      </c>
      <c r="U162" t="s">
        <v>738</v>
      </c>
      <c r="V162" t="s">
        <v>83</v>
      </c>
      <c r="W162" t="s">
        <v>298</v>
      </c>
      <c r="Y162" t="s">
        <v>299</v>
      </c>
      <c r="Z162" t="s">
        <v>299</v>
      </c>
      <c r="AA162" t="s">
        <v>732</v>
      </c>
      <c r="AB162" t="s">
        <v>538</v>
      </c>
      <c r="AC162" t="s">
        <v>538</v>
      </c>
      <c r="AD162" t="s">
        <v>216</v>
      </c>
      <c r="AE162" t="s">
        <v>732</v>
      </c>
      <c r="AG162" s="8" t="s">
        <v>218</v>
      </c>
      <c r="AH162" t="s">
        <v>302</v>
      </c>
      <c r="AI162" s="9" t="s">
        <v>218</v>
      </c>
      <c r="AJ162" s="9" t="s">
        <v>218</v>
      </c>
      <c r="AK162" t="s">
        <v>234</v>
      </c>
      <c r="AL162" s="9" t="s">
        <v>218</v>
      </c>
      <c r="AM162" s="8" t="s">
        <v>221</v>
      </c>
      <c r="AN162" s="8" t="s">
        <v>221</v>
      </c>
      <c r="AO162" s="8" t="s">
        <v>222</v>
      </c>
      <c r="AP162" s="8">
        <v>0</v>
      </c>
      <c r="AQ162" s="8">
        <v>0</v>
      </c>
      <c r="AR162" s="9">
        <v>10</v>
      </c>
      <c r="AS162" s="8">
        <v>0</v>
      </c>
      <c r="AT162" s="8">
        <v>0</v>
      </c>
      <c r="AU162" s="8">
        <v>0</v>
      </c>
      <c r="AV162" s="8">
        <v>0</v>
      </c>
      <c r="AW162" s="9">
        <v>10</v>
      </c>
      <c r="AX162" s="8"/>
      <c r="AY162" s="8"/>
      <c r="AZ162">
        <v>3</v>
      </c>
      <c r="BA162" t="s">
        <v>410</v>
      </c>
      <c r="BB162" t="s">
        <v>739</v>
      </c>
      <c r="BC162" t="s">
        <v>740</v>
      </c>
    </row>
    <row r="163" spans="1:55">
      <c r="A163" s="6">
        <v>45737</v>
      </c>
      <c r="B163" s="7" t="s">
        <v>741</v>
      </c>
      <c r="C163" t="s">
        <v>714</v>
      </c>
      <c r="D163" t="s">
        <v>292</v>
      </c>
      <c r="E163" t="s">
        <v>292</v>
      </c>
      <c r="F163" t="s">
        <v>293</v>
      </c>
      <c r="G163" t="s">
        <v>294</v>
      </c>
      <c r="H163" s="8" t="s">
        <v>208</v>
      </c>
      <c r="I163" s="8" t="s">
        <v>208</v>
      </c>
      <c r="J163" s="8" t="s">
        <v>208</v>
      </c>
      <c r="K163" s="8" t="s">
        <v>208</v>
      </c>
      <c r="L163" s="8" t="s">
        <v>208</v>
      </c>
      <c r="M163" s="8" t="s">
        <v>208</v>
      </c>
      <c r="N163" s="8" t="s">
        <v>208</v>
      </c>
      <c r="O163" s="8" t="s">
        <v>208</v>
      </c>
      <c r="Q163" t="s">
        <v>742</v>
      </c>
      <c r="R163" t="s">
        <v>743</v>
      </c>
      <c r="S163" t="s">
        <v>743</v>
      </c>
      <c r="T163" t="s">
        <v>741</v>
      </c>
      <c r="U163" t="s">
        <v>744</v>
      </c>
      <c r="V163" t="s">
        <v>30</v>
      </c>
      <c r="W163" t="s">
        <v>298</v>
      </c>
      <c r="Y163" t="s">
        <v>299</v>
      </c>
      <c r="Z163" t="s">
        <v>299</v>
      </c>
      <c r="AA163" t="s">
        <v>300</v>
      </c>
      <c r="AB163" t="s">
        <v>312</v>
      </c>
      <c r="AC163" t="s">
        <v>312</v>
      </c>
      <c r="AD163" t="s">
        <v>216</v>
      </c>
      <c r="AE163" t="s">
        <v>300</v>
      </c>
      <c r="AG163" s="8" t="s">
        <v>218</v>
      </c>
      <c r="AH163" t="s">
        <v>302</v>
      </c>
      <c r="AI163" s="9" t="s">
        <v>218</v>
      </c>
      <c r="AJ163" s="9" t="s">
        <v>218</v>
      </c>
      <c r="AK163" t="s">
        <v>745</v>
      </c>
      <c r="AL163" s="9" t="s">
        <v>218</v>
      </c>
      <c r="AM163" s="8" t="s">
        <v>221</v>
      </c>
      <c r="AN163" s="8" t="s">
        <v>221</v>
      </c>
      <c r="AO163" s="8" t="s">
        <v>222</v>
      </c>
      <c r="AP163" s="8">
        <v>0</v>
      </c>
      <c r="AQ163" s="8">
        <v>0</v>
      </c>
      <c r="AR163" s="8">
        <v>0</v>
      </c>
      <c r="AS163" s="8">
        <v>0</v>
      </c>
      <c r="AT163" s="8">
        <v>0</v>
      </c>
      <c r="AU163" s="8">
        <v>0</v>
      </c>
      <c r="AV163" s="8">
        <v>0</v>
      </c>
      <c r="AW163" s="8">
        <v>0</v>
      </c>
      <c r="AX163" s="8"/>
      <c r="AY163" s="8"/>
      <c r="AZ163">
        <v>1</v>
      </c>
      <c r="BA163" t="s">
        <v>304</v>
      </c>
      <c r="BC163" t="s">
        <v>746</v>
      </c>
    </row>
    <row r="164" spans="1:55">
      <c r="A164" s="6">
        <v>45737</v>
      </c>
      <c r="B164" s="7" t="s">
        <v>747</v>
      </c>
      <c r="C164" t="s">
        <v>714</v>
      </c>
      <c r="D164" t="s">
        <v>292</v>
      </c>
      <c r="E164" t="s">
        <v>292</v>
      </c>
      <c r="F164" t="s">
        <v>293</v>
      </c>
      <c r="G164" t="s">
        <v>294</v>
      </c>
      <c r="H164" s="8" t="s">
        <v>208</v>
      </c>
      <c r="I164" s="8" t="s">
        <v>208</v>
      </c>
      <c r="J164" s="8" t="s">
        <v>208</v>
      </c>
      <c r="K164" s="8" t="s">
        <v>208</v>
      </c>
      <c r="L164" s="8" t="s">
        <v>208</v>
      </c>
      <c r="M164" s="8" t="s">
        <v>208</v>
      </c>
      <c r="N164" s="8" t="s">
        <v>208</v>
      </c>
      <c r="O164" s="8" t="s">
        <v>208</v>
      </c>
      <c r="Q164" t="s">
        <v>748</v>
      </c>
      <c r="R164" t="s">
        <v>749</v>
      </c>
      <c r="S164" t="s">
        <v>749</v>
      </c>
      <c r="T164" t="s">
        <v>747</v>
      </c>
      <c r="U164" t="s">
        <v>750</v>
      </c>
      <c r="V164" t="s">
        <v>30</v>
      </c>
      <c r="W164" t="s">
        <v>298</v>
      </c>
      <c r="Y164" t="s">
        <v>299</v>
      </c>
      <c r="Z164" t="s">
        <v>299</v>
      </c>
      <c r="AA164" t="s">
        <v>300</v>
      </c>
      <c r="AB164" t="s">
        <v>312</v>
      </c>
      <c r="AC164" t="s">
        <v>312</v>
      </c>
      <c r="AD164" t="s">
        <v>216</v>
      </c>
      <c r="AE164" t="s">
        <v>300</v>
      </c>
      <c r="AG164" s="8" t="s">
        <v>218</v>
      </c>
      <c r="AH164" t="s">
        <v>302</v>
      </c>
      <c r="AI164" s="9" t="s">
        <v>218</v>
      </c>
      <c r="AJ164" s="9" t="s">
        <v>218</v>
      </c>
      <c r="AK164" t="s">
        <v>511</v>
      </c>
      <c r="AL164" s="9" t="s">
        <v>218</v>
      </c>
      <c r="AM164" s="8" t="s">
        <v>221</v>
      </c>
      <c r="AN164" s="8" t="s">
        <v>221</v>
      </c>
      <c r="AO164" s="8" t="s">
        <v>222</v>
      </c>
      <c r="AP164" s="8">
        <v>0</v>
      </c>
      <c r="AQ164" s="8">
        <v>0</v>
      </c>
      <c r="AR164" s="8">
        <v>0</v>
      </c>
      <c r="AS164" s="8">
        <v>0</v>
      </c>
      <c r="AT164" s="8">
        <v>0</v>
      </c>
      <c r="AU164" s="8">
        <v>0</v>
      </c>
      <c r="AV164" s="8">
        <v>0</v>
      </c>
      <c r="AW164" s="8">
        <v>0</v>
      </c>
      <c r="AX164" s="8"/>
      <c r="AY164" s="8"/>
      <c r="BC164" t="s">
        <v>751</v>
      </c>
    </row>
    <row r="165" spans="1:55">
      <c r="A165" s="6">
        <v>45737</v>
      </c>
      <c r="B165" s="7" t="s">
        <v>752</v>
      </c>
      <c r="C165" t="s">
        <v>205</v>
      </c>
      <c r="D165" t="s">
        <v>753</v>
      </c>
      <c r="G165" t="s">
        <v>754</v>
      </c>
      <c r="H165" s="8" t="s">
        <v>208</v>
      </c>
      <c r="I165" s="8" t="s">
        <v>208</v>
      </c>
      <c r="J165" s="8" t="s">
        <v>208</v>
      </c>
      <c r="K165" s="8" t="s">
        <v>208</v>
      </c>
      <c r="L165" s="8" t="s">
        <v>208</v>
      </c>
      <c r="M165" s="8" t="s">
        <v>208</v>
      </c>
      <c r="N165" s="8" t="s">
        <v>208</v>
      </c>
      <c r="O165" s="8" t="s">
        <v>208</v>
      </c>
      <c r="Q165" t="s">
        <v>755</v>
      </c>
      <c r="R165" t="s">
        <v>756</v>
      </c>
      <c r="S165" t="s">
        <v>756</v>
      </c>
      <c r="T165" t="s">
        <v>752</v>
      </c>
      <c r="U165" t="s">
        <v>757</v>
      </c>
      <c r="V165" t="s">
        <v>14</v>
      </c>
      <c r="W165" t="s">
        <v>232</v>
      </c>
      <c r="Y165" t="s">
        <v>233</v>
      </c>
      <c r="Z165" t="s">
        <v>233</v>
      </c>
      <c r="AA165" t="s">
        <v>214</v>
      </c>
      <c r="AB165" t="s">
        <v>758</v>
      </c>
      <c r="AC165" t="s">
        <v>758</v>
      </c>
      <c r="AD165" t="s">
        <v>216</v>
      </c>
      <c r="AE165" t="s">
        <v>11</v>
      </c>
      <c r="AG165" s="8" t="s">
        <v>218</v>
      </c>
      <c r="AH165" t="s">
        <v>219</v>
      </c>
      <c r="AI165" s="9" t="s">
        <v>218</v>
      </c>
      <c r="AJ165" s="9" t="s">
        <v>218</v>
      </c>
      <c r="AK165" t="s">
        <v>234</v>
      </c>
      <c r="AL165" s="9" t="s">
        <v>218</v>
      </c>
      <c r="AM165" s="8" t="s">
        <v>221</v>
      </c>
      <c r="AN165" s="8" t="s">
        <v>221</v>
      </c>
      <c r="AO165" s="8" t="s">
        <v>222</v>
      </c>
      <c r="AP165" s="8">
        <v>0</v>
      </c>
      <c r="AQ165" s="8">
        <v>0</v>
      </c>
      <c r="AR165" s="8">
        <v>0</v>
      </c>
      <c r="AS165" s="8">
        <v>0</v>
      </c>
      <c r="AT165" s="8">
        <v>0</v>
      </c>
      <c r="AU165" s="8">
        <v>0</v>
      </c>
      <c r="AV165" s="8">
        <v>0</v>
      </c>
      <c r="AW165" s="8">
        <v>0</v>
      </c>
      <c r="AX165" s="8"/>
      <c r="AY165" s="8"/>
      <c r="BB165" t="s">
        <v>759</v>
      </c>
      <c r="BC165" t="s">
        <v>760</v>
      </c>
    </row>
    <row r="166" spans="1:55">
      <c r="A166" s="6">
        <v>45737</v>
      </c>
      <c r="B166" s="7" t="s">
        <v>761</v>
      </c>
      <c r="C166" t="s">
        <v>205</v>
      </c>
      <c r="D166" t="s">
        <v>753</v>
      </c>
      <c r="G166" t="s">
        <v>754</v>
      </c>
      <c r="H166" s="8" t="s">
        <v>208</v>
      </c>
      <c r="I166" s="8" t="s">
        <v>208</v>
      </c>
      <c r="J166" s="8" t="s">
        <v>208</v>
      </c>
      <c r="K166" s="8" t="s">
        <v>208</v>
      </c>
      <c r="L166" s="8" t="s">
        <v>208</v>
      </c>
      <c r="M166" s="8" t="s">
        <v>208</v>
      </c>
      <c r="N166" s="8" t="s">
        <v>208</v>
      </c>
      <c r="O166" s="8" t="s">
        <v>208</v>
      </c>
      <c r="Q166" t="s">
        <v>762</v>
      </c>
      <c r="R166" t="s">
        <v>763</v>
      </c>
      <c r="S166" t="s">
        <v>763</v>
      </c>
      <c r="T166" t="s">
        <v>761</v>
      </c>
      <c r="U166" t="s">
        <v>764</v>
      </c>
      <c r="V166" t="s">
        <v>139</v>
      </c>
      <c r="W166" t="s">
        <v>232</v>
      </c>
      <c r="Y166" t="s">
        <v>765</v>
      </c>
      <c r="Z166" t="s">
        <v>766</v>
      </c>
      <c r="AA166" t="s">
        <v>11</v>
      </c>
      <c r="AB166" t="s">
        <v>242</v>
      </c>
      <c r="AC166" t="s">
        <v>242</v>
      </c>
      <c r="AD166" t="s">
        <v>216</v>
      </c>
      <c r="AE166" t="s">
        <v>11</v>
      </c>
      <c r="AG166" s="8" t="s">
        <v>218</v>
      </c>
      <c r="AH166" t="s">
        <v>219</v>
      </c>
      <c r="AI166" s="9" t="s">
        <v>218</v>
      </c>
      <c r="AJ166" s="9" t="s">
        <v>218</v>
      </c>
      <c r="AK166" t="s">
        <v>767</v>
      </c>
      <c r="AL166" s="9" t="s">
        <v>218</v>
      </c>
      <c r="AM166" s="8" t="s">
        <v>221</v>
      </c>
      <c r="AN166" s="8" t="s">
        <v>221</v>
      </c>
      <c r="AO166" s="8" t="s">
        <v>222</v>
      </c>
      <c r="AP166" s="8">
        <v>0</v>
      </c>
      <c r="AQ166" s="8">
        <v>0</v>
      </c>
      <c r="AR166" s="8">
        <v>0</v>
      </c>
      <c r="AS166" s="8">
        <v>0</v>
      </c>
      <c r="AT166" s="8">
        <v>0</v>
      </c>
      <c r="AU166" s="8">
        <v>0</v>
      </c>
      <c r="AV166" s="8">
        <v>0</v>
      </c>
      <c r="AW166" s="8">
        <v>0</v>
      </c>
      <c r="AX166" s="8"/>
      <c r="AY166" s="8"/>
      <c r="BC166" t="s">
        <v>768</v>
      </c>
    </row>
    <row r="167" spans="1:55">
      <c r="A167" s="6">
        <v>45737</v>
      </c>
      <c r="B167" s="7" t="s">
        <v>769</v>
      </c>
      <c r="C167" t="s">
        <v>205</v>
      </c>
      <c r="D167" t="s">
        <v>753</v>
      </c>
      <c r="G167" t="s">
        <v>754</v>
      </c>
      <c r="H167" s="8" t="s">
        <v>208</v>
      </c>
      <c r="I167" s="8" t="s">
        <v>208</v>
      </c>
      <c r="J167" s="8" t="s">
        <v>208</v>
      </c>
      <c r="K167" s="8" t="s">
        <v>208</v>
      </c>
      <c r="L167" s="8" t="s">
        <v>208</v>
      </c>
      <c r="M167" s="8" t="s">
        <v>208</v>
      </c>
      <c r="N167" s="8" t="s">
        <v>208</v>
      </c>
      <c r="O167" s="8" t="s">
        <v>208</v>
      </c>
      <c r="Q167" t="s">
        <v>770</v>
      </c>
      <c r="R167" t="s">
        <v>771</v>
      </c>
      <c r="S167" t="s">
        <v>771</v>
      </c>
      <c r="T167" t="s">
        <v>769</v>
      </c>
      <c r="U167" t="s">
        <v>772</v>
      </c>
      <c r="V167" t="s">
        <v>773</v>
      </c>
      <c r="W167" t="s">
        <v>774</v>
      </c>
      <c r="Y167" t="s">
        <v>775</v>
      </c>
      <c r="Z167" t="s">
        <v>775</v>
      </c>
      <c r="AA167" t="s">
        <v>776</v>
      </c>
      <c r="AB167" t="s">
        <v>312</v>
      </c>
      <c r="AC167" t="s">
        <v>312</v>
      </c>
      <c r="AD167" t="s">
        <v>216</v>
      </c>
      <c r="AE167" t="s">
        <v>777</v>
      </c>
      <c r="AG167" s="8" t="s">
        <v>218</v>
      </c>
      <c r="AH167" t="s">
        <v>219</v>
      </c>
      <c r="AI167" s="9" t="s">
        <v>218</v>
      </c>
      <c r="AJ167" s="9" t="s">
        <v>218</v>
      </c>
      <c r="AK167" t="s">
        <v>767</v>
      </c>
      <c r="AL167" s="9" t="s">
        <v>218</v>
      </c>
      <c r="AM167" s="8" t="s">
        <v>221</v>
      </c>
      <c r="AN167" s="8" t="s">
        <v>221</v>
      </c>
      <c r="AO167" s="8" t="s">
        <v>222</v>
      </c>
      <c r="AP167" s="8">
        <v>0</v>
      </c>
      <c r="AQ167" s="8">
        <v>0</v>
      </c>
      <c r="AR167" s="8">
        <v>0</v>
      </c>
      <c r="AS167" s="8">
        <v>0</v>
      </c>
      <c r="AT167" s="8">
        <v>0</v>
      </c>
      <c r="AU167" s="8">
        <v>0</v>
      </c>
      <c r="AV167" s="8">
        <v>0</v>
      </c>
      <c r="AW167" s="8">
        <v>0</v>
      </c>
      <c r="AX167" s="8"/>
      <c r="AY167" s="8"/>
      <c r="BC167" t="s">
        <v>778</v>
      </c>
    </row>
    <row r="168" spans="1:55">
      <c r="A168" s="6">
        <v>45737</v>
      </c>
      <c r="B168" s="7" t="s">
        <v>779</v>
      </c>
      <c r="C168" t="s">
        <v>205</v>
      </c>
      <c r="D168" t="s">
        <v>753</v>
      </c>
      <c r="G168" t="s">
        <v>754</v>
      </c>
      <c r="H168" s="8" t="s">
        <v>208</v>
      </c>
      <c r="I168" s="8" t="s">
        <v>208</v>
      </c>
      <c r="J168" s="8" t="s">
        <v>208</v>
      </c>
      <c r="K168" s="8" t="s">
        <v>208</v>
      </c>
      <c r="L168" s="8" t="s">
        <v>208</v>
      </c>
      <c r="M168" s="8" t="s">
        <v>208</v>
      </c>
      <c r="N168" s="8" t="s">
        <v>208</v>
      </c>
      <c r="O168" s="8" t="s">
        <v>208</v>
      </c>
      <c r="Q168" t="s">
        <v>780</v>
      </c>
      <c r="R168" t="s">
        <v>781</v>
      </c>
      <c r="S168" t="s">
        <v>781</v>
      </c>
      <c r="T168" t="s">
        <v>779</v>
      </c>
      <c r="U168" t="s">
        <v>782</v>
      </c>
      <c r="V168" t="s">
        <v>773</v>
      </c>
      <c r="W168" t="s">
        <v>774</v>
      </c>
      <c r="Y168" t="s">
        <v>775</v>
      </c>
      <c r="Z168" t="s">
        <v>775</v>
      </c>
      <c r="AA168" t="s">
        <v>776</v>
      </c>
      <c r="AB168" t="s">
        <v>312</v>
      </c>
      <c r="AC168" t="s">
        <v>312</v>
      </c>
      <c r="AD168" t="s">
        <v>216</v>
      </c>
      <c r="AE168" t="s">
        <v>777</v>
      </c>
      <c r="AG168" s="8" t="s">
        <v>218</v>
      </c>
      <c r="AH168" t="s">
        <v>219</v>
      </c>
      <c r="AI168" s="9" t="s">
        <v>218</v>
      </c>
      <c r="AJ168" s="9" t="s">
        <v>218</v>
      </c>
      <c r="AK168" t="s">
        <v>783</v>
      </c>
      <c r="AL168" s="9" t="s">
        <v>218</v>
      </c>
      <c r="AM168" s="8" t="s">
        <v>221</v>
      </c>
      <c r="AN168" s="8" t="s">
        <v>221</v>
      </c>
      <c r="AO168" s="8" t="s">
        <v>222</v>
      </c>
      <c r="AP168" s="8">
        <v>0</v>
      </c>
      <c r="AQ168" s="8">
        <v>0</v>
      </c>
      <c r="AR168" s="8">
        <v>0</v>
      </c>
      <c r="AS168" s="8">
        <v>0</v>
      </c>
      <c r="AT168" s="8">
        <v>0</v>
      </c>
      <c r="AU168" s="8">
        <v>0</v>
      </c>
      <c r="AV168" s="8">
        <v>0</v>
      </c>
      <c r="AW168" s="8">
        <v>0</v>
      </c>
      <c r="AX168" s="8"/>
      <c r="AY168" s="8"/>
      <c r="BC168" t="s">
        <v>784</v>
      </c>
    </row>
    <row r="169" spans="1:55">
      <c r="A169" s="6">
        <v>45737</v>
      </c>
      <c r="B169" s="7" t="s">
        <v>785</v>
      </c>
      <c r="C169" t="s">
        <v>205</v>
      </c>
      <c r="D169" t="s">
        <v>753</v>
      </c>
      <c r="G169" t="s">
        <v>754</v>
      </c>
      <c r="H169" s="8" t="s">
        <v>208</v>
      </c>
      <c r="I169" s="8" t="s">
        <v>208</v>
      </c>
      <c r="J169" s="8" t="s">
        <v>208</v>
      </c>
      <c r="K169" s="8" t="s">
        <v>208</v>
      </c>
      <c r="L169" s="8" t="s">
        <v>208</v>
      </c>
      <c r="M169" s="8" t="s">
        <v>208</v>
      </c>
      <c r="N169" s="8" t="s">
        <v>208</v>
      </c>
      <c r="O169" s="8" t="s">
        <v>208</v>
      </c>
      <c r="Q169" t="s">
        <v>786</v>
      </c>
      <c r="R169" t="s">
        <v>787</v>
      </c>
      <c r="S169" t="s">
        <v>787</v>
      </c>
      <c r="T169" t="s">
        <v>785</v>
      </c>
      <c r="U169" t="s">
        <v>788</v>
      </c>
      <c r="V169" t="s">
        <v>773</v>
      </c>
      <c r="W169" t="s">
        <v>774</v>
      </c>
      <c r="Y169" t="s">
        <v>775</v>
      </c>
      <c r="Z169" t="s">
        <v>775</v>
      </c>
      <c r="AA169" t="s">
        <v>776</v>
      </c>
      <c r="AB169" t="s">
        <v>312</v>
      </c>
      <c r="AC169" t="s">
        <v>312</v>
      </c>
      <c r="AD169" t="s">
        <v>216</v>
      </c>
      <c r="AE169" t="s">
        <v>777</v>
      </c>
      <c r="AG169" s="8" t="s">
        <v>218</v>
      </c>
      <c r="AH169" t="s">
        <v>219</v>
      </c>
      <c r="AI169" s="9" t="s">
        <v>218</v>
      </c>
      <c r="AJ169" s="9" t="s">
        <v>218</v>
      </c>
      <c r="AK169" t="s">
        <v>789</v>
      </c>
      <c r="AL169" s="9" t="s">
        <v>218</v>
      </c>
      <c r="AM169" s="8" t="s">
        <v>221</v>
      </c>
      <c r="AN169" s="8" t="s">
        <v>221</v>
      </c>
      <c r="AO169" s="8" t="s">
        <v>222</v>
      </c>
      <c r="AP169" s="8">
        <v>0</v>
      </c>
      <c r="AQ169" s="8">
        <v>0</v>
      </c>
      <c r="AR169" s="8">
        <v>0</v>
      </c>
      <c r="AS169" s="8">
        <v>0</v>
      </c>
      <c r="AT169" s="8">
        <v>0</v>
      </c>
      <c r="AU169" s="8">
        <v>0</v>
      </c>
      <c r="AV169" s="8">
        <v>0</v>
      </c>
      <c r="AW169" s="8">
        <v>0</v>
      </c>
      <c r="AX169" s="8"/>
      <c r="AY169" s="8"/>
      <c r="BC169" t="s">
        <v>790</v>
      </c>
    </row>
    <row r="170" spans="1:55">
      <c r="A170" s="6">
        <v>45737</v>
      </c>
      <c r="B170" s="7" t="s">
        <v>791</v>
      </c>
      <c r="C170" t="s">
        <v>205</v>
      </c>
      <c r="D170" t="s">
        <v>753</v>
      </c>
      <c r="G170" t="s">
        <v>754</v>
      </c>
      <c r="H170" s="8" t="s">
        <v>208</v>
      </c>
      <c r="I170" s="8" t="s">
        <v>208</v>
      </c>
      <c r="J170" s="8" t="s">
        <v>208</v>
      </c>
      <c r="K170" s="8" t="s">
        <v>208</v>
      </c>
      <c r="L170" s="8" t="s">
        <v>208</v>
      </c>
      <c r="M170" s="8" t="s">
        <v>208</v>
      </c>
      <c r="N170" s="8" t="s">
        <v>208</v>
      </c>
      <c r="O170" s="8" t="s">
        <v>208</v>
      </c>
      <c r="Q170" t="s">
        <v>792</v>
      </c>
      <c r="R170" t="s">
        <v>793</v>
      </c>
      <c r="S170" t="s">
        <v>793</v>
      </c>
      <c r="T170" t="s">
        <v>791</v>
      </c>
      <c r="U170" t="s">
        <v>794</v>
      </c>
      <c r="V170" t="s">
        <v>773</v>
      </c>
      <c r="W170" t="s">
        <v>774</v>
      </c>
      <c r="Y170" t="s">
        <v>775</v>
      </c>
      <c r="Z170" t="s">
        <v>775</v>
      </c>
      <c r="AA170" t="s">
        <v>776</v>
      </c>
      <c r="AB170" t="s">
        <v>312</v>
      </c>
      <c r="AC170" t="s">
        <v>312</v>
      </c>
      <c r="AD170" t="s">
        <v>216</v>
      </c>
      <c r="AE170" t="s">
        <v>777</v>
      </c>
      <c r="AG170" s="8" t="s">
        <v>218</v>
      </c>
      <c r="AH170" t="s">
        <v>219</v>
      </c>
      <c r="AI170" s="9" t="s">
        <v>218</v>
      </c>
      <c r="AJ170" s="9" t="s">
        <v>218</v>
      </c>
      <c r="AK170" t="s">
        <v>789</v>
      </c>
      <c r="AL170" s="9" t="s">
        <v>218</v>
      </c>
      <c r="AM170" s="8" t="s">
        <v>221</v>
      </c>
      <c r="AN170" s="8" t="s">
        <v>221</v>
      </c>
      <c r="AO170" s="8" t="s">
        <v>222</v>
      </c>
      <c r="AP170" s="8">
        <v>0</v>
      </c>
      <c r="AQ170" s="8">
        <v>0</v>
      </c>
      <c r="AR170" s="8">
        <v>0</v>
      </c>
      <c r="AS170" s="8">
        <v>0</v>
      </c>
      <c r="AT170" s="8">
        <v>0</v>
      </c>
      <c r="AU170" s="8">
        <v>0</v>
      </c>
      <c r="AV170" s="8">
        <v>0</v>
      </c>
      <c r="AW170" s="8">
        <v>0</v>
      </c>
      <c r="AX170" s="8"/>
      <c r="AY170" s="8"/>
      <c r="BC170" t="s">
        <v>795</v>
      </c>
    </row>
    <row r="171" spans="1:55">
      <c r="A171" s="6">
        <v>45737</v>
      </c>
      <c r="B171" s="7" t="s">
        <v>796</v>
      </c>
      <c r="C171" t="s">
        <v>205</v>
      </c>
      <c r="D171" t="s">
        <v>753</v>
      </c>
      <c r="G171" t="s">
        <v>754</v>
      </c>
      <c r="H171" s="8" t="s">
        <v>208</v>
      </c>
      <c r="I171" s="8" t="s">
        <v>208</v>
      </c>
      <c r="J171" s="8" t="s">
        <v>208</v>
      </c>
      <c r="K171" s="8" t="s">
        <v>208</v>
      </c>
      <c r="L171" s="8" t="s">
        <v>208</v>
      </c>
      <c r="M171" s="8" t="s">
        <v>208</v>
      </c>
      <c r="N171" s="8" t="s">
        <v>208</v>
      </c>
      <c r="O171" s="8" t="s">
        <v>208</v>
      </c>
      <c r="Q171" t="s">
        <v>797</v>
      </c>
      <c r="R171" t="s">
        <v>798</v>
      </c>
      <c r="S171" t="s">
        <v>798</v>
      </c>
      <c r="T171" t="s">
        <v>796</v>
      </c>
      <c r="U171" t="s">
        <v>799</v>
      </c>
      <c r="V171" t="s">
        <v>800</v>
      </c>
      <c r="W171" t="s">
        <v>212</v>
      </c>
      <c r="Y171" t="s">
        <v>213</v>
      </c>
      <c r="Z171" t="s">
        <v>213</v>
      </c>
      <c r="AA171" t="s">
        <v>11</v>
      </c>
      <c r="AB171" t="s">
        <v>312</v>
      </c>
      <c r="AC171" t="s">
        <v>312</v>
      </c>
      <c r="AD171" t="s">
        <v>216</v>
      </c>
      <c r="AE171" t="s">
        <v>11</v>
      </c>
      <c r="AG171" s="8" t="s">
        <v>218</v>
      </c>
      <c r="AH171" t="s">
        <v>219</v>
      </c>
      <c r="AI171" s="9" t="s">
        <v>218</v>
      </c>
      <c r="AJ171" s="9" t="s">
        <v>218</v>
      </c>
      <c r="AK171" t="s">
        <v>767</v>
      </c>
      <c r="AL171" s="9" t="s">
        <v>218</v>
      </c>
      <c r="AM171" s="8" t="s">
        <v>221</v>
      </c>
      <c r="AN171" s="8" t="s">
        <v>221</v>
      </c>
      <c r="AO171" s="8" t="s">
        <v>222</v>
      </c>
      <c r="AP171" s="8">
        <v>0</v>
      </c>
      <c r="AQ171" s="8">
        <v>0</v>
      </c>
      <c r="AR171" s="8">
        <v>0</v>
      </c>
      <c r="AS171" s="8">
        <v>0</v>
      </c>
      <c r="AT171" s="8">
        <v>0</v>
      </c>
      <c r="AU171" s="8">
        <v>0</v>
      </c>
      <c r="AV171" s="8">
        <v>0</v>
      </c>
      <c r="AW171" s="8">
        <v>0</v>
      </c>
      <c r="AX171" s="8"/>
      <c r="AY171" s="8"/>
      <c r="BC171" t="s">
        <v>801</v>
      </c>
    </row>
    <row r="172" spans="1:55">
      <c r="A172" s="6">
        <v>45737</v>
      </c>
      <c r="B172" s="7" t="s">
        <v>802</v>
      </c>
      <c r="C172" t="s">
        <v>205</v>
      </c>
      <c r="D172" t="s">
        <v>753</v>
      </c>
      <c r="G172" t="s">
        <v>754</v>
      </c>
      <c r="H172" s="8" t="s">
        <v>208</v>
      </c>
      <c r="I172" s="8" t="s">
        <v>208</v>
      </c>
      <c r="J172" s="8" t="s">
        <v>208</v>
      </c>
      <c r="K172" s="8" t="s">
        <v>208</v>
      </c>
      <c r="L172" s="8" t="s">
        <v>208</v>
      </c>
      <c r="M172" s="8" t="s">
        <v>208</v>
      </c>
      <c r="N172" s="8" t="s">
        <v>208</v>
      </c>
      <c r="O172" s="8" t="s">
        <v>208</v>
      </c>
      <c r="Q172" t="s">
        <v>803</v>
      </c>
      <c r="R172" t="s">
        <v>804</v>
      </c>
      <c r="S172" t="s">
        <v>804</v>
      </c>
      <c r="T172" t="s">
        <v>802</v>
      </c>
      <c r="U172" t="s">
        <v>805</v>
      </c>
      <c r="V172" t="s">
        <v>14</v>
      </c>
      <c r="W172" t="s">
        <v>232</v>
      </c>
      <c r="Y172" t="s">
        <v>233</v>
      </c>
      <c r="Z172" t="s">
        <v>233</v>
      </c>
      <c r="AA172" t="s">
        <v>214</v>
      </c>
      <c r="AB172" t="s">
        <v>215</v>
      </c>
      <c r="AC172" t="s">
        <v>215</v>
      </c>
      <c r="AD172" t="s">
        <v>216</v>
      </c>
      <c r="AE172" t="s">
        <v>11</v>
      </c>
      <c r="AG172" s="8" t="s">
        <v>218</v>
      </c>
      <c r="AH172" t="s">
        <v>219</v>
      </c>
      <c r="AI172" s="9" t="s">
        <v>218</v>
      </c>
      <c r="AJ172" s="9" t="s">
        <v>218</v>
      </c>
      <c r="AK172" t="s">
        <v>234</v>
      </c>
      <c r="AL172" s="9" t="s">
        <v>218</v>
      </c>
      <c r="AM172" s="8" t="s">
        <v>221</v>
      </c>
      <c r="AN172" s="8" t="s">
        <v>221</v>
      </c>
      <c r="AO172" s="8" t="s">
        <v>222</v>
      </c>
      <c r="AP172" s="8">
        <v>0</v>
      </c>
      <c r="AQ172" s="8">
        <v>0</v>
      </c>
      <c r="AR172" s="8">
        <v>0</v>
      </c>
      <c r="AS172" s="8">
        <v>0</v>
      </c>
      <c r="AT172" s="8">
        <v>0</v>
      </c>
      <c r="AU172" s="8">
        <v>0</v>
      </c>
      <c r="AV172" s="8">
        <v>0</v>
      </c>
      <c r="AW172" s="8">
        <v>0</v>
      </c>
      <c r="AX172" s="8"/>
      <c r="AY172" s="8"/>
      <c r="AZ172">
        <v>2</v>
      </c>
      <c r="BA172" t="s">
        <v>806</v>
      </c>
      <c r="BB172" t="s">
        <v>807</v>
      </c>
      <c r="BC172" t="s">
        <v>808</v>
      </c>
    </row>
    <row r="173" spans="1:55">
      <c r="A173" s="6">
        <v>45737</v>
      </c>
      <c r="B173" s="7" t="s">
        <v>809</v>
      </c>
      <c r="C173" t="s">
        <v>205</v>
      </c>
      <c r="D173" t="s">
        <v>753</v>
      </c>
      <c r="G173" t="s">
        <v>754</v>
      </c>
      <c r="H173" s="8" t="s">
        <v>208</v>
      </c>
      <c r="I173" s="8" t="s">
        <v>208</v>
      </c>
      <c r="J173" s="8" t="s">
        <v>208</v>
      </c>
      <c r="K173" s="8" t="s">
        <v>208</v>
      </c>
      <c r="L173" s="8" t="s">
        <v>208</v>
      </c>
      <c r="M173" s="8" t="s">
        <v>208</v>
      </c>
      <c r="N173" s="8" t="s">
        <v>208</v>
      </c>
      <c r="O173" s="8" t="s">
        <v>208</v>
      </c>
      <c r="R173" t="s">
        <v>810</v>
      </c>
      <c r="S173" t="s">
        <v>810</v>
      </c>
      <c r="T173" t="s">
        <v>809</v>
      </c>
      <c r="U173" t="s">
        <v>139</v>
      </c>
      <c r="V173" t="s">
        <v>773</v>
      </c>
      <c r="W173" t="s">
        <v>232</v>
      </c>
      <c r="Y173" t="s">
        <v>765</v>
      </c>
      <c r="Z173" t="s">
        <v>765</v>
      </c>
      <c r="AA173" t="s">
        <v>11</v>
      </c>
      <c r="AB173" t="s">
        <v>242</v>
      </c>
      <c r="AC173" t="s">
        <v>242</v>
      </c>
      <c r="AD173" t="s">
        <v>216</v>
      </c>
      <c r="AE173" t="s">
        <v>11</v>
      </c>
      <c r="AG173" s="8" t="s">
        <v>218</v>
      </c>
      <c r="AH173" t="s">
        <v>219</v>
      </c>
      <c r="AI173" s="9" t="s">
        <v>218</v>
      </c>
      <c r="AJ173" s="9" t="s">
        <v>218</v>
      </c>
      <c r="AK173" t="s">
        <v>811</v>
      </c>
      <c r="AL173" s="9" t="s">
        <v>218</v>
      </c>
      <c r="AM173" s="8" t="s">
        <v>221</v>
      </c>
      <c r="AN173" s="8" t="s">
        <v>221</v>
      </c>
      <c r="AO173" s="8" t="s">
        <v>222</v>
      </c>
      <c r="AP173" s="8">
        <v>0</v>
      </c>
      <c r="AQ173" s="8">
        <v>0</v>
      </c>
      <c r="AR173" s="8">
        <v>0</v>
      </c>
      <c r="AS173" s="8">
        <v>0</v>
      </c>
      <c r="AT173" s="8">
        <v>0</v>
      </c>
      <c r="AU173" s="8">
        <v>0</v>
      </c>
      <c r="AV173" s="8">
        <v>0</v>
      </c>
      <c r="AW173" s="8">
        <v>0</v>
      </c>
      <c r="AX173" s="8"/>
      <c r="AY173" s="8"/>
      <c r="BC173" t="s">
        <v>812</v>
      </c>
    </row>
    <row r="174" spans="1:55">
      <c r="A174" s="6">
        <v>45752</v>
      </c>
      <c r="B174" s="7" t="s">
        <v>813</v>
      </c>
      <c r="C174" t="s">
        <v>668</v>
      </c>
      <c r="D174" t="s">
        <v>814</v>
      </c>
      <c r="G174" t="s">
        <v>754</v>
      </c>
      <c r="H174" s="8" t="s">
        <v>208</v>
      </c>
      <c r="I174" s="8" t="s">
        <v>208</v>
      </c>
      <c r="J174" s="8" t="s">
        <v>208</v>
      </c>
      <c r="K174" s="8" t="s">
        <v>208</v>
      </c>
      <c r="L174" s="8" t="s">
        <v>208</v>
      </c>
      <c r="M174" s="8" t="s">
        <v>208</v>
      </c>
      <c r="N174" s="8" t="s">
        <v>208</v>
      </c>
      <c r="O174" s="8" t="s">
        <v>208</v>
      </c>
      <c r="Q174" t="s">
        <v>815</v>
      </c>
      <c r="R174" t="s">
        <v>816</v>
      </c>
      <c r="S174" t="s">
        <v>816</v>
      </c>
      <c r="T174" t="s">
        <v>813</v>
      </c>
      <c r="U174" t="s">
        <v>817</v>
      </c>
      <c r="V174" t="s">
        <v>140</v>
      </c>
      <c r="W174" t="s">
        <v>212</v>
      </c>
      <c r="X174" t="s">
        <v>212</v>
      </c>
      <c r="Y174" t="s">
        <v>275</v>
      </c>
      <c r="Z174" t="s">
        <v>275</v>
      </c>
      <c r="AA174" t="s">
        <v>214</v>
      </c>
      <c r="AB174" t="s">
        <v>681</v>
      </c>
      <c r="AC174" t="s">
        <v>681</v>
      </c>
      <c r="AD174" t="s">
        <v>216</v>
      </c>
      <c r="AE174" t="s">
        <v>11</v>
      </c>
      <c r="AG174" s="9" t="s">
        <v>221</v>
      </c>
      <c r="AH174" t="s">
        <v>219</v>
      </c>
      <c r="AI174" s="9" t="s">
        <v>218</v>
      </c>
      <c r="AJ174" s="9" t="s">
        <v>218</v>
      </c>
      <c r="AK174" t="s">
        <v>234</v>
      </c>
      <c r="AL174" s="8" t="s">
        <v>221</v>
      </c>
      <c r="AM174" s="9" t="s">
        <v>218</v>
      </c>
      <c r="AN174" s="9" t="s">
        <v>218</v>
      </c>
      <c r="AO174" s="8" t="s">
        <v>222</v>
      </c>
      <c r="AP174" s="8">
        <v>0</v>
      </c>
      <c r="AQ174" s="8">
        <v>0</v>
      </c>
      <c r="AR174" s="9">
        <v>32</v>
      </c>
      <c r="AS174" s="8">
        <v>0</v>
      </c>
      <c r="AT174" s="8">
        <v>0</v>
      </c>
      <c r="AU174" s="8">
        <v>0</v>
      </c>
      <c r="AV174" s="8">
        <v>0</v>
      </c>
      <c r="AW174" s="9">
        <v>32</v>
      </c>
      <c r="AX174" s="8"/>
      <c r="AY174" s="9" t="s">
        <v>818</v>
      </c>
      <c r="AZ174">
        <v>2</v>
      </c>
      <c r="BA174" t="s">
        <v>287</v>
      </c>
      <c r="BB174" t="s">
        <v>819</v>
      </c>
      <c r="BC174" t="s">
        <v>820</v>
      </c>
    </row>
    <row r="175" spans="1:55">
      <c r="A175" s="6">
        <v>45752</v>
      </c>
      <c r="B175" s="7" t="s">
        <v>821</v>
      </c>
      <c r="C175" t="s">
        <v>387</v>
      </c>
      <c r="D175" t="s">
        <v>814</v>
      </c>
      <c r="G175" t="s">
        <v>754</v>
      </c>
      <c r="H175" s="8" t="s">
        <v>208</v>
      </c>
      <c r="I175" s="8" t="s">
        <v>208</v>
      </c>
      <c r="J175" s="8" t="s">
        <v>208</v>
      </c>
      <c r="K175" s="8" t="s">
        <v>208</v>
      </c>
      <c r="L175" s="8" t="s">
        <v>208</v>
      </c>
      <c r="M175" s="8" t="s">
        <v>208</v>
      </c>
      <c r="N175" s="8" t="s">
        <v>208</v>
      </c>
      <c r="O175" s="8" t="s">
        <v>208</v>
      </c>
      <c r="Q175" t="s">
        <v>822</v>
      </c>
      <c r="R175" t="s">
        <v>823</v>
      </c>
      <c r="S175" t="s">
        <v>823</v>
      </c>
      <c r="T175" t="s">
        <v>821</v>
      </c>
      <c r="U175" t="s">
        <v>824</v>
      </c>
      <c r="V175" t="s">
        <v>825</v>
      </c>
      <c r="W175" t="s">
        <v>298</v>
      </c>
      <c r="X175" t="s">
        <v>298</v>
      </c>
      <c r="Y175" t="s">
        <v>299</v>
      </c>
      <c r="Z175" t="s">
        <v>299</v>
      </c>
      <c r="AA175" t="s">
        <v>826</v>
      </c>
      <c r="AB175" t="s">
        <v>827</v>
      </c>
      <c r="AC175" t="s">
        <v>827</v>
      </c>
      <c r="AD175" t="s">
        <v>216</v>
      </c>
      <c r="AE175" t="s">
        <v>826</v>
      </c>
      <c r="AG175" s="9" t="s">
        <v>221</v>
      </c>
      <c r="AH175" t="s">
        <v>302</v>
      </c>
      <c r="AI175" s="9" t="s">
        <v>218</v>
      </c>
      <c r="AJ175" s="9" t="s">
        <v>218</v>
      </c>
      <c r="AK175" t="s">
        <v>234</v>
      </c>
      <c r="AL175" s="9" t="s">
        <v>218</v>
      </c>
      <c r="AM175" s="8" t="s">
        <v>221</v>
      </c>
      <c r="AN175" s="8" t="s">
        <v>221</v>
      </c>
      <c r="AO175" s="8" t="s">
        <v>222</v>
      </c>
      <c r="AP175" s="8">
        <v>0</v>
      </c>
      <c r="AQ175" s="8">
        <v>0</v>
      </c>
      <c r="AR175" s="9">
        <v>39</v>
      </c>
      <c r="AS175" s="8">
        <v>0</v>
      </c>
      <c r="AT175" s="8">
        <v>0</v>
      </c>
      <c r="AU175" s="8">
        <v>0</v>
      </c>
      <c r="AV175" s="8">
        <v>0</v>
      </c>
      <c r="AW175" s="9">
        <v>39</v>
      </c>
      <c r="AX175" s="9" t="s">
        <v>828</v>
      </c>
      <c r="AY175" s="9" t="s">
        <v>829</v>
      </c>
      <c r="AZ175">
        <v>0</v>
      </c>
      <c r="BB175" t="s">
        <v>830</v>
      </c>
      <c r="BC175" t="s">
        <v>831</v>
      </c>
    </row>
    <row r="176" spans="1:55">
      <c r="A176" s="6">
        <v>45752</v>
      </c>
      <c r="B176" s="7" t="s">
        <v>667</v>
      </c>
      <c r="C176" t="s">
        <v>668</v>
      </c>
      <c r="D176" t="s">
        <v>814</v>
      </c>
      <c r="G176" t="s">
        <v>754</v>
      </c>
      <c r="H176" s="8" t="s">
        <v>208</v>
      </c>
      <c r="I176" s="8" t="s">
        <v>208</v>
      </c>
      <c r="J176" s="8" t="s">
        <v>208</v>
      </c>
      <c r="K176" s="8" t="s">
        <v>208</v>
      </c>
      <c r="L176" s="8" t="s">
        <v>208</v>
      </c>
      <c r="M176" s="8" t="s">
        <v>208</v>
      </c>
      <c r="N176" s="8" t="s">
        <v>208</v>
      </c>
      <c r="O176" s="8" t="s">
        <v>208</v>
      </c>
      <c r="Q176" t="s">
        <v>669</v>
      </c>
      <c r="R176" t="s">
        <v>670</v>
      </c>
      <c r="S176" t="s">
        <v>670</v>
      </c>
      <c r="T176" t="s">
        <v>667</v>
      </c>
      <c r="U176" t="s">
        <v>671</v>
      </c>
      <c r="V176" t="s">
        <v>138</v>
      </c>
      <c r="W176" t="s">
        <v>212</v>
      </c>
      <c r="X176" t="s">
        <v>212</v>
      </c>
      <c r="Y176" t="s">
        <v>275</v>
      </c>
      <c r="Z176" t="s">
        <v>275</v>
      </c>
      <c r="AA176" t="s">
        <v>214</v>
      </c>
      <c r="AB176" t="s">
        <v>832</v>
      </c>
      <c r="AC176" t="s">
        <v>832</v>
      </c>
      <c r="AD176" t="s">
        <v>216</v>
      </c>
      <c r="AE176" t="s">
        <v>11</v>
      </c>
      <c r="AG176" s="9" t="s">
        <v>221</v>
      </c>
      <c r="AH176" t="s">
        <v>219</v>
      </c>
      <c r="AI176" s="9" t="s">
        <v>218</v>
      </c>
      <c r="AJ176" s="9" t="s">
        <v>218</v>
      </c>
      <c r="AK176" t="s">
        <v>234</v>
      </c>
      <c r="AL176" s="8" t="s">
        <v>221</v>
      </c>
      <c r="AM176" s="9" t="s">
        <v>218</v>
      </c>
      <c r="AN176" s="9" t="s">
        <v>218</v>
      </c>
      <c r="AO176" s="8" t="s">
        <v>222</v>
      </c>
      <c r="AP176" s="8">
        <v>0</v>
      </c>
      <c r="AQ176" s="8">
        <v>0</v>
      </c>
      <c r="AR176" s="9">
        <v>130</v>
      </c>
      <c r="AS176" s="8">
        <v>0</v>
      </c>
      <c r="AT176" s="8">
        <v>0</v>
      </c>
      <c r="AU176" s="8">
        <v>0</v>
      </c>
      <c r="AV176" s="8">
        <v>0</v>
      </c>
      <c r="AW176" s="9">
        <v>130</v>
      </c>
      <c r="AX176" s="8"/>
      <c r="AY176" s="9" t="s">
        <v>674</v>
      </c>
      <c r="AZ176">
        <v>2</v>
      </c>
      <c r="BA176" t="s">
        <v>287</v>
      </c>
      <c r="BB176" t="s">
        <v>675</v>
      </c>
      <c r="BC176" t="s">
        <v>676</v>
      </c>
    </row>
    <row r="177" spans="1:55">
      <c r="A177" s="6">
        <v>45752</v>
      </c>
      <c r="B177" s="7" t="s">
        <v>833</v>
      </c>
      <c r="C177" t="s">
        <v>387</v>
      </c>
      <c r="D177" t="s">
        <v>814</v>
      </c>
      <c r="G177" t="s">
        <v>754</v>
      </c>
      <c r="H177" s="8" t="s">
        <v>208</v>
      </c>
      <c r="I177" s="8" t="s">
        <v>208</v>
      </c>
      <c r="J177" s="8" t="s">
        <v>208</v>
      </c>
      <c r="K177" s="8" t="s">
        <v>208</v>
      </c>
      <c r="L177" s="8" t="s">
        <v>208</v>
      </c>
      <c r="M177" s="8" t="s">
        <v>208</v>
      </c>
      <c r="N177" s="8" t="s">
        <v>208</v>
      </c>
      <c r="O177" s="8" t="s">
        <v>208</v>
      </c>
      <c r="Q177" t="s">
        <v>834</v>
      </c>
      <c r="R177" t="s">
        <v>835</v>
      </c>
      <c r="S177" t="s">
        <v>835</v>
      </c>
      <c r="T177" t="s">
        <v>833</v>
      </c>
      <c r="U177" t="s">
        <v>836</v>
      </c>
      <c r="V177" t="s">
        <v>837</v>
      </c>
      <c r="W177" t="s">
        <v>298</v>
      </c>
      <c r="X177" t="s">
        <v>298</v>
      </c>
      <c r="Y177" t="s">
        <v>299</v>
      </c>
      <c r="Z177" t="s">
        <v>299</v>
      </c>
      <c r="AA177" t="s">
        <v>838</v>
      </c>
      <c r="AB177" t="s">
        <v>301</v>
      </c>
      <c r="AC177" t="s">
        <v>301</v>
      </c>
      <c r="AD177" t="s">
        <v>216</v>
      </c>
      <c r="AE177" t="s">
        <v>838</v>
      </c>
      <c r="AG177" s="9" t="s">
        <v>221</v>
      </c>
      <c r="AH177" t="s">
        <v>302</v>
      </c>
      <c r="AI177" s="9" t="s">
        <v>218</v>
      </c>
      <c r="AJ177" s="9" t="s">
        <v>218</v>
      </c>
      <c r="AK177" t="s">
        <v>234</v>
      </c>
      <c r="AL177" s="9" t="s">
        <v>218</v>
      </c>
      <c r="AM177" s="8" t="s">
        <v>221</v>
      </c>
      <c r="AN177" s="8" t="s">
        <v>221</v>
      </c>
      <c r="AO177" s="8" t="s">
        <v>222</v>
      </c>
      <c r="AP177" s="8">
        <v>0</v>
      </c>
      <c r="AQ177" s="8">
        <v>0</v>
      </c>
      <c r="AR177" s="9">
        <v>21</v>
      </c>
      <c r="AS177" s="8">
        <v>0</v>
      </c>
      <c r="AT177" s="8">
        <v>0</v>
      </c>
      <c r="AU177" s="8">
        <v>0</v>
      </c>
      <c r="AV177" s="8">
        <v>0</v>
      </c>
      <c r="AW177" s="9">
        <v>21</v>
      </c>
      <c r="AX177" s="8"/>
      <c r="AY177" s="8"/>
      <c r="AZ177">
        <v>1</v>
      </c>
      <c r="BA177" t="s">
        <v>304</v>
      </c>
      <c r="BB177" t="s">
        <v>839</v>
      </c>
      <c r="BC177" t="s">
        <v>840</v>
      </c>
    </row>
    <row r="178" spans="1:55">
      <c r="A178" s="6">
        <v>45752</v>
      </c>
      <c r="B178" s="7" t="s">
        <v>841</v>
      </c>
      <c r="C178" t="s">
        <v>668</v>
      </c>
      <c r="D178" t="s">
        <v>814</v>
      </c>
      <c r="G178" t="s">
        <v>754</v>
      </c>
      <c r="H178" s="8" t="s">
        <v>208</v>
      </c>
      <c r="I178" s="8" t="s">
        <v>208</v>
      </c>
      <c r="J178" s="8" t="s">
        <v>208</v>
      </c>
      <c r="K178" s="8" t="s">
        <v>208</v>
      </c>
      <c r="L178" s="8" t="s">
        <v>208</v>
      </c>
      <c r="M178" s="8" t="s">
        <v>208</v>
      </c>
      <c r="N178" s="8" t="s">
        <v>208</v>
      </c>
      <c r="O178" s="8" t="s">
        <v>208</v>
      </c>
      <c r="Q178" t="s">
        <v>842</v>
      </c>
      <c r="R178" t="s">
        <v>843</v>
      </c>
      <c r="S178" t="s">
        <v>843</v>
      </c>
      <c r="T178" t="s">
        <v>841</v>
      </c>
      <c r="U178" t="s">
        <v>844</v>
      </c>
      <c r="V178" t="s">
        <v>139</v>
      </c>
      <c r="W178" t="s">
        <v>212</v>
      </c>
      <c r="X178" t="s">
        <v>212</v>
      </c>
      <c r="Y178" t="s">
        <v>275</v>
      </c>
      <c r="Z178" t="s">
        <v>275</v>
      </c>
      <c r="AA178" t="s">
        <v>214</v>
      </c>
      <c r="AB178" t="s">
        <v>215</v>
      </c>
      <c r="AC178" t="s">
        <v>215</v>
      </c>
      <c r="AD178" t="s">
        <v>216</v>
      </c>
      <c r="AE178" t="s">
        <v>11</v>
      </c>
      <c r="AG178" s="9" t="s">
        <v>221</v>
      </c>
      <c r="AH178" t="s">
        <v>219</v>
      </c>
      <c r="AI178" s="9" t="s">
        <v>218</v>
      </c>
      <c r="AJ178" s="9" t="s">
        <v>218</v>
      </c>
      <c r="AK178" t="s">
        <v>845</v>
      </c>
      <c r="AL178" s="8" t="s">
        <v>221</v>
      </c>
      <c r="AM178" s="9" t="s">
        <v>218</v>
      </c>
      <c r="AN178" s="9" t="s">
        <v>218</v>
      </c>
      <c r="AO178" s="8" t="s">
        <v>222</v>
      </c>
      <c r="AP178" s="8">
        <v>0</v>
      </c>
      <c r="AQ178" s="8">
        <v>0</v>
      </c>
      <c r="AR178" s="9">
        <v>3</v>
      </c>
      <c r="AS178" s="8">
        <v>0</v>
      </c>
      <c r="AT178" s="8">
        <v>0</v>
      </c>
      <c r="AU178" s="8">
        <v>0</v>
      </c>
      <c r="AV178" s="8">
        <v>0</v>
      </c>
      <c r="AW178" s="9">
        <v>3</v>
      </c>
      <c r="AX178" s="8"/>
      <c r="AY178" s="8"/>
      <c r="BB178" t="s">
        <v>846</v>
      </c>
      <c r="BC178" t="s">
        <v>847</v>
      </c>
    </row>
    <row r="179" spans="1:55">
      <c r="A179" s="6">
        <v>45752</v>
      </c>
      <c r="B179" s="7" t="s">
        <v>761</v>
      </c>
      <c r="C179" t="s">
        <v>205</v>
      </c>
      <c r="D179" t="s">
        <v>814</v>
      </c>
      <c r="G179" t="s">
        <v>754</v>
      </c>
      <c r="H179" s="8" t="s">
        <v>208</v>
      </c>
      <c r="I179" s="8" t="s">
        <v>208</v>
      </c>
      <c r="J179" s="8" t="s">
        <v>208</v>
      </c>
      <c r="K179" s="8" t="s">
        <v>208</v>
      </c>
      <c r="L179" s="8" t="s">
        <v>208</v>
      </c>
      <c r="M179" s="8" t="s">
        <v>208</v>
      </c>
      <c r="N179" s="8" t="s">
        <v>208</v>
      </c>
      <c r="O179" s="8" t="s">
        <v>208</v>
      </c>
      <c r="Q179" t="s">
        <v>762</v>
      </c>
      <c r="R179" t="s">
        <v>763</v>
      </c>
      <c r="S179" t="s">
        <v>763</v>
      </c>
      <c r="T179" t="s">
        <v>761</v>
      </c>
      <c r="U179" t="s">
        <v>848</v>
      </c>
      <c r="V179" t="s">
        <v>849</v>
      </c>
      <c r="W179" t="s">
        <v>232</v>
      </c>
      <c r="X179" t="s">
        <v>232</v>
      </c>
      <c r="Y179" t="s">
        <v>765</v>
      </c>
      <c r="Z179" t="s">
        <v>765</v>
      </c>
      <c r="AA179" t="s">
        <v>776</v>
      </c>
      <c r="AB179" t="s">
        <v>701</v>
      </c>
      <c r="AC179" t="s">
        <v>701</v>
      </c>
      <c r="AD179" t="s">
        <v>216</v>
      </c>
      <c r="AE179" t="s">
        <v>11</v>
      </c>
      <c r="AG179" s="9" t="s">
        <v>221</v>
      </c>
      <c r="AH179" t="s">
        <v>219</v>
      </c>
      <c r="AI179" s="9" t="s">
        <v>218</v>
      </c>
      <c r="AJ179" s="9" t="s">
        <v>218</v>
      </c>
      <c r="AK179" t="s">
        <v>767</v>
      </c>
      <c r="AL179" s="9" t="s">
        <v>218</v>
      </c>
      <c r="AM179" s="8" t="s">
        <v>221</v>
      </c>
      <c r="AN179" s="8" t="s">
        <v>221</v>
      </c>
      <c r="AO179" s="8" t="s">
        <v>222</v>
      </c>
      <c r="AP179" s="8">
        <v>0</v>
      </c>
      <c r="AQ179" s="8">
        <v>0</v>
      </c>
      <c r="AR179" s="8">
        <v>0</v>
      </c>
      <c r="AS179" s="8">
        <v>0</v>
      </c>
      <c r="AT179" s="8">
        <v>0</v>
      </c>
      <c r="AU179" s="8">
        <v>0</v>
      </c>
      <c r="AV179" s="8">
        <v>0</v>
      </c>
      <c r="AW179" s="8">
        <v>0</v>
      </c>
      <c r="AX179" s="8"/>
      <c r="AY179" s="8"/>
      <c r="BB179" t="s">
        <v>850</v>
      </c>
      <c r="BC179" t="s">
        <v>768</v>
      </c>
    </row>
    <row r="180" spans="1:55">
      <c r="A180" s="6">
        <v>45752</v>
      </c>
      <c r="B180" s="7" t="s">
        <v>851</v>
      </c>
      <c r="C180" t="s">
        <v>205</v>
      </c>
      <c r="D180" t="s">
        <v>814</v>
      </c>
      <c r="G180" t="s">
        <v>754</v>
      </c>
      <c r="H180" s="8" t="s">
        <v>208</v>
      </c>
      <c r="I180" s="8" t="s">
        <v>208</v>
      </c>
      <c r="J180" s="8" t="s">
        <v>208</v>
      </c>
      <c r="K180" s="8" t="s">
        <v>208</v>
      </c>
      <c r="L180" s="8" t="s">
        <v>208</v>
      </c>
      <c r="M180" s="8" t="s">
        <v>208</v>
      </c>
      <c r="N180" s="8" t="s">
        <v>208</v>
      </c>
      <c r="O180" s="8" t="s">
        <v>208</v>
      </c>
      <c r="Q180" t="s">
        <v>852</v>
      </c>
      <c r="R180" t="s">
        <v>853</v>
      </c>
      <c r="S180" t="s">
        <v>853</v>
      </c>
      <c r="T180" t="s">
        <v>851</v>
      </c>
      <c r="U180" t="s">
        <v>854</v>
      </c>
      <c r="V180" t="s">
        <v>855</v>
      </c>
      <c r="W180" t="s">
        <v>212</v>
      </c>
      <c r="X180" t="s">
        <v>212</v>
      </c>
      <c r="Y180" t="s">
        <v>275</v>
      </c>
      <c r="Z180" t="s">
        <v>275</v>
      </c>
      <c r="AA180" t="s">
        <v>856</v>
      </c>
      <c r="AB180" t="s">
        <v>857</v>
      </c>
      <c r="AC180" t="s">
        <v>857</v>
      </c>
      <c r="AD180" t="s">
        <v>216</v>
      </c>
      <c r="AE180" t="s">
        <v>11</v>
      </c>
      <c r="AG180" s="9" t="s">
        <v>221</v>
      </c>
      <c r="AH180" t="s">
        <v>219</v>
      </c>
      <c r="AI180" s="9" t="s">
        <v>218</v>
      </c>
      <c r="AJ180" s="9" t="s">
        <v>218</v>
      </c>
      <c r="AK180" t="s">
        <v>858</v>
      </c>
      <c r="AL180" s="8" t="s">
        <v>221</v>
      </c>
      <c r="AM180" s="9" t="s">
        <v>218</v>
      </c>
      <c r="AN180" s="9" t="s">
        <v>218</v>
      </c>
      <c r="AO180" s="8" t="s">
        <v>222</v>
      </c>
      <c r="AP180" s="8">
        <v>0</v>
      </c>
      <c r="AQ180" s="8">
        <v>0</v>
      </c>
      <c r="AR180" s="8">
        <v>0</v>
      </c>
      <c r="AS180" s="8">
        <v>0</v>
      </c>
      <c r="AT180" s="8">
        <v>0</v>
      </c>
      <c r="AU180" s="8">
        <v>0</v>
      </c>
      <c r="AV180" s="8">
        <v>0</v>
      </c>
      <c r="AW180" s="8">
        <v>0</v>
      </c>
      <c r="AX180" s="8"/>
      <c r="AY180" s="8"/>
      <c r="BC180" t="s">
        <v>859</v>
      </c>
    </row>
    <row r="181" spans="1:55">
      <c r="A181" s="6">
        <v>45752</v>
      </c>
      <c r="B181" s="7" t="s">
        <v>860</v>
      </c>
      <c r="C181" t="s">
        <v>205</v>
      </c>
      <c r="D181" t="s">
        <v>814</v>
      </c>
      <c r="G181" t="s">
        <v>754</v>
      </c>
      <c r="H181" s="8" t="s">
        <v>208</v>
      </c>
      <c r="I181" s="8" t="s">
        <v>208</v>
      </c>
      <c r="J181" s="8" t="s">
        <v>208</v>
      </c>
      <c r="K181" s="8" t="s">
        <v>208</v>
      </c>
      <c r="L181" s="8" t="s">
        <v>208</v>
      </c>
      <c r="M181" s="8" t="s">
        <v>208</v>
      </c>
      <c r="N181" s="8" t="s">
        <v>208</v>
      </c>
      <c r="O181" s="8" t="s">
        <v>208</v>
      </c>
      <c r="Q181" t="s">
        <v>861</v>
      </c>
      <c r="R181" t="s">
        <v>862</v>
      </c>
      <c r="S181" t="s">
        <v>862</v>
      </c>
      <c r="T181" t="s">
        <v>860</v>
      </c>
      <c r="U181" t="s">
        <v>863</v>
      </c>
      <c r="V181" t="s">
        <v>855</v>
      </c>
      <c r="W181" t="s">
        <v>212</v>
      </c>
      <c r="X181" t="s">
        <v>212</v>
      </c>
      <c r="Y181" t="s">
        <v>275</v>
      </c>
      <c r="Z181" t="s">
        <v>275</v>
      </c>
      <c r="AA181" t="s">
        <v>856</v>
      </c>
      <c r="AB181" t="s">
        <v>857</v>
      </c>
      <c r="AC181" t="s">
        <v>857</v>
      </c>
      <c r="AD181" t="s">
        <v>216</v>
      </c>
      <c r="AE181" t="s">
        <v>11</v>
      </c>
      <c r="AG181" s="9" t="s">
        <v>221</v>
      </c>
      <c r="AH181" t="s">
        <v>219</v>
      </c>
      <c r="AI181" s="9" t="s">
        <v>218</v>
      </c>
      <c r="AJ181" s="9" t="s">
        <v>218</v>
      </c>
      <c r="AK181" t="s">
        <v>858</v>
      </c>
      <c r="AL181" s="8" t="s">
        <v>221</v>
      </c>
      <c r="AM181" s="9" t="s">
        <v>218</v>
      </c>
      <c r="AN181" s="9" t="s">
        <v>218</v>
      </c>
      <c r="AO181" s="8" t="s">
        <v>222</v>
      </c>
      <c r="AP181" s="8">
        <v>0</v>
      </c>
      <c r="AQ181" s="8">
        <v>0</v>
      </c>
      <c r="AR181" s="8">
        <v>0</v>
      </c>
      <c r="AS181" s="8">
        <v>0</v>
      </c>
      <c r="AT181" s="8">
        <v>0</v>
      </c>
      <c r="AU181" s="8">
        <v>0</v>
      </c>
      <c r="AV181" s="8">
        <v>0</v>
      </c>
      <c r="AW181" s="8">
        <v>0</v>
      </c>
      <c r="AX181" s="8"/>
      <c r="AY181" s="8"/>
      <c r="BC181" t="s">
        <v>864</v>
      </c>
    </row>
    <row r="182" spans="1:55">
      <c r="A182" s="6">
        <v>45752</v>
      </c>
      <c r="B182" s="7" t="s">
        <v>865</v>
      </c>
      <c r="C182" t="s">
        <v>205</v>
      </c>
      <c r="D182" t="s">
        <v>814</v>
      </c>
      <c r="G182" t="s">
        <v>754</v>
      </c>
      <c r="H182" s="8" t="s">
        <v>208</v>
      </c>
      <c r="I182" s="8" t="s">
        <v>208</v>
      </c>
      <c r="J182" s="8" t="s">
        <v>208</v>
      </c>
      <c r="K182" s="8" t="s">
        <v>208</v>
      </c>
      <c r="L182" s="8" t="s">
        <v>208</v>
      </c>
      <c r="M182" s="8" t="s">
        <v>208</v>
      </c>
      <c r="N182" s="8" t="s">
        <v>208</v>
      </c>
      <c r="O182" s="8" t="s">
        <v>208</v>
      </c>
      <c r="Q182" t="s">
        <v>866</v>
      </c>
      <c r="R182" t="s">
        <v>867</v>
      </c>
      <c r="S182" t="s">
        <v>867</v>
      </c>
      <c r="T182" t="s">
        <v>865</v>
      </c>
      <c r="U182" t="s">
        <v>868</v>
      </c>
      <c r="V182" t="s">
        <v>855</v>
      </c>
      <c r="W182" t="s">
        <v>212</v>
      </c>
      <c r="X182" t="s">
        <v>212</v>
      </c>
      <c r="Y182" t="s">
        <v>275</v>
      </c>
      <c r="Z182" t="s">
        <v>275</v>
      </c>
      <c r="AA182" t="s">
        <v>856</v>
      </c>
      <c r="AB182" t="s">
        <v>857</v>
      </c>
      <c r="AC182" t="s">
        <v>857</v>
      </c>
      <c r="AD182" t="s">
        <v>216</v>
      </c>
      <c r="AE182" t="s">
        <v>11</v>
      </c>
      <c r="AG182" s="9" t="s">
        <v>221</v>
      </c>
      <c r="AH182" t="s">
        <v>219</v>
      </c>
      <c r="AI182" s="9" t="s">
        <v>218</v>
      </c>
      <c r="AJ182" s="9" t="s">
        <v>218</v>
      </c>
      <c r="AK182" t="s">
        <v>869</v>
      </c>
      <c r="AL182" s="8" t="s">
        <v>221</v>
      </c>
      <c r="AM182" s="9" t="s">
        <v>218</v>
      </c>
      <c r="AN182" s="9" t="s">
        <v>218</v>
      </c>
      <c r="AO182" s="8" t="s">
        <v>222</v>
      </c>
      <c r="AP182" s="8">
        <v>0</v>
      </c>
      <c r="AQ182" s="8">
        <v>0</v>
      </c>
      <c r="AR182" s="8">
        <v>0</v>
      </c>
      <c r="AS182" s="8">
        <v>0</v>
      </c>
      <c r="AT182" s="8">
        <v>0</v>
      </c>
      <c r="AU182" s="8">
        <v>0</v>
      </c>
      <c r="AV182" s="8">
        <v>0</v>
      </c>
      <c r="AW182" s="8">
        <v>0</v>
      </c>
      <c r="AX182" s="8"/>
      <c r="AY182" s="8"/>
      <c r="BC182" t="s">
        <v>870</v>
      </c>
    </row>
    <row r="183" spans="1:55">
      <c r="A183" s="6">
        <v>45752</v>
      </c>
      <c r="B183" s="7" t="s">
        <v>871</v>
      </c>
      <c r="C183" t="s">
        <v>205</v>
      </c>
      <c r="D183" t="s">
        <v>814</v>
      </c>
      <c r="G183" t="s">
        <v>754</v>
      </c>
      <c r="H183" s="8" t="s">
        <v>208</v>
      </c>
      <c r="I183" s="8" t="s">
        <v>208</v>
      </c>
      <c r="J183" s="8" t="s">
        <v>208</v>
      </c>
      <c r="K183" s="8" t="s">
        <v>208</v>
      </c>
      <c r="L183" s="8" t="s">
        <v>208</v>
      </c>
      <c r="M183" s="8" t="s">
        <v>208</v>
      </c>
      <c r="N183" s="8" t="s">
        <v>208</v>
      </c>
      <c r="O183" s="8" t="s">
        <v>208</v>
      </c>
      <c r="Q183" t="s">
        <v>872</v>
      </c>
      <c r="R183" t="s">
        <v>873</v>
      </c>
      <c r="S183" t="s">
        <v>873</v>
      </c>
      <c r="T183" t="s">
        <v>871</v>
      </c>
      <c r="U183" t="s">
        <v>874</v>
      </c>
      <c r="V183" t="s">
        <v>855</v>
      </c>
      <c r="W183" t="s">
        <v>212</v>
      </c>
      <c r="X183" t="s">
        <v>212</v>
      </c>
      <c r="Y183" t="s">
        <v>275</v>
      </c>
      <c r="Z183" t="s">
        <v>275</v>
      </c>
      <c r="AA183" t="s">
        <v>856</v>
      </c>
      <c r="AB183" t="s">
        <v>857</v>
      </c>
      <c r="AC183" t="s">
        <v>857</v>
      </c>
      <c r="AD183" t="s">
        <v>216</v>
      </c>
      <c r="AE183" t="s">
        <v>11</v>
      </c>
      <c r="AG183" s="9" t="s">
        <v>221</v>
      </c>
      <c r="AH183" t="s">
        <v>219</v>
      </c>
      <c r="AI183" s="9" t="s">
        <v>218</v>
      </c>
      <c r="AJ183" s="9" t="s">
        <v>218</v>
      </c>
      <c r="AK183" t="s">
        <v>869</v>
      </c>
      <c r="AL183" s="8" t="s">
        <v>221</v>
      </c>
      <c r="AM183" s="9" t="s">
        <v>218</v>
      </c>
      <c r="AN183" s="9" t="s">
        <v>218</v>
      </c>
      <c r="AO183" s="8" t="s">
        <v>222</v>
      </c>
      <c r="AP183" s="8">
        <v>0</v>
      </c>
      <c r="AQ183" s="8">
        <v>0</v>
      </c>
      <c r="AR183" s="8">
        <v>0</v>
      </c>
      <c r="AS183" s="8">
        <v>0</v>
      </c>
      <c r="AT183" s="8">
        <v>0</v>
      </c>
      <c r="AU183" s="8">
        <v>0</v>
      </c>
      <c r="AV183" s="8">
        <v>0</v>
      </c>
      <c r="AW183" s="8">
        <v>0</v>
      </c>
      <c r="AX183" s="8"/>
      <c r="AY183" s="8"/>
      <c r="BC183" t="s">
        <v>875</v>
      </c>
    </row>
    <row r="184" spans="1:55">
      <c r="A184" s="6">
        <v>45752</v>
      </c>
      <c r="B184" s="7" t="s">
        <v>876</v>
      </c>
      <c r="C184" t="s">
        <v>205</v>
      </c>
      <c r="D184" t="s">
        <v>814</v>
      </c>
      <c r="G184" t="s">
        <v>754</v>
      </c>
      <c r="H184" s="8" t="s">
        <v>208</v>
      </c>
      <c r="I184" s="8" t="s">
        <v>208</v>
      </c>
      <c r="J184" s="8" t="s">
        <v>208</v>
      </c>
      <c r="K184" s="8" t="s">
        <v>208</v>
      </c>
      <c r="L184" s="8" t="s">
        <v>208</v>
      </c>
      <c r="M184" s="8" t="s">
        <v>208</v>
      </c>
      <c r="N184" s="8" t="s">
        <v>208</v>
      </c>
      <c r="O184" s="8" t="s">
        <v>208</v>
      </c>
      <c r="Q184" t="s">
        <v>877</v>
      </c>
      <c r="R184" t="s">
        <v>878</v>
      </c>
      <c r="S184" t="s">
        <v>878</v>
      </c>
      <c r="T184" t="s">
        <v>876</v>
      </c>
      <c r="U184" t="s">
        <v>879</v>
      </c>
      <c r="V184" t="s">
        <v>855</v>
      </c>
      <c r="W184" t="s">
        <v>212</v>
      </c>
      <c r="X184" t="s">
        <v>212</v>
      </c>
      <c r="Y184" t="s">
        <v>275</v>
      </c>
      <c r="Z184" t="s">
        <v>275</v>
      </c>
      <c r="AA184" t="s">
        <v>856</v>
      </c>
      <c r="AB184" t="s">
        <v>857</v>
      </c>
      <c r="AC184" t="s">
        <v>857</v>
      </c>
      <c r="AD184" t="s">
        <v>216</v>
      </c>
      <c r="AE184" t="s">
        <v>11</v>
      </c>
      <c r="AG184" s="9" t="s">
        <v>221</v>
      </c>
      <c r="AH184" t="s">
        <v>219</v>
      </c>
      <c r="AI184" s="9" t="s">
        <v>218</v>
      </c>
      <c r="AJ184" s="9" t="s">
        <v>218</v>
      </c>
      <c r="AK184" t="s">
        <v>880</v>
      </c>
      <c r="AL184" s="8" t="s">
        <v>221</v>
      </c>
      <c r="AM184" s="9" t="s">
        <v>218</v>
      </c>
      <c r="AN184" s="9" t="s">
        <v>218</v>
      </c>
      <c r="AO184" s="8" t="s">
        <v>222</v>
      </c>
      <c r="AP184" s="8">
        <v>0</v>
      </c>
      <c r="AQ184" s="8">
        <v>0</v>
      </c>
      <c r="AR184" s="8">
        <v>0</v>
      </c>
      <c r="AS184" s="8">
        <v>0</v>
      </c>
      <c r="AT184" s="8">
        <v>0</v>
      </c>
      <c r="AU184" s="8">
        <v>0</v>
      </c>
      <c r="AV184" s="8">
        <v>0</v>
      </c>
      <c r="AW184" s="8">
        <v>0</v>
      </c>
      <c r="AX184" s="8"/>
      <c r="AY184" s="8"/>
      <c r="BC184" t="s">
        <v>881</v>
      </c>
    </row>
    <row r="185" spans="1:55">
      <c r="A185" s="6">
        <v>45752</v>
      </c>
      <c r="B185" s="7" t="s">
        <v>882</v>
      </c>
      <c r="C185" t="s">
        <v>205</v>
      </c>
      <c r="D185" t="s">
        <v>814</v>
      </c>
      <c r="G185" t="s">
        <v>754</v>
      </c>
      <c r="H185" s="8" t="s">
        <v>208</v>
      </c>
      <c r="I185" s="8" t="s">
        <v>208</v>
      </c>
      <c r="J185" s="8" t="s">
        <v>208</v>
      </c>
      <c r="K185" s="8" t="s">
        <v>208</v>
      </c>
      <c r="L185" s="8" t="s">
        <v>208</v>
      </c>
      <c r="M185" s="8" t="s">
        <v>208</v>
      </c>
      <c r="N185" s="8" t="s">
        <v>208</v>
      </c>
      <c r="O185" s="8" t="s">
        <v>208</v>
      </c>
      <c r="Q185" t="s">
        <v>883</v>
      </c>
      <c r="R185" t="s">
        <v>884</v>
      </c>
      <c r="S185" t="s">
        <v>884</v>
      </c>
      <c r="T185" t="s">
        <v>882</v>
      </c>
      <c r="U185" t="s">
        <v>885</v>
      </c>
      <c r="V185" t="s">
        <v>855</v>
      </c>
      <c r="W185" t="s">
        <v>212</v>
      </c>
      <c r="X185" t="s">
        <v>212</v>
      </c>
      <c r="Y185" t="s">
        <v>275</v>
      </c>
      <c r="Z185" t="s">
        <v>275</v>
      </c>
      <c r="AA185" t="s">
        <v>856</v>
      </c>
      <c r="AB185" t="s">
        <v>857</v>
      </c>
      <c r="AC185" t="s">
        <v>857</v>
      </c>
      <c r="AD185" t="s">
        <v>216</v>
      </c>
      <c r="AE185" t="s">
        <v>11</v>
      </c>
      <c r="AG185" s="9" t="s">
        <v>221</v>
      </c>
      <c r="AH185" t="s">
        <v>219</v>
      </c>
      <c r="AI185" s="9" t="s">
        <v>218</v>
      </c>
      <c r="AJ185" s="9" t="s">
        <v>218</v>
      </c>
      <c r="AK185" t="s">
        <v>869</v>
      </c>
      <c r="AL185" s="8" t="s">
        <v>221</v>
      </c>
      <c r="AM185" s="9" t="s">
        <v>218</v>
      </c>
      <c r="AN185" s="9" t="s">
        <v>218</v>
      </c>
      <c r="AO185" s="8" t="s">
        <v>222</v>
      </c>
      <c r="AP185" s="8">
        <v>0</v>
      </c>
      <c r="AQ185" s="8">
        <v>0</v>
      </c>
      <c r="AR185" s="8">
        <v>0</v>
      </c>
      <c r="AS185" s="8">
        <v>0</v>
      </c>
      <c r="AT185" s="8">
        <v>0</v>
      </c>
      <c r="AU185" s="8">
        <v>0</v>
      </c>
      <c r="AV185" s="8">
        <v>0</v>
      </c>
      <c r="AW185" s="8">
        <v>0</v>
      </c>
      <c r="AX185" s="8"/>
      <c r="AY185" s="8"/>
      <c r="BC185" t="s">
        <v>886</v>
      </c>
    </row>
    <row r="186" spans="1:55">
      <c r="A186" s="6">
        <v>45752</v>
      </c>
      <c r="B186" s="7" t="s">
        <v>887</v>
      </c>
      <c r="C186" t="s">
        <v>205</v>
      </c>
      <c r="D186" t="s">
        <v>814</v>
      </c>
      <c r="G186" t="s">
        <v>754</v>
      </c>
      <c r="H186" s="8" t="s">
        <v>208</v>
      </c>
      <c r="I186" s="8" t="s">
        <v>208</v>
      </c>
      <c r="J186" s="8" t="s">
        <v>208</v>
      </c>
      <c r="K186" s="8" t="s">
        <v>208</v>
      </c>
      <c r="L186" s="8" t="s">
        <v>208</v>
      </c>
      <c r="M186" s="8" t="s">
        <v>208</v>
      </c>
      <c r="N186" s="8" t="s">
        <v>208</v>
      </c>
      <c r="O186" s="8" t="s">
        <v>208</v>
      </c>
      <c r="Q186" t="s">
        <v>888</v>
      </c>
      <c r="R186" t="s">
        <v>889</v>
      </c>
      <c r="S186" t="s">
        <v>889</v>
      </c>
      <c r="T186" t="s">
        <v>887</v>
      </c>
      <c r="U186" t="s">
        <v>890</v>
      </c>
      <c r="V186" t="s">
        <v>855</v>
      </c>
      <c r="W186" t="s">
        <v>212</v>
      </c>
      <c r="X186" t="s">
        <v>212</v>
      </c>
      <c r="Y186" t="s">
        <v>275</v>
      </c>
      <c r="Z186" t="s">
        <v>275</v>
      </c>
      <c r="AA186" t="s">
        <v>856</v>
      </c>
      <c r="AB186" t="s">
        <v>857</v>
      </c>
      <c r="AC186" t="s">
        <v>857</v>
      </c>
      <c r="AD186" t="s">
        <v>216</v>
      </c>
      <c r="AE186" t="s">
        <v>11</v>
      </c>
      <c r="AG186" s="9" t="s">
        <v>221</v>
      </c>
      <c r="AH186" t="s">
        <v>219</v>
      </c>
      <c r="AI186" s="9" t="s">
        <v>218</v>
      </c>
      <c r="AJ186" s="9" t="s">
        <v>218</v>
      </c>
      <c r="AK186" t="s">
        <v>869</v>
      </c>
      <c r="AL186" s="8" t="s">
        <v>221</v>
      </c>
      <c r="AM186" s="9" t="s">
        <v>218</v>
      </c>
      <c r="AN186" s="9" t="s">
        <v>218</v>
      </c>
      <c r="AO186" s="8" t="s">
        <v>222</v>
      </c>
      <c r="AP186" s="8">
        <v>0</v>
      </c>
      <c r="AQ186" s="8">
        <v>0</v>
      </c>
      <c r="AR186" s="8">
        <v>0</v>
      </c>
      <c r="AS186" s="8">
        <v>0</v>
      </c>
      <c r="AT186" s="8">
        <v>0</v>
      </c>
      <c r="AU186" s="8">
        <v>0</v>
      </c>
      <c r="AV186" s="8">
        <v>0</v>
      </c>
      <c r="AW186" s="8">
        <v>0</v>
      </c>
      <c r="AX186" s="8"/>
      <c r="AY186" s="8"/>
      <c r="BC186" t="s">
        <v>891</v>
      </c>
    </row>
    <row r="187" spans="1:55">
      <c r="A187" s="6">
        <v>45752</v>
      </c>
      <c r="B187" s="7" t="s">
        <v>892</v>
      </c>
      <c r="C187" t="s">
        <v>205</v>
      </c>
      <c r="D187" t="s">
        <v>814</v>
      </c>
      <c r="G187" t="s">
        <v>754</v>
      </c>
      <c r="H187" s="8" t="s">
        <v>208</v>
      </c>
      <c r="I187" s="8" t="s">
        <v>208</v>
      </c>
      <c r="J187" s="8" t="s">
        <v>208</v>
      </c>
      <c r="K187" s="8" t="s">
        <v>208</v>
      </c>
      <c r="L187" s="8" t="s">
        <v>208</v>
      </c>
      <c r="M187" s="8" t="s">
        <v>208</v>
      </c>
      <c r="N187" s="8" t="s">
        <v>208</v>
      </c>
      <c r="O187" s="8" t="s">
        <v>208</v>
      </c>
      <c r="Q187" t="s">
        <v>893</v>
      </c>
      <c r="R187" t="s">
        <v>894</v>
      </c>
      <c r="S187" t="s">
        <v>894</v>
      </c>
      <c r="T187" t="s">
        <v>892</v>
      </c>
      <c r="U187" t="s">
        <v>895</v>
      </c>
      <c r="V187" t="s">
        <v>855</v>
      </c>
      <c r="W187" t="s">
        <v>212</v>
      </c>
      <c r="X187" t="s">
        <v>212</v>
      </c>
      <c r="Y187" t="s">
        <v>275</v>
      </c>
      <c r="Z187" t="s">
        <v>275</v>
      </c>
      <c r="AA187" t="s">
        <v>856</v>
      </c>
      <c r="AB187" t="s">
        <v>857</v>
      </c>
      <c r="AC187" t="s">
        <v>857</v>
      </c>
      <c r="AD187" t="s">
        <v>216</v>
      </c>
      <c r="AE187" t="s">
        <v>11</v>
      </c>
      <c r="AG187" s="9" t="s">
        <v>221</v>
      </c>
      <c r="AH187" t="s">
        <v>219</v>
      </c>
      <c r="AI187" s="9" t="s">
        <v>218</v>
      </c>
      <c r="AJ187" s="9" t="s">
        <v>218</v>
      </c>
      <c r="AK187" t="s">
        <v>869</v>
      </c>
      <c r="AL187" s="8" t="s">
        <v>221</v>
      </c>
      <c r="AM187" s="9" t="s">
        <v>218</v>
      </c>
      <c r="AN187" s="9" t="s">
        <v>218</v>
      </c>
      <c r="AO187" s="8" t="s">
        <v>222</v>
      </c>
      <c r="AP187" s="8">
        <v>0</v>
      </c>
      <c r="AQ187" s="8">
        <v>0</v>
      </c>
      <c r="AR187" s="8">
        <v>0</v>
      </c>
      <c r="AS187" s="8">
        <v>0</v>
      </c>
      <c r="AT187" s="8">
        <v>0</v>
      </c>
      <c r="AU187" s="8">
        <v>0</v>
      </c>
      <c r="AV187" s="8">
        <v>0</v>
      </c>
      <c r="AW187" s="8">
        <v>0</v>
      </c>
      <c r="AX187" s="8"/>
      <c r="AY187" s="8"/>
      <c r="BC187" t="s">
        <v>896</v>
      </c>
    </row>
    <row r="188" spans="1:55">
      <c r="A188" s="6">
        <v>45752</v>
      </c>
      <c r="B188" s="7" t="s">
        <v>897</v>
      </c>
      <c r="C188" t="s">
        <v>205</v>
      </c>
      <c r="D188" t="s">
        <v>814</v>
      </c>
      <c r="G188" t="s">
        <v>754</v>
      </c>
      <c r="H188" s="8" t="s">
        <v>208</v>
      </c>
      <c r="I188" s="8" t="s">
        <v>208</v>
      </c>
      <c r="J188" s="8" t="s">
        <v>208</v>
      </c>
      <c r="K188" s="8" t="s">
        <v>208</v>
      </c>
      <c r="L188" s="8" t="s">
        <v>208</v>
      </c>
      <c r="M188" s="8" t="s">
        <v>208</v>
      </c>
      <c r="N188" s="8" t="s">
        <v>208</v>
      </c>
      <c r="O188" s="8" t="s">
        <v>208</v>
      </c>
      <c r="Q188" t="s">
        <v>898</v>
      </c>
      <c r="R188" t="s">
        <v>899</v>
      </c>
      <c r="S188" t="s">
        <v>899</v>
      </c>
      <c r="T188" t="s">
        <v>897</v>
      </c>
      <c r="U188" t="s">
        <v>900</v>
      </c>
      <c r="V188" t="s">
        <v>855</v>
      </c>
      <c r="W188" t="s">
        <v>212</v>
      </c>
      <c r="X188" t="s">
        <v>212</v>
      </c>
      <c r="Y188" t="s">
        <v>275</v>
      </c>
      <c r="Z188" t="s">
        <v>275</v>
      </c>
      <c r="AA188" t="s">
        <v>856</v>
      </c>
      <c r="AB188" t="s">
        <v>857</v>
      </c>
      <c r="AC188" t="s">
        <v>857</v>
      </c>
      <c r="AD188" t="s">
        <v>216</v>
      </c>
      <c r="AE188" t="s">
        <v>11</v>
      </c>
      <c r="AG188" s="9" t="s">
        <v>221</v>
      </c>
      <c r="AH188" t="s">
        <v>219</v>
      </c>
      <c r="AI188" s="9" t="s">
        <v>218</v>
      </c>
      <c r="AJ188" s="9" t="s">
        <v>218</v>
      </c>
      <c r="AK188" t="s">
        <v>869</v>
      </c>
      <c r="AL188" s="8" t="s">
        <v>221</v>
      </c>
      <c r="AM188" s="9" t="s">
        <v>218</v>
      </c>
      <c r="AN188" s="9" t="s">
        <v>218</v>
      </c>
      <c r="AO188" s="8" t="s">
        <v>222</v>
      </c>
      <c r="AP188" s="8">
        <v>0</v>
      </c>
      <c r="AQ188" s="8">
        <v>0</v>
      </c>
      <c r="AR188" s="8">
        <v>0</v>
      </c>
      <c r="AS188" s="8">
        <v>0</v>
      </c>
      <c r="AT188" s="8">
        <v>0</v>
      </c>
      <c r="AU188" s="8">
        <v>0</v>
      </c>
      <c r="AV188" s="8">
        <v>0</v>
      </c>
      <c r="AW188" s="8">
        <v>0</v>
      </c>
      <c r="AX188" s="8"/>
      <c r="AY188" s="8"/>
      <c r="BC188" t="s">
        <v>901</v>
      </c>
    </row>
    <row r="189" spans="1:55">
      <c r="A189" s="6">
        <v>45752</v>
      </c>
      <c r="B189" s="7" t="s">
        <v>902</v>
      </c>
      <c r="C189" t="s">
        <v>205</v>
      </c>
      <c r="D189" t="s">
        <v>814</v>
      </c>
      <c r="G189" t="s">
        <v>754</v>
      </c>
      <c r="H189" s="8" t="s">
        <v>208</v>
      </c>
      <c r="I189" s="8" t="s">
        <v>208</v>
      </c>
      <c r="J189" s="8" t="s">
        <v>208</v>
      </c>
      <c r="K189" s="8" t="s">
        <v>208</v>
      </c>
      <c r="L189" s="8" t="s">
        <v>208</v>
      </c>
      <c r="M189" s="8" t="s">
        <v>208</v>
      </c>
      <c r="N189" s="8" t="s">
        <v>208</v>
      </c>
      <c r="O189" s="8" t="s">
        <v>208</v>
      </c>
      <c r="Q189" t="s">
        <v>903</v>
      </c>
      <c r="R189" t="s">
        <v>904</v>
      </c>
      <c r="S189" t="s">
        <v>904</v>
      </c>
      <c r="T189" t="s">
        <v>902</v>
      </c>
      <c r="U189" t="s">
        <v>885</v>
      </c>
      <c r="V189" t="s">
        <v>855</v>
      </c>
      <c r="W189" t="s">
        <v>212</v>
      </c>
      <c r="X189" t="s">
        <v>212</v>
      </c>
      <c r="Y189" t="s">
        <v>275</v>
      </c>
      <c r="Z189" t="s">
        <v>275</v>
      </c>
      <c r="AA189" t="s">
        <v>856</v>
      </c>
      <c r="AB189" t="s">
        <v>857</v>
      </c>
      <c r="AC189" t="s">
        <v>857</v>
      </c>
      <c r="AD189" t="s">
        <v>216</v>
      </c>
      <c r="AE189" t="s">
        <v>11</v>
      </c>
      <c r="AG189" s="9" t="s">
        <v>221</v>
      </c>
      <c r="AH189" t="s">
        <v>219</v>
      </c>
      <c r="AI189" s="9" t="s">
        <v>218</v>
      </c>
      <c r="AJ189" s="9" t="s">
        <v>218</v>
      </c>
      <c r="AK189" t="s">
        <v>869</v>
      </c>
      <c r="AL189" s="8" t="s">
        <v>221</v>
      </c>
      <c r="AM189" s="9" t="s">
        <v>218</v>
      </c>
      <c r="AN189" s="9" t="s">
        <v>218</v>
      </c>
      <c r="AO189" s="8" t="s">
        <v>222</v>
      </c>
      <c r="AP189" s="8">
        <v>0</v>
      </c>
      <c r="AQ189" s="8">
        <v>0</v>
      </c>
      <c r="AR189" s="8">
        <v>0</v>
      </c>
      <c r="AS189" s="8">
        <v>0</v>
      </c>
      <c r="AT189" s="8">
        <v>0</v>
      </c>
      <c r="AU189" s="8">
        <v>0</v>
      </c>
      <c r="AV189" s="8">
        <v>0</v>
      </c>
      <c r="AW189" s="8">
        <v>0</v>
      </c>
      <c r="AX189" s="8"/>
      <c r="AY189" s="8"/>
      <c r="BC189" t="s">
        <v>905</v>
      </c>
    </row>
    <row r="190" spans="1:55">
      <c r="A190" s="6">
        <v>45752</v>
      </c>
      <c r="B190" s="7" t="s">
        <v>906</v>
      </c>
      <c r="C190" t="s">
        <v>205</v>
      </c>
      <c r="D190" t="s">
        <v>814</v>
      </c>
      <c r="G190" t="s">
        <v>754</v>
      </c>
      <c r="H190" s="8" t="s">
        <v>208</v>
      </c>
      <c r="I190" s="8" t="s">
        <v>208</v>
      </c>
      <c r="J190" s="8" t="s">
        <v>208</v>
      </c>
      <c r="K190" s="8" t="s">
        <v>208</v>
      </c>
      <c r="L190" s="8" t="s">
        <v>208</v>
      </c>
      <c r="M190" s="8" t="s">
        <v>208</v>
      </c>
      <c r="N190" s="8" t="s">
        <v>208</v>
      </c>
      <c r="O190" s="8" t="s">
        <v>208</v>
      </c>
      <c r="Q190" t="s">
        <v>907</v>
      </c>
      <c r="R190" t="s">
        <v>908</v>
      </c>
      <c r="S190" t="s">
        <v>908</v>
      </c>
      <c r="T190" t="s">
        <v>906</v>
      </c>
      <c r="U190" t="s">
        <v>909</v>
      </c>
      <c r="V190" t="s">
        <v>855</v>
      </c>
      <c r="W190" t="s">
        <v>212</v>
      </c>
      <c r="X190" t="s">
        <v>212</v>
      </c>
      <c r="Y190" t="s">
        <v>275</v>
      </c>
      <c r="Z190" t="s">
        <v>275</v>
      </c>
      <c r="AA190" t="s">
        <v>856</v>
      </c>
      <c r="AB190" t="s">
        <v>857</v>
      </c>
      <c r="AC190" t="s">
        <v>857</v>
      </c>
      <c r="AD190" t="s">
        <v>216</v>
      </c>
      <c r="AE190" t="s">
        <v>11</v>
      </c>
      <c r="AG190" s="9" t="s">
        <v>221</v>
      </c>
      <c r="AH190" t="s">
        <v>219</v>
      </c>
      <c r="AI190" s="9" t="s">
        <v>218</v>
      </c>
      <c r="AJ190" s="9" t="s">
        <v>218</v>
      </c>
      <c r="AK190" t="s">
        <v>869</v>
      </c>
      <c r="AL190" s="8" t="s">
        <v>221</v>
      </c>
      <c r="AM190" s="9" t="s">
        <v>218</v>
      </c>
      <c r="AN190" s="9" t="s">
        <v>218</v>
      </c>
      <c r="AO190" s="8" t="s">
        <v>222</v>
      </c>
      <c r="AP190" s="8">
        <v>0</v>
      </c>
      <c r="AQ190" s="8">
        <v>0</v>
      </c>
      <c r="AR190" s="8">
        <v>0</v>
      </c>
      <c r="AS190" s="8">
        <v>0</v>
      </c>
      <c r="AT190" s="8">
        <v>0</v>
      </c>
      <c r="AU190" s="8">
        <v>0</v>
      </c>
      <c r="AV190" s="8">
        <v>0</v>
      </c>
      <c r="AW190" s="8">
        <v>0</v>
      </c>
      <c r="AX190" s="8"/>
      <c r="AY190" s="8"/>
      <c r="BC190" t="s">
        <v>910</v>
      </c>
    </row>
    <row r="191" spans="1:55">
      <c r="A191" s="6">
        <v>45752</v>
      </c>
      <c r="B191" s="7" t="s">
        <v>911</v>
      </c>
      <c r="C191" t="s">
        <v>205</v>
      </c>
      <c r="D191" t="s">
        <v>814</v>
      </c>
      <c r="G191" t="s">
        <v>754</v>
      </c>
      <c r="H191" s="8" t="s">
        <v>208</v>
      </c>
      <c r="I191" s="8" t="s">
        <v>208</v>
      </c>
      <c r="J191" s="8" t="s">
        <v>208</v>
      </c>
      <c r="K191" s="8" t="s">
        <v>208</v>
      </c>
      <c r="L191" s="8" t="s">
        <v>208</v>
      </c>
      <c r="M191" s="8" t="s">
        <v>208</v>
      </c>
      <c r="N191" s="8" t="s">
        <v>208</v>
      </c>
      <c r="O191" s="8" t="s">
        <v>208</v>
      </c>
      <c r="Q191" t="s">
        <v>912</v>
      </c>
      <c r="R191" t="s">
        <v>913</v>
      </c>
      <c r="S191" t="s">
        <v>913</v>
      </c>
      <c r="T191" t="s">
        <v>911</v>
      </c>
      <c r="U191" t="s">
        <v>914</v>
      </c>
      <c r="V191" t="s">
        <v>855</v>
      </c>
      <c r="W191" t="s">
        <v>212</v>
      </c>
      <c r="X191" t="s">
        <v>212</v>
      </c>
      <c r="Y191" t="s">
        <v>275</v>
      </c>
      <c r="Z191" t="s">
        <v>275</v>
      </c>
      <c r="AA191" t="s">
        <v>856</v>
      </c>
      <c r="AB191" t="s">
        <v>857</v>
      </c>
      <c r="AC191" t="s">
        <v>857</v>
      </c>
      <c r="AD191" t="s">
        <v>216</v>
      </c>
      <c r="AE191" t="s">
        <v>11</v>
      </c>
      <c r="AG191" s="9" t="s">
        <v>221</v>
      </c>
      <c r="AH191" t="s">
        <v>219</v>
      </c>
      <c r="AI191" s="9" t="s">
        <v>218</v>
      </c>
      <c r="AJ191" s="9" t="s">
        <v>218</v>
      </c>
      <c r="AK191" t="s">
        <v>869</v>
      </c>
      <c r="AL191" s="8" t="s">
        <v>221</v>
      </c>
      <c r="AM191" s="9" t="s">
        <v>218</v>
      </c>
      <c r="AN191" s="9" t="s">
        <v>218</v>
      </c>
      <c r="AO191" s="8" t="s">
        <v>222</v>
      </c>
      <c r="AP191" s="8">
        <v>0</v>
      </c>
      <c r="AQ191" s="8">
        <v>0</v>
      </c>
      <c r="AR191" s="8">
        <v>0</v>
      </c>
      <c r="AS191" s="8">
        <v>0</v>
      </c>
      <c r="AT191" s="8">
        <v>0</v>
      </c>
      <c r="AU191" s="8">
        <v>0</v>
      </c>
      <c r="AV191" s="8">
        <v>0</v>
      </c>
      <c r="AW191" s="8">
        <v>0</v>
      </c>
      <c r="AX191" s="8"/>
      <c r="AY191" s="8"/>
      <c r="BC191" t="s">
        <v>915</v>
      </c>
    </row>
    <row r="192" spans="1:55">
      <c r="A192" s="6">
        <v>45752</v>
      </c>
      <c r="B192" s="7" t="s">
        <v>916</v>
      </c>
      <c r="C192" t="s">
        <v>205</v>
      </c>
      <c r="D192" t="s">
        <v>814</v>
      </c>
      <c r="G192" t="s">
        <v>754</v>
      </c>
      <c r="H192" s="8" t="s">
        <v>208</v>
      </c>
      <c r="I192" s="8" t="s">
        <v>208</v>
      </c>
      <c r="J192" s="8" t="s">
        <v>208</v>
      </c>
      <c r="K192" s="8" t="s">
        <v>208</v>
      </c>
      <c r="L192" s="8" t="s">
        <v>208</v>
      </c>
      <c r="M192" s="8" t="s">
        <v>208</v>
      </c>
      <c r="N192" s="8" t="s">
        <v>208</v>
      </c>
      <c r="O192" s="8" t="s">
        <v>208</v>
      </c>
      <c r="Q192" t="s">
        <v>917</v>
      </c>
      <c r="R192" t="s">
        <v>918</v>
      </c>
      <c r="S192" t="s">
        <v>918</v>
      </c>
      <c r="T192" t="s">
        <v>916</v>
      </c>
      <c r="U192" t="s">
        <v>919</v>
      </c>
      <c r="V192" t="s">
        <v>855</v>
      </c>
      <c r="W192" t="s">
        <v>212</v>
      </c>
      <c r="X192" t="s">
        <v>212</v>
      </c>
      <c r="Y192" t="s">
        <v>275</v>
      </c>
      <c r="Z192" t="s">
        <v>275</v>
      </c>
      <c r="AA192" t="s">
        <v>856</v>
      </c>
      <c r="AB192" t="s">
        <v>857</v>
      </c>
      <c r="AC192" t="s">
        <v>857</v>
      </c>
      <c r="AD192" t="s">
        <v>216</v>
      </c>
      <c r="AE192" t="s">
        <v>11</v>
      </c>
      <c r="AG192" s="9" t="s">
        <v>221</v>
      </c>
      <c r="AH192" t="s">
        <v>219</v>
      </c>
      <c r="AI192" s="9" t="s">
        <v>218</v>
      </c>
      <c r="AJ192" s="9" t="s">
        <v>218</v>
      </c>
      <c r="AK192" t="s">
        <v>869</v>
      </c>
      <c r="AL192" s="8" t="s">
        <v>221</v>
      </c>
      <c r="AM192" s="9" t="s">
        <v>218</v>
      </c>
      <c r="AN192" s="9" t="s">
        <v>218</v>
      </c>
      <c r="AO192" s="8" t="s">
        <v>222</v>
      </c>
      <c r="AP192" s="8">
        <v>0</v>
      </c>
      <c r="AQ192" s="8">
        <v>0</v>
      </c>
      <c r="AR192" s="8">
        <v>0</v>
      </c>
      <c r="AS192" s="8">
        <v>0</v>
      </c>
      <c r="AT192" s="8">
        <v>0</v>
      </c>
      <c r="AU192" s="8">
        <v>0</v>
      </c>
      <c r="AV192" s="8">
        <v>0</v>
      </c>
      <c r="AW192" s="8">
        <v>0</v>
      </c>
      <c r="AX192" s="8"/>
      <c r="AY192" s="8"/>
      <c r="BC192" t="s">
        <v>920</v>
      </c>
    </row>
    <row r="193" spans="1:55">
      <c r="A193" s="6">
        <v>45752</v>
      </c>
      <c r="B193" s="7" t="s">
        <v>921</v>
      </c>
      <c r="C193" t="s">
        <v>205</v>
      </c>
      <c r="D193" t="s">
        <v>814</v>
      </c>
      <c r="G193" t="s">
        <v>754</v>
      </c>
      <c r="H193" s="8" t="s">
        <v>208</v>
      </c>
      <c r="I193" s="8" t="s">
        <v>208</v>
      </c>
      <c r="J193" s="8" t="s">
        <v>208</v>
      </c>
      <c r="K193" s="8" t="s">
        <v>208</v>
      </c>
      <c r="L193" s="8" t="s">
        <v>208</v>
      </c>
      <c r="M193" s="8" t="s">
        <v>208</v>
      </c>
      <c r="N193" s="8" t="s">
        <v>208</v>
      </c>
      <c r="O193" s="8" t="s">
        <v>208</v>
      </c>
      <c r="Q193" t="s">
        <v>922</v>
      </c>
      <c r="R193" t="s">
        <v>923</v>
      </c>
      <c r="S193" t="s">
        <v>923</v>
      </c>
      <c r="T193" t="s">
        <v>921</v>
      </c>
      <c r="U193" t="s">
        <v>885</v>
      </c>
      <c r="V193" t="s">
        <v>855</v>
      </c>
      <c r="W193" t="s">
        <v>212</v>
      </c>
      <c r="X193" t="s">
        <v>212</v>
      </c>
      <c r="Y193" t="s">
        <v>275</v>
      </c>
      <c r="Z193" t="s">
        <v>275</v>
      </c>
      <c r="AA193" t="s">
        <v>856</v>
      </c>
      <c r="AB193" t="s">
        <v>857</v>
      </c>
      <c r="AC193" t="s">
        <v>857</v>
      </c>
      <c r="AD193" t="s">
        <v>216</v>
      </c>
      <c r="AE193" t="s">
        <v>11</v>
      </c>
      <c r="AG193" s="9" t="s">
        <v>221</v>
      </c>
      <c r="AH193" t="s">
        <v>219</v>
      </c>
      <c r="AI193" s="9" t="s">
        <v>218</v>
      </c>
      <c r="AJ193" s="9" t="s">
        <v>218</v>
      </c>
      <c r="AK193" t="s">
        <v>869</v>
      </c>
      <c r="AL193" s="8" t="s">
        <v>221</v>
      </c>
      <c r="AM193" s="9" t="s">
        <v>218</v>
      </c>
      <c r="AN193" s="9" t="s">
        <v>218</v>
      </c>
      <c r="AO193" s="8" t="s">
        <v>222</v>
      </c>
      <c r="AP193" s="8">
        <v>0</v>
      </c>
      <c r="AQ193" s="8">
        <v>0</v>
      </c>
      <c r="AR193" s="8">
        <v>0</v>
      </c>
      <c r="AS193" s="8">
        <v>0</v>
      </c>
      <c r="AT193" s="8">
        <v>0</v>
      </c>
      <c r="AU193" s="8">
        <v>0</v>
      </c>
      <c r="AV193" s="8">
        <v>0</v>
      </c>
      <c r="AW193" s="8">
        <v>0</v>
      </c>
      <c r="AX193" s="8"/>
      <c r="AY193" s="8"/>
      <c r="BC193" t="s">
        <v>924</v>
      </c>
    </row>
    <row r="194" spans="1:55">
      <c r="A194" s="6">
        <v>45752</v>
      </c>
      <c r="B194" s="7" t="s">
        <v>925</v>
      </c>
      <c r="C194" t="s">
        <v>205</v>
      </c>
      <c r="D194" t="s">
        <v>814</v>
      </c>
      <c r="G194" t="s">
        <v>754</v>
      </c>
      <c r="H194" s="8" t="s">
        <v>208</v>
      </c>
      <c r="I194" s="8" t="s">
        <v>208</v>
      </c>
      <c r="J194" s="8" t="s">
        <v>208</v>
      </c>
      <c r="K194" s="8" t="s">
        <v>208</v>
      </c>
      <c r="L194" s="8" t="s">
        <v>208</v>
      </c>
      <c r="M194" s="8" t="s">
        <v>208</v>
      </c>
      <c r="N194" s="8" t="s">
        <v>208</v>
      </c>
      <c r="O194" s="8" t="s">
        <v>208</v>
      </c>
      <c r="Q194" t="s">
        <v>926</v>
      </c>
      <c r="R194" t="s">
        <v>927</v>
      </c>
      <c r="S194" t="s">
        <v>927</v>
      </c>
      <c r="T194" t="s">
        <v>925</v>
      </c>
      <c r="U194" t="s">
        <v>928</v>
      </c>
      <c r="V194" t="s">
        <v>855</v>
      </c>
      <c r="W194" t="s">
        <v>212</v>
      </c>
      <c r="X194" t="s">
        <v>212</v>
      </c>
      <c r="Y194" t="s">
        <v>275</v>
      </c>
      <c r="Z194" t="s">
        <v>275</v>
      </c>
      <c r="AA194" t="s">
        <v>856</v>
      </c>
      <c r="AB194" t="s">
        <v>857</v>
      </c>
      <c r="AC194" t="s">
        <v>857</v>
      </c>
      <c r="AD194" t="s">
        <v>216</v>
      </c>
      <c r="AE194" t="s">
        <v>11</v>
      </c>
      <c r="AG194" s="9" t="s">
        <v>221</v>
      </c>
      <c r="AH194" t="s">
        <v>219</v>
      </c>
      <c r="AI194" s="9" t="s">
        <v>218</v>
      </c>
      <c r="AJ194" s="9" t="s">
        <v>218</v>
      </c>
      <c r="AK194" t="s">
        <v>869</v>
      </c>
      <c r="AL194" s="8" t="s">
        <v>221</v>
      </c>
      <c r="AM194" s="9" t="s">
        <v>218</v>
      </c>
      <c r="AN194" s="9" t="s">
        <v>218</v>
      </c>
      <c r="AO194" s="8" t="s">
        <v>222</v>
      </c>
      <c r="AP194" s="8">
        <v>0</v>
      </c>
      <c r="AQ194" s="8">
        <v>0</v>
      </c>
      <c r="AR194" s="8">
        <v>0</v>
      </c>
      <c r="AS194" s="8">
        <v>0</v>
      </c>
      <c r="AT194" s="8">
        <v>0</v>
      </c>
      <c r="AU194" s="8">
        <v>0</v>
      </c>
      <c r="AV194" s="8">
        <v>0</v>
      </c>
      <c r="AW194" s="8">
        <v>0</v>
      </c>
      <c r="AX194" s="8"/>
      <c r="AY194" s="8"/>
      <c r="BC194" t="s">
        <v>929</v>
      </c>
    </row>
    <row r="195" spans="1:55">
      <c r="A195" s="6">
        <v>45752</v>
      </c>
      <c r="B195" s="7" t="s">
        <v>930</v>
      </c>
      <c r="C195" t="s">
        <v>205</v>
      </c>
      <c r="D195" t="s">
        <v>814</v>
      </c>
      <c r="G195" t="s">
        <v>754</v>
      </c>
      <c r="H195" s="8" t="s">
        <v>208</v>
      </c>
      <c r="I195" s="8" t="s">
        <v>208</v>
      </c>
      <c r="J195" s="8" t="s">
        <v>208</v>
      </c>
      <c r="K195" s="8" t="s">
        <v>208</v>
      </c>
      <c r="L195" s="8" t="s">
        <v>208</v>
      </c>
      <c r="M195" s="8" t="s">
        <v>208</v>
      </c>
      <c r="N195" s="8" t="s">
        <v>208</v>
      </c>
      <c r="O195" s="8" t="s">
        <v>208</v>
      </c>
      <c r="Q195" t="s">
        <v>931</v>
      </c>
      <c r="R195" t="s">
        <v>932</v>
      </c>
      <c r="S195" t="s">
        <v>932</v>
      </c>
      <c r="T195" t="s">
        <v>930</v>
      </c>
      <c r="U195" t="s">
        <v>933</v>
      </c>
      <c r="V195" t="s">
        <v>855</v>
      </c>
      <c r="W195" t="s">
        <v>212</v>
      </c>
      <c r="X195" t="s">
        <v>212</v>
      </c>
      <c r="Y195" t="s">
        <v>275</v>
      </c>
      <c r="Z195" t="s">
        <v>275</v>
      </c>
      <c r="AA195" t="s">
        <v>856</v>
      </c>
      <c r="AB195" t="s">
        <v>857</v>
      </c>
      <c r="AC195" t="s">
        <v>857</v>
      </c>
      <c r="AD195" t="s">
        <v>216</v>
      </c>
      <c r="AE195" t="s">
        <v>11</v>
      </c>
      <c r="AG195" s="9" t="s">
        <v>221</v>
      </c>
      <c r="AH195" t="s">
        <v>219</v>
      </c>
      <c r="AI195" s="9" t="s">
        <v>218</v>
      </c>
      <c r="AJ195" s="9" t="s">
        <v>218</v>
      </c>
      <c r="AK195" t="s">
        <v>934</v>
      </c>
      <c r="AL195" s="8" t="s">
        <v>221</v>
      </c>
      <c r="AM195" s="9" t="s">
        <v>218</v>
      </c>
      <c r="AN195" s="9" t="s">
        <v>218</v>
      </c>
      <c r="AO195" s="8" t="s">
        <v>222</v>
      </c>
      <c r="AP195" s="8">
        <v>0</v>
      </c>
      <c r="AQ195" s="8">
        <v>0</v>
      </c>
      <c r="AR195" s="8">
        <v>0</v>
      </c>
      <c r="AS195" s="8">
        <v>0</v>
      </c>
      <c r="AT195" s="8">
        <v>0</v>
      </c>
      <c r="AU195" s="8">
        <v>0</v>
      </c>
      <c r="AV195" s="8">
        <v>0</v>
      </c>
      <c r="AW195" s="8">
        <v>0</v>
      </c>
      <c r="AX195" s="8"/>
      <c r="AY195" s="8"/>
      <c r="BC195" t="s">
        <v>935</v>
      </c>
    </row>
    <row r="196" spans="1:55">
      <c r="A196" s="6">
        <v>45752</v>
      </c>
      <c r="B196" s="7" t="s">
        <v>936</v>
      </c>
      <c r="C196" t="s">
        <v>205</v>
      </c>
      <c r="D196" t="s">
        <v>814</v>
      </c>
      <c r="G196" t="s">
        <v>754</v>
      </c>
      <c r="H196" s="8" t="s">
        <v>208</v>
      </c>
      <c r="I196" s="8" t="s">
        <v>208</v>
      </c>
      <c r="J196" s="8" t="s">
        <v>208</v>
      </c>
      <c r="K196" s="8" t="s">
        <v>208</v>
      </c>
      <c r="L196" s="8" t="s">
        <v>208</v>
      </c>
      <c r="M196" s="8" t="s">
        <v>208</v>
      </c>
      <c r="N196" s="8" t="s">
        <v>208</v>
      </c>
      <c r="O196" s="8" t="s">
        <v>208</v>
      </c>
      <c r="Q196" t="s">
        <v>937</v>
      </c>
      <c r="R196" t="s">
        <v>938</v>
      </c>
      <c r="S196" t="s">
        <v>938</v>
      </c>
      <c r="T196" t="s">
        <v>936</v>
      </c>
      <c r="U196" t="s">
        <v>868</v>
      </c>
      <c r="V196" t="s">
        <v>855</v>
      </c>
      <c r="W196" t="s">
        <v>212</v>
      </c>
      <c r="X196" t="s">
        <v>212</v>
      </c>
      <c r="Y196" t="s">
        <v>275</v>
      </c>
      <c r="Z196" t="s">
        <v>275</v>
      </c>
      <c r="AA196" t="s">
        <v>856</v>
      </c>
      <c r="AB196" t="s">
        <v>857</v>
      </c>
      <c r="AC196" t="s">
        <v>857</v>
      </c>
      <c r="AD196" t="s">
        <v>216</v>
      </c>
      <c r="AE196" t="s">
        <v>11</v>
      </c>
      <c r="AG196" s="9" t="s">
        <v>221</v>
      </c>
      <c r="AH196" t="s">
        <v>219</v>
      </c>
      <c r="AI196" s="9" t="s">
        <v>218</v>
      </c>
      <c r="AJ196" s="9" t="s">
        <v>218</v>
      </c>
      <c r="AK196" t="s">
        <v>869</v>
      </c>
      <c r="AL196" s="8" t="s">
        <v>221</v>
      </c>
      <c r="AM196" s="9" t="s">
        <v>218</v>
      </c>
      <c r="AN196" s="9" t="s">
        <v>218</v>
      </c>
      <c r="AO196" s="8" t="s">
        <v>222</v>
      </c>
      <c r="AP196" s="8">
        <v>0</v>
      </c>
      <c r="AQ196" s="8">
        <v>0</v>
      </c>
      <c r="AR196" s="8">
        <v>0</v>
      </c>
      <c r="AS196" s="8">
        <v>0</v>
      </c>
      <c r="AT196" s="8">
        <v>0</v>
      </c>
      <c r="AU196" s="8">
        <v>0</v>
      </c>
      <c r="AV196" s="8">
        <v>0</v>
      </c>
      <c r="AW196" s="8">
        <v>0</v>
      </c>
      <c r="AX196" s="8"/>
      <c r="AY196" s="8"/>
      <c r="BC196" t="s">
        <v>939</v>
      </c>
    </row>
    <row r="197" spans="1:55">
      <c r="A197" s="6">
        <v>45752</v>
      </c>
      <c r="B197" s="7" t="s">
        <v>940</v>
      </c>
      <c r="C197" t="s">
        <v>205</v>
      </c>
      <c r="D197" t="s">
        <v>814</v>
      </c>
      <c r="G197" t="s">
        <v>754</v>
      </c>
      <c r="H197" s="8" t="s">
        <v>208</v>
      </c>
      <c r="I197" s="8" t="s">
        <v>208</v>
      </c>
      <c r="J197" s="8" t="s">
        <v>208</v>
      </c>
      <c r="K197" s="8" t="s">
        <v>208</v>
      </c>
      <c r="L197" s="8" t="s">
        <v>208</v>
      </c>
      <c r="M197" s="8" t="s">
        <v>208</v>
      </c>
      <c r="N197" s="8" t="s">
        <v>208</v>
      </c>
      <c r="O197" s="8" t="s">
        <v>208</v>
      </c>
      <c r="Q197" t="s">
        <v>941</v>
      </c>
      <c r="R197" t="s">
        <v>942</v>
      </c>
      <c r="S197" t="s">
        <v>943</v>
      </c>
      <c r="T197" t="s">
        <v>944</v>
      </c>
      <c r="U197" t="s">
        <v>874</v>
      </c>
      <c r="V197" t="s">
        <v>855</v>
      </c>
      <c r="W197" t="s">
        <v>212</v>
      </c>
      <c r="X197" t="s">
        <v>212</v>
      </c>
      <c r="Y197" t="s">
        <v>275</v>
      </c>
      <c r="Z197" t="s">
        <v>275</v>
      </c>
      <c r="AA197" t="s">
        <v>856</v>
      </c>
      <c r="AB197" t="s">
        <v>857</v>
      </c>
      <c r="AC197" t="s">
        <v>857</v>
      </c>
      <c r="AD197" t="s">
        <v>216</v>
      </c>
      <c r="AE197" t="s">
        <v>11</v>
      </c>
      <c r="AG197" s="9" t="s">
        <v>221</v>
      </c>
      <c r="AH197" t="s">
        <v>219</v>
      </c>
      <c r="AI197" s="9" t="s">
        <v>218</v>
      </c>
      <c r="AJ197" s="9" t="s">
        <v>218</v>
      </c>
      <c r="AK197" t="s">
        <v>869</v>
      </c>
      <c r="AL197" s="8" t="s">
        <v>221</v>
      </c>
      <c r="AM197" s="9" t="s">
        <v>218</v>
      </c>
      <c r="AN197" s="9" t="s">
        <v>218</v>
      </c>
      <c r="AO197" s="8" t="s">
        <v>222</v>
      </c>
      <c r="AP197" s="8">
        <v>0</v>
      </c>
      <c r="AQ197" s="8">
        <v>0</v>
      </c>
      <c r="AR197" s="8">
        <v>0</v>
      </c>
      <c r="AS197" s="8">
        <v>0</v>
      </c>
      <c r="AT197" s="8">
        <v>0</v>
      </c>
      <c r="AU197" s="8">
        <v>0</v>
      </c>
      <c r="AV197" s="8">
        <v>0</v>
      </c>
      <c r="AW197" s="8">
        <v>0</v>
      </c>
      <c r="AX197" s="8"/>
      <c r="AY197" s="8"/>
      <c r="BC197" t="s">
        <v>945</v>
      </c>
    </row>
    <row r="198" spans="1:55">
      <c r="A198" s="6">
        <v>45752</v>
      </c>
      <c r="B198" s="7" t="s">
        <v>946</v>
      </c>
      <c r="C198" t="s">
        <v>205</v>
      </c>
      <c r="D198" t="s">
        <v>814</v>
      </c>
      <c r="G198" t="s">
        <v>754</v>
      </c>
      <c r="H198" s="8" t="s">
        <v>208</v>
      </c>
      <c r="I198" s="8" t="s">
        <v>208</v>
      </c>
      <c r="J198" s="8" t="s">
        <v>208</v>
      </c>
      <c r="K198" s="8" t="s">
        <v>208</v>
      </c>
      <c r="L198" s="8" t="s">
        <v>208</v>
      </c>
      <c r="M198" s="8" t="s">
        <v>208</v>
      </c>
      <c r="N198" s="8" t="s">
        <v>208</v>
      </c>
      <c r="O198" s="8" t="s">
        <v>208</v>
      </c>
      <c r="Q198" t="s">
        <v>947</v>
      </c>
      <c r="R198" t="s">
        <v>948</v>
      </c>
      <c r="S198" t="s">
        <v>949</v>
      </c>
      <c r="T198" t="s">
        <v>950</v>
      </c>
      <c r="U198" t="s">
        <v>951</v>
      </c>
      <c r="V198" t="s">
        <v>855</v>
      </c>
      <c r="W198" t="s">
        <v>212</v>
      </c>
      <c r="X198" t="s">
        <v>212</v>
      </c>
      <c r="Y198" t="s">
        <v>275</v>
      </c>
      <c r="Z198" t="s">
        <v>275</v>
      </c>
      <c r="AA198" t="s">
        <v>856</v>
      </c>
      <c r="AB198" t="s">
        <v>857</v>
      </c>
      <c r="AC198" t="s">
        <v>857</v>
      </c>
      <c r="AD198" t="s">
        <v>216</v>
      </c>
      <c r="AE198" t="s">
        <v>11</v>
      </c>
      <c r="AG198" s="9" t="s">
        <v>221</v>
      </c>
      <c r="AH198" t="s">
        <v>219</v>
      </c>
      <c r="AI198" s="9" t="s">
        <v>218</v>
      </c>
      <c r="AJ198" s="9" t="s">
        <v>218</v>
      </c>
      <c r="AK198" t="s">
        <v>880</v>
      </c>
      <c r="AL198" s="8" t="s">
        <v>221</v>
      </c>
      <c r="AM198" s="9" t="s">
        <v>218</v>
      </c>
      <c r="AN198" s="9" t="s">
        <v>218</v>
      </c>
      <c r="AO198" s="8" t="s">
        <v>222</v>
      </c>
      <c r="AP198" s="8">
        <v>0</v>
      </c>
      <c r="AQ198" s="8">
        <v>0</v>
      </c>
      <c r="AR198" s="8">
        <v>0</v>
      </c>
      <c r="AS198" s="8">
        <v>0</v>
      </c>
      <c r="AT198" s="8">
        <v>0</v>
      </c>
      <c r="AU198" s="8">
        <v>0</v>
      </c>
      <c r="AV198" s="8">
        <v>0</v>
      </c>
      <c r="AW198" s="8">
        <v>0</v>
      </c>
      <c r="AX198" s="8"/>
      <c r="AY198" s="8"/>
      <c r="BC198" t="s">
        <v>952</v>
      </c>
    </row>
    <row r="199" spans="1:55">
      <c r="A199" s="6">
        <v>45752</v>
      </c>
      <c r="B199" s="7" t="s">
        <v>953</v>
      </c>
      <c r="C199" t="s">
        <v>205</v>
      </c>
      <c r="D199" t="s">
        <v>814</v>
      </c>
      <c r="G199" t="s">
        <v>754</v>
      </c>
      <c r="H199" s="8" t="s">
        <v>208</v>
      </c>
      <c r="I199" s="8" t="s">
        <v>208</v>
      </c>
      <c r="J199" s="8" t="s">
        <v>208</v>
      </c>
      <c r="K199" s="8" t="s">
        <v>208</v>
      </c>
      <c r="L199" s="8" t="s">
        <v>208</v>
      </c>
      <c r="M199" s="8" t="s">
        <v>208</v>
      </c>
      <c r="N199" s="8" t="s">
        <v>208</v>
      </c>
      <c r="O199" s="8" t="s">
        <v>208</v>
      </c>
      <c r="Q199" t="s">
        <v>954</v>
      </c>
      <c r="R199" t="s">
        <v>955</v>
      </c>
      <c r="S199" t="s">
        <v>942</v>
      </c>
      <c r="T199" t="s">
        <v>940</v>
      </c>
      <c r="U199" t="s">
        <v>885</v>
      </c>
      <c r="V199" t="s">
        <v>855</v>
      </c>
      <c r="W199" t="s">
        <v>212</v>
      </c>
      <c r="X199" t="s">
        <v>212</v>
      </c>
      <c r="Y199" t="s">
        <v>275</v>
      </c>
      <c r="Z199" t="s">
        <v>275</v>
      </c>
      <c r="AA199" t="s">
        <v>856</v>
      </c>
      <c r="AB199" t="s">
        <v>857</v>
      </c>
      <c r="AC199" t="s">
        <v>857</v>
      </c>
      <c r="AD199" t="s">
        <v>216</v>
      </c>
      <c r="AE199" t="s">
        <v>11</v>
      </c>
      <c r="AG199" s="9" t="s">
        <v>221</v>
      </c>
      <c r="AH199" t="s">
        <v>219</v>
      </c>
      <c r="AI199" s="9" t="s">
        <v>218</v>
      </c>
      <c r="AJ199" s="9" t="s">
        <v>218</v>
      </c>
      <c r="AK199" t="s">
        <v>869</v>
      </c>
      <c r="AL199" s="8" t="s">
        <v>221</v>
      </c>
      <c r="AM199" s="9" t="s">
        <v>218</v>
      </c>
      <c r="AN199" s="9" t="s">
        <v>218</v>
      </c>
      <c r="AO199" s="8" t="s">
        <v>222</v>
      </c>
      <c r="AP199" s="8">
        <v>0</v>
      </c>
      <c r="AQ199" s="8">
        <v>0</v>
      </c>
      <c r="AR199" s="8">
        <v>0</v>
      </c>
      <c r="AS199" s="8">
        <v>0</v>
      </c>
      <c r="AT199" s="8">
        <v>0</v>
      </c>
      <c r="AU199" s="8">
        <v>0</v>
      </c>
      <c r="AV199" s="8">
        <v>0</v>
      </c>
      <c r="AW199" s="8">
        <v>0</v>
      </c>
      <c r="AX199" s="8"/>
      <c r="AY199" s="8"/>
      <c r="BC199" t="s">
        <v>956</v>
      </c>
    </row>
    <row r="200" spans="1:55">
      <c r="A200" s="6">
        <v>45752</v>
      </c>
      <c r="B200" s="7" t="s">
        <v>957</v>
      </c>
      <c r="C200" t="s">
        <v>205</v>
      </c>
      <c r="D200" t="s">
        <v>814</v>
      </c>
      <c r="G200" t="s">
        <v>754</v>
      </c>
      <c r="H200" s="8" t="s">
        <v>208</v>
      </c>
      <c r="I200" s="8" t="s">
        <v>208</v>
      </c>
      <c r="J200" s="8" t="s">
        <v>208</v>
      </c>
      <c r="K200" s="8" t="s">
        <v>208</v>
      </c>
      <c r="L200" s="8" t="s">
        <v>208</v>
      </c>
      <c r="M200" s="8" t="s">
        <v>208</v>
      </c>
      <c r="N200" s="8" t="s">
        <v>208</v>
      </c>
      <c r="O200" s="8" t="s">
        <v>208</v>
      </c>
      <c r="Q200" t="s">
        <v>958</v>
      </c>
      <c r="R200" t="s">
        <v>959</v>
      </c>
      <c r="S200" t="s">
        <v>955</v>
      </c>
      <c r="T200" t="s">
        <v>953</v>
      </c>
      <c r="U200" t="s">
        <v>890</v>
      </c>
      <c r="V200" t="s">
        <v>855</v>
      </c>
      <c r="W200" t="s">
        <v>212</v>
      </c>
      <c r="X200" t="s">
        <v>212</v>
      </c>
      <c r="Y200" t="s">
        <v>275</v>
      </c>
      <c r="Z200" t="s">
        <v>275</v>
      </c>
      <c r="AA200" t="s">
        <v>856</v>
      </c>
      <c r="AB200" t="s">
        <v>857</v>
      </c>
      <c r="AC200" t="s">
        <v>857</v>
      </c>
      <c r="AD200" t="s">
        <v>216</v>
      </c>
      <c r="AE200" t="s">
        <v>11</v>
      </c>
      <c r="AG200" s="9" t="s">
        <v>221</v>
      </c>
      <c r="AH200" t="s">
        <v>219</v>
      </c>
      <c r="AI200" s="9" t="s">
        <v>218</v>
      </c>
      <c r="AJ200" s="9" t="s">
        <v>218</v>
      </c>
      <c r="AK200" t="s">
        <v>869</v>
      </c>
      <c r="AL200" s="8" t="s">
        <v>221</v>
      </c>
      <c r="AM200" s="9" t="s">
        <v>218</v>
      </c>
      <c r="AN200" s="9" t="s">
        <v>218</v>
      </c>
      <c r="AO200" s="8" t="s">
        <v>222</v>
      </c>
      <c r="AP200" s="8">
        <v>0</v>
      </c>
      <c r="AQ200" s="8">
        <v>0</v>
      </c>
      <c r="AR200" s="8">
        <v>0</v>
      </c>
      <c r="AS200" s="8">
        <v>0</v>
      </c>
      <c r="AT200" s="8">
        <v>0</v>
      </c>
      <c r="AU200" s="8">
        <v>0</v>
      </c>
      <c r="AV200" s="8">
        <v>0</v>
      </c>
      <c r="AW200" s="8">
        <v>0</v>
      </c>
      <c r="AX200" s="8"/>
      <c r="AY200" s="8"/>
      <c r="BC200" t="s">
        <v>960</v>
      </c>
    </row>
    <row r="201" spans="1:55">
      <c r="A201" s="6">
        <v>45752</v>
      </c>
      <c r="B201" s="7" t="s">
        <v>961</v>
      </c>
      <c r="C201" t="s">
        <v>205</v>
      </c>
      <c r="D201" t="s">
        <v>814</v>
      </c>
      <c r="G201" t="s">
        <v>754</v>
      </c>
      <c r="H201" s="8" t="s">
        <v>208</v>
      </c>
      <c r="I201" s="8" t="s">
        <v>208</v>
      </c>
      <c r="J201" s="8" t="s">
        <v>208</v>
      </c>
      <c r="K201" s="8" t="s">
        <v>208</v>
      </c>
      <c r="L201" s="8" t="s">
        <v>208</v>
      </c>
      <c r="M201" s="8" t="s">
        <v>208</v>
      </c>
      <c r="N201" s="8" t="s">
        <v>208</v>
      </c>
      <c r="O201" s="8" t="s">
        <v>208</v>
      </c>
      <c r="Q201" t="s">
        <v>962</v>
      </c>
      <c r="R201" t="s">
        <v>963</v>
      </c>
      <c r="S201" t="s">
        <v>963</v>
      </c>
      <c r="T201" t="s">
        <v>961</v>
      </c>
      <c r="U201" t="s">
        <v>895</v>
      </c>
      <c r="V201" t="s">
        <v>855</v>
      </c>
      <c r="W201" t="s">
        <v>212</v>
      </c>
      <c r="X201" t="s">
        <v>212</v>
      </c>
      <c r="Y201" t="s">
        <v>275</v>
      </c>
      <c r="Z201" t="s">
        <v>275</v>
      </c>
      <c r="AA201" t="s">
        <v>856</v>
      </c>
      <c r="AB201" t="s">
        <v>857</v>
      </c>
      <c r="AC201" t="s">
        <v>857</v>
      </c>
      <c r="AD201" t="s">
        <v>216</v>
      </c>
      <c r="AE201" t="s">
        <v>11</v>
      </c>
      <c r="AG201" s="9" t="s">
        <v>221</v>
      </c>
      <c r="AH201" t="s">
        <v>219</v>
      </c>
      <c r="AI201" s="9" t="s">
        <v>218</v>
      </c>
      <c r="AJ201" s="9" t="s">
        <v>218</v>
      </c>
      <c r="AK201" t="s">
        <v>869</v>
      </c>
      <c r="AL201" s="8" t="s">
        <v>221</v>
      </c>
      <c r="AM201" s="9" t="s">
        <v>218</v>
      </c>
      <c r="AN201" s="9" t="s">
        <v>218</v>
      </c>
      <c r="AO201" s="8" t="s">
        <v>222</v>
      </c>
      <c r="AP201" s="8">
        <v>0</v>
      </c>
      <c r="AQ201" s="8">
        <v>0</v>
      </c>
      <c r="AR201" s="8">
        <v>0</v>
      </c>
      <c r="AS201" s="8">
        <v>0</v>
      </c>
      <c r="AT201" s="8">
        <v>0</v>
      </c>
      <c r="AU201" s="8">
        <v>0</v>
      </c>
      <c r="AV201" s="8">
        <v>0</v>
      </c>
      <c r="AW201" s="8">
        <v>0</v>
      </c>
      <c r="AX201" s="8"/>
      <c r="AY201" s="8"/>
      <c r="BC201" t="s">
        <v>964</v>
      </c>
    </row>
    <row r="202" spans="1:55">
      <c r="A202" s="6">
        <v>45752</v>
      </c>
      <c r="B202" s="7" t="s">
        <v>965</v>
      </c>
      <c r="C202" t="s">
        <v>205</v>
      </c>
      <c r="D202" t="s">
        <v>814</v>
      </c>
      <c r="G202" t="s">
        <v>754</v>
      </c>
      <c r="H202" s="8" t="s">
        <v>208</v>
      </c>
      <c r="I202" s="8" t="s">
        <v>208</v>
      </c>
      <c r="J202" s="8" t="s">
        <v>208</v>
      </c>
      <c r="K202" s="8" t="s">
        <v>208</v>
      </c>
      <c r="L202" s="8" t="s">
        <v>208</v>
      </c>
      <c r="M202" s="8" t="s">
        <v>208</v>
      </c>
      <c r="N202" s="8" t="s">
        <v>208</v>
      </c>
      <c r="O202" s="8" t="s">
        <v>208</v>
      </c>
      <c r="Q202" t="s">
        <v>966</v>
      </c>
      <c r="R202" t="s">
        <v>967</v>
      </c>
      <c r="S202" t="s">
        <v>967</v>
      </c>
      <c r="T202" t="s">
        <v>965</v>
      </c>
      <c r="U202" t="s">
        <v>900</v>
      </c>
      <c r="V202" t="s">
        <v>855</v>
      </c>
      <c r="W202" t="s">
        <v>212</v>
      </c>
      <c r="X202" t="s">
        <v>212</v>
      </c>
      <c r="Y202" t="s">
        <v>275</v>
      </c>
      <c r="Z202" t="s">
        <v>275</v>
      </c>
      <c r="AA202" t="s">
        <v>856</v>
      </c>
      <c r="AB202" t="s">
        <v>857</v>
      </c>
      <c r="AC202" t="s">
        <v>857</v>
      </c>
      <c r="AD202" t="s">
        <v>216</v>
      </c>
      <c r="AE202" t="s">
        <v>11</v>
      </c>
      <c r="AG202" s="9" t="s">
        <v>221</v>
      </c>
      <c r="AH202" t="s">
        <v>219</v>
      </c>
      <c r="AI202" s="9" t="s">
        <v>218</v>
      </c>
      <c r="AJ202" s="9" t="s">
        <v>218</v>
      </c>
      <c r="AK202" t="s">
        <v>869</v>
      </c>
      <c r="AL202" s="8" t="s">
        <v>221</v>
      </c>
      <c r="AM202" s="9" t="s">
        <v>218</v>
      </c>
      <c r="AN202" s="9" t="s">
        <v>218</v>
      </c>
      <c r="AO202" s="8" t="s">
        <v>222</v>
      </c>
      <c r="AP202" s="8">
        <v>0</v>
      </c>
      <c r="AQ202" s="8">
        <v>0</v>
      </c>
      <c r="AR202" s="8">
        <v>0</v>
      </c>
      <c r="AS202" s="8">
        <v>0</v>
      </c>
      <c r="AT202" s="8">
        <v>0</v>
      </c>
      <c r="AU202" s="8">
        <v>0</v>
      </c>
      <c r="AV202" s="8">
        <v>0</v>
      </c>
      <c r="AW202" s="8">
        <v>0</v>
      </c>
      <c r="AX202" s="8"/>
      <c r="AY202" s="8"/>
      <c r="BC202" t="s">
        <v>968</v>
      </c>
    </row>
    <row r="203" spans="1:55">
      <c r="A203" s="6">
        <v>45752</v>
      </c>
      <c r="B203" s="7" t="s">
        <v>969</v>
      </c>
      <c r="C203" t="s">
        <v>205</v>
      </c>
      <c r="D203" t="s">
        <v>814</v>
      </c>
      <c r="G203" t="s">
        <v>754</v>
      </c>
      <c r="H203" s="8" t="s">
        <v>208</v>
      </c>
      <c r="I203" s="8" t="s">
        <v>208</v>
      </c>
      <c r="J203" s="8" t="s">
        <v>208</v>
      </c>
      <c r="K203" s="8" t="s">
        <v>208</v>
      </c>
      <c r="L203" s="8" t="s">
        <v>208</v>
      </c>
      <c r="M203" s="8" t="s">
        <v>208</v>
      </c>
      <c r="N203" s="8" t="s">
        <v>208</v>
      </c>
      <c r="O203" s="8" t="s">
        <v>208</v>
      </c>
      <c r="Q203" t="s">
        <v>970</v>
      </c>
      <c r="R203" t="s">
        <v>971</v>
      </c>
      <c r="S203" t="s">
        <v>971</v>
      </c>
      <c r="T203" t="s">
        <v>969</v>
      </c>
      <c r="U203" t="s">
        <v>885</v>
      </c>
      <c r="V203" t="s">
        <v>855</v>
      </c>
      <c r="W203" t="s">
        <v>212</v>
      </c>
      <c r="X203" t="s">
        <v>212</v>
      </c>
      <c r="Y203" t="s">
        <v>275</v>
      </c>
      <c r="Z203" t="s">
        <v>275</v>
      </c>
      <c r="AA203" t="s">
        <v>856</v>
      </c>
      <c r="AB203" t="s">
        <v>857</v>
      </c>
      <c r="AC203" t="s">
        <v>857</v>
      </c>
      <c r="AD203" t="s">
        <v>216</v>
      </c>
      <c r="AE203" t="s">
        <v>11</v>
      </c>
      <c r="AG203" s="9" t="s">
        <v>221</v>
      </c>
      <c r="AH203" t="s">
        <v>219</v>
      </c>
      <c r="AI203" s="9" t="s">
        <v>218</v>
      </c>
      <c r="AJ203" s="9" t="s">
        <v>218</v>
      </c>
      <c r="AK203" t="s">
        <v>869</v>
      </c>
      <c r="AL203" s="8" t="s">
        <v>221</v>
      </c>
      <c r="AM203" s="9" t="s">
        <v>218</v>
      </c>
      <c r="AN203" s="9" t="s">
        <v>218</v>
      </c>
      <c r="AO203" s="8" t="s">
        <v>222</v>
      </c>
      <c r="AP203" s="8">
        <v>0</v>
      </c>
      <c r="AQ203" s="8">
        <v>0</v>
      </c>
      <c r="AR203" s="8">
        <v>0</v>
      </c>
      <c r="AS203" s="8">
        <v>0</v>
      </c>
      <c r="AT203" s="8">
        <v>0</v>
      </c>
      <c r="AU203" s="8">
        <v>0</v>
      </c>
      <c r="AV203" s="8">
        <v>0</v>
      </c>
      <c r="AW203" s="8">
        <v>0</v>
      </c>
      <c r="AX203" s="8"/>
      <c r="AY203" s="8"/>
      <c r="BC203" t="s">
        <v>972</v>
      </c>
    </row>
    <row r="204" spans="1:55">
      <c r="A204" s="6">
        <v>45752</v>
      </c>
      <c r="B204" s="7" t="s">
        <v>973</v>
      </c>
      <c r="C204" t="s">
        <v>205</v>
      </c>
      <c r="D204" t="s">
        <v>814</v>
      </c>
      <c r="G204" t="s">
        <v>754</v>
      </c>
      <c r="H204" s="8" t="s">
        <v>208</v>
      </c>
      <c r="I204" s="8" t="s">
        <v>208</v>
      </c>
      <c r="J204" s="8" t="s">
        <v>208</v>
      </c>
      <c r="K204" s="8" t="s">
        <v>208</v>
      </c>
      <c r="L204" s="8" t="s">
        <v>208</v>
      </c>
      <c r="M204" s="8" t="s">
        <v>208</v>
      </c>
      <c r="N204" s="8" t="s">
        <v>208</v>
      </c>
      <c r="O204" s="8" t="s">
        <v>208</v>
      </c>
      <c r="Q204" t="s">
        <v>974</v>
      </c>
      <c r="R204" t="s">
        <v>975</v>
      </c>
      <c r="S204" t="s">
        <v>975</v>
      </c>
      <c r="T204" t="s">
        <v>973</v>
      </c>
      <c r="U204" t="s">
        <v>909</v>
      </c>
      <c r="V204" t="s">
        <v>855</v>
      </c>
      <c r="W204" t="s">
        <v>212</v>
      </c>
      <c r="X204" t="s">
        <v>212</v>
      </c>
      <c r="Y204" t="s">
        <v>275</v>
      </c>
      <c r="Z204" t="s">
        <v>275</v>
      </c>
      <c r="AA204" t="s">
        <v>856</v>
      </c>
      <c r="AB204" t="s">
        <v>857</v>
      </c>
      <c r="AC204" t="s">
        <v>857</v>
      </c>
      <c r="AD204" t="s">
        <v>216</v>
      </c>
      <c r="AE204" t="s">
        <v>11</v>
      </c>
      <c r="AG204" s="9" t="s">
        <v>221</v>
      </c>
      <c r="AH204" t="s">
        <v>219</v>
      </c>
      <c r="AI204" s="9" t="s">
        <v>218</v>
      </c>
      <c r="AJ204" s="9" t="s">
        <v>218</v>
      </c>
      <c r="AK204" t="s">
        <v>869</v>
      </c>
      <c r="AL204" s="8" t="s">
        <v>221</v>
      </c>
      <c r="AM204" s="9" t="s">
        <v>218</v>
      </c>
      <c r="AN204" s="9" t="s">
        <v>218</v>
      </c>
      <c r="AO204" s="8" t="s">
        <v>222</v>
      </c>
      <c r="AP204" s="8">
        <v>0</v>
      </c>
      <c r="AQ204" s="8">
        <v>0</v>
      </c>
      <c r="AR204" s="8">
        <v>0</v>
      </c>
      <c r="AS204" s="8">
        <v>0</v>
      </c>
      <c r="AT204" s="8">
        <v>0</v>
      </c>
      <c r="AU204" s="8">
        <v>0</v>
      </c>
      <c r="AV204" s="8">
        <v>0</v>
      </c>
      <c r="AW204" s="8">
        <v>0</v>
      </c>
      <c r="AX204" s="8"/>
      <c r="AY204" s="8"/>
      <c r="BC204" t="s">
        <v>976</v>
      </c>
    </row>
    <row r="205" spans="1:55">
      <c r="A205" s="6">
        <v>45752</v>
      </c>
      <c r="B205" s="7" t="s">
        <v>977</v>
      </c>
      <c r="C205" t="s">
        <v>205</v>
      </c>
      <c r="D205" t="s">
        <v>814</v>
      </c>
      <c r="G205" t="s">
        <v>754</v>
      </c>
      <c r="H205" s="8" t="s">
        <v>208</v>
      </c>
      <c r="I205" s="8" t="s">
        <v>208</v>
      </c>
      <c r="J205" s="8" t="s">
        <v>208</v>
      </c>
      <c r="K205" s="8" t="s">
        <v>208</v>
      </c>
      <c r="L205" s="8" t="s">
        <v>208</v>
      </c>
      <c r="M205" s="8" t="s">
        <v>208</v>
      </c>
      <c r="N205" s="8" t="s">
        <v>208</v>
      </c>
      <c r="O205" s="8" t="s">
        <v>208</v>
      </c>
      <c r="Q205" t="s">
        <v>978</v>
      </c>
      <c r="R205" t="s">
        <v>979</v>
      </c>
      <c r="S205" t="s">
        <v>979</v>
      </c>
      <c r="T205" t="s">
        <v>977</v>
      </c>
      <c r="U205" t="s">
        <v>914</v>
      </c>
      <c r="V205" t="s">
        <v>855</v>
      </c>
      <c r="W205" t="s">
        <v>212</v>
      </c>
      <c r="X205" t="s">
        <v>212</v>
      </c>
      <c r="Y205" t="s">
        <v>275</v>
      </c>
      <c r="Z205" t="s">
        <v>275</v>
      </c>
      <c r="AA205" t="s">
        <v>856</v>
      </c>
      <c r="AB205" t="s">
        <v>857</v>
      </c>
      <c r="AC205" t="s">
        <v>857</v>
      </c>
      <c r="AD205" t="s">
        <v>216</v>
      </c>
      <c r="AE205" t="s">
        <v>11</v>
      </c>
      <c r="AG205" s="9" t="s">
        <v>221</v>
      </c>
      <c r="AH205" t="s">
        <v>219</v>
      </c>
      <c r="AI205" s="9" t="s">
        <v>218</v>
      </c>
      <c r="AJ205" s="9" t="s">
        <v>218</v>
      </c>
      <c r="AK205" t="s">
        <v>869</v>
      </c>
      <c r="AL205" s="8" t="s">
        <v>221</v>
      </c>
      <c r="AM205" s="9" t="s">
        <v>218</v>
      </c>
      <c r="AN205" s="9" t="s">
        <v>218</v>
      </c>
      <c r="AO205" s="8" t="s">
        <v>222</v>
      </c>
      <c r="AP205" s="8">
        <v>0</v>
      </c>
      <c r="AQ205" s="8">
        <v>0</v>
      </c>
      <c r="AR205" s="8">
        <v>0</v>
      </c>
      <c r="AS205" s="8">
        <v>0</v>
      </c>
      <c r="AT205" s="8">
        <v>0</v>
      </c>
      <c r="AU205" s="8">
        <v>0</v>
      </c>
      <c r="AV205" s="8">
        <v>0</v>
      </c>
      <c r="AW205" s="8">
        <v>0</v>
      </c>
      <c r="AX205" s="8"/>
      <c r="AY205" s="8"/>
      <c r="BC205" t="s">
        <v>980</v>
      </c>
    </row>
    <row r="206" spans="1:55">
      <c r="A206" s="6">
        <v>45752</v>
      </c>
      <c r="B206" s="7" t="s">
        <v>981</v>
      </c>
      <c r="C206" t="s">
        <v>205</v>
      </c>
      <c r="D206" t="s">
        <v>814</v>
      </c>
      <c r="G206" t="s">
        <v>754</v>
      </c>
      <c r="H206" s="8" t="s">
        <v>208</v>
      </c>
      <c r="I206" s="8" t="s">
        <v>208</v>
      </c>
      <c r="J206" s="8" t="s">
        <v>208</v>
      </c>
      <c r="K206" s="8" t="s">
        <v>208</v>
      </c>
      <c r="L206" s="8" t="s">
        <v>208</v>
      </c>
      <c r="M206" s="8" t="s">
        <v>208</v>
      </c>
      <c r="N206" s="8" t="s">
        <v>208</v>
      </c>
      <c r="O206" s="8" t="s">
        <v>208</v>
      </c>
      <c r="Q206" t="s">
        <v>982</v>
      </c>
      <c r="R206" t="s">
        <v>983</v>
      </c>
      <c r="S206" t="s">
        <v>983</v>
      </c>
      <c r="T206" t="s">
        <v>981</v>
      </c>
      <c r="U206" t="s">
        <v>919</v>
      </c>
      <c r="V206" t="s">
        <v>855</v>
      </c>
      <c r="W206" t="s">
        <v>212</v>
      </c>
      <c r="X206" t="s">
        <v>212</v>
      </c>
      <c r="Y206" t="s">
        <v>275</v>
      </c>
      <c r="Z206" t="s">
        <v>275</v>
      </c>
      <c r="AA206" t="s">
        <v>856</v>
      </c>
      <c r="AB206" t="s">
        <v>857</v>
      </c>
      <c r="AC206" t="s">
        <v>857</v>
      </c>
      <c r="AD206" t="s">
        <v>216</v>
      </c>
      <c r="AE206" t="s">
        <v>11</v>
      </c>
      <c r="AG206" s="9" t="s">
        <v>221</v>
      </c>
      <c r="AH206" t="s">
        <v>219</v>
      </c>
      <c r="AI206" s="9" t="s">
        <v>218</v>
      </c>
      <c r="AJ206" s="9" t="s">
        <v>218</v>
      </c>
      <c r="AK206" t="s">
        <v>869</v>
      </c>
      <c r="AL206" s="8" t="s">
        <v>221</v>
      </c>
      <c r="AM206" s="9" t="s">
        <v>218</v>
      </c>
      <c r="AN206" s="9" t="s">
        <v>218</v>
      </c>
      <c r="AO206" s="8" t="s">
        <v>222</v>
      </c>
      <c r="AP206" s="8">
        <v>0</v>
      </c>
      <c r="AQ206" s="8">
        <v>0</v>
      </c>
      <c r="AR206" s="8">
        <v>0</v>
      </c>
      <c r="AS206" s="8">
        <v>0</v>
      </c>
      <c r="AT206" s="8">
        <v>0</v>
      </c>
      <c r="AU206" s="8">
        <v>0</v>
      </c>
      <c r="AV206" s="8">
        <v>0</v>
      </c>
      <c r="AW206" s="8">
        <v>0</v>
      </c>
      <c r="AX206" s="8"/>
      <c r="AY206" s="8"/>
      <c r="BC206" t="s">
        <v>984</v>
      </c>
    </row>
    <row r="207" spans="1:55">
      <c r="A207" s="6">
        <v>45752</v>
      </c>
      <c r="B207" s="7" t="s">
        <v>985</v>
      </c>
      <c r="C207" t="s">
        <v>205</v>
      </c>
      <c r="D207" t="s">
        <v>814</v>
      </c>
      <c r="G207" t="s">
        <v>754</v>
      </c>
      <c r="H207" s="8" t="s">
        <v>208</v>
      </c>
      <c r="I207" s="8" t="s">
        <v>208</v>
      </c>
      <c r="J207" s="8" t="s">
        <v>208</v>
      </c>
      <c r="K207" s="8" t="s">
        <v>208</v>
      </c>
      <c r="L207" s="8" t="s">
        <v>208</v>
      </c>
      <c r="M207" s="8" t="s">
        <v>208</v>
      </c>
      <c r="N207" s="8" t="s">
        <v>208</v>
      </c>
      <c r="O207" s="8" t="s">
        <v>208</v>
      </c>
      <c r="Q207" t="s">
        <v>986</v>
      </c>
      <c r="R207" t="s">
        <v>987</v>
      </c>
      <c r="S207" t="s">
        <v>987</v>
      </c>
      <c r="T207" t="s">
        <v>985</v>
      </c>
      <c r="U207" t="s">
        <v>885</v>
      </c>
      <c r="V207" t="s">
        <v>855</v>
      </c>
      <c r="W207" t="s">
        <v>212</v>
      </c>
      <c r="X207" t="s">
        <v>212</v>
      </c>
      <c r="Y207" t="s">
        <v>275</v>
      </c>
      <c r="Z207" t="s">
        <v>275</v>
      </c>
      <c r="AA207" t="s">
        <v>856</v>
      </c>
      <c r="AB207" t="s">
        <v>857</v>
      </c>
      <c r="AC207" t="s">
        <v>857</v>
      </c>
      <c r="AD207" t="s">
        <v>216</v>
      </c>
      <c r="AE207" t="s">
        <v>11</v>
      </c>
      <c r="AG207" s="9" t="s">
        <v>221</v>
      </c>
      <c r="AH207" t="s">
        <v>219</v>
      </c>
      <c r="AI207" s="9" t="s">
        <v>218</v>
      </c>
      <c r="AJ207" s="9" t="s">
        <v>218</v>
      </c>
      <c r="AK207" t="s">
        <v>869</v>
      </c>
      <c r="AL207" s="8" t="s">
        <v>221</v>
      </c>
      <c r="AM207" s="9" t="s">
        <v>218</v>
      </c>
      <c r="AN207" s="9" t="s">
        <v>218</v>
      </c>
      <c r="AO207" s="8" t="s">
        <v>222</v>
      </c>
      <c r="AP207" s="8">
        <v>0</v>
      </c>
      <c r="AQ207" s="8">
        <v>0</v>
      </c>
      <c r="AR207" s="8">
        <v>0</v>
      </c>
      <c r="AS207" s="8">
        <v>0</v>
      </c>
      <c r="AT207" s="8">
        <v>0</v>
      </c>
      <c r="AU207" s="8">
        <v>0</v>
      </c>
      <c r="AV207" s="8">
        <v>0</v>
      </c>
      <c r="AW207" s="8">
        <v>0</v>
      </c>
      <c r="AX207" s="8"/>
      <c r="AY207" s="8"/>
      <c r="BC207" t="s">
        <v>988</v>
      </c>
    </row>
    <row r="208" spans="1:55">
      <c r="A208" s="6">
        <v>45752</v>
      </c>
      <c r="B208" s="7" t="s">
        <v>989</v>
      </c>
      <c r="C208" t="s">
        <v>205</v>
      </c>
      <c r="D208" t="s">
        <v>814</v>
      </c>
      <c r="G208" t="s">
        <v>754</v>
      </c>
      <c r="H208" s="8" t="s">
        <v>208</v>
      </c>
      <c r="I208" s="8" t="s">
        <v>208</v>
      </c>
      <c r="J208" s="8" t="s">
        <v>208</v>
      </c>
      <c r="K208" s="8" t="s">
        <v>208</v>
      </c>
      <c r="L208" s="8" t="s">
        <v>208</v>
      </c>
      <c r="M208" s="8" t="s">
        <v>208</v>
      </c>
      <c r="N208" s="8" t="s">
        <v>208</v>
      </c>
      <c r="O208" s="8" t="s">
        <v>208</v>
      </c>
      <c r="Q208" t="s">
        <v>990</v>
      </c>
      <c r="R208" t="s">
        <v>991</v>
      </c>
      <c r="S208" t="s">
        <v>991</v>
      </c>
      <c r="T208" t="s">
        <v>989</v>
      </c>
      <c r="U208" t="s">
        <v>928</v>
      </c>
      <c r="V208" t="s">
        <v>855</v>
      </c>
      <c r="W208" t="s">
        <v>212</v>
      </c>
      <c r="X208" t="s">
        <v>212</v>
      </c>
      <c r="Y208" t="s">
        <v>275</v>
      </c>
      <c r="Z208" t="s">
        <v>275</v>
      </c>
      <c r="AA208" t="s">
        <v>856</v>
      </c>
      <c r="AB208" t="s">
        <v>857</v>
      </c>
      <c r="AC208" t="s">
        <v>857</v>
      </c>
      <c r="AD208" t="s">
        <v>216</v>
      </c>
      <c r="AE208" t="s">
        <v>11</v>
      </c>
      <c r="AG208" s="9" t="s">
        <v>221</v>
      </c>
      <c r="AH208" t="s">
        <v>219</v>
      </c>
      <c r="AI208" s="9" t="s">
        <v>218</v>
      </c>
      <c r="AJ208" s="9" t="s">
        <v>218</v>
      </c>
      <c r="AK208" t="s">
        <v>869</v>
      </c>
      <c r="AL208" s="8" t="s">
        <v>221</v>
      </c>
      <c r="AM208" s="9" t="s">
        <v>218</v>
      </c>
      <c r="AN208" s="9" t="s">
        <v>218</v>
      </c>
      <c r="AO208" s="8" t="s">
        <v>222</v>
      </c>
      <c r="AP208" s="8">
        <v>0</v>
      </c>
      <c r="AQ208" s="8">
        <v>0</v>
      </c>
      <c r="AR208" s="8">
        <v>0</v>
      </c>
      <c r="AS208" s="8">
        <v>0</v>
      </c>
      <c r="AT208" s="8">
        <v>0</v>
      </c>
      <c r="AU208" s="8">
        <v>0</v>
      </c>
      <c r="AV208" s="8">
        <v>0</v>
      </c>
      <c r="AW208" s="8">
        <v>0</v>
      </c>
      <c r="AX208" s="8"/>
      <c r="AY208" s="8"/>
      <c r="BC208" t="s">
        <v>992</v>
      </c>
    </row>
    <row r="209" spans="1:55">
      <c r="A209" s="6">
        <v>45752</v>
      </c>
      <c r="B209" s="7" t="s">
        <v>993</v>
      </c>
      <c r="C209" t="s">
        <v>205</v>
      </c>
      <c r="D209" t="s">
        <v>814</v>
      </c>
      <c r="G209" t="s">
        <v>754</v>
      </c>
      <c r="H209" s="8" t="s">
        <v>208</v>
      </c>
      <c r="I209" s="8" t="s">
        <v>208</v>
      </c>
      <c r="J209" s="8" t="s">
        <v>208</v>
      </c>
      <c r="K209" s="8" t="s">
        <v>208</v>
      </c>
      <c r="L209" s="8" t="s">
        <v>208</v>
      </c>
      <c r="M209" s="8" t="s">
        <v>208</v>
      </c>
      <c r="N209" s="8" t="s">
        <v>208</v>
      </c>
      <c r="O209" s="8" t="s">
        <v>208</v>
      </c>
      <c r="Q209" t="s">
        <v>994</v>
      </c>
      <c r="R209" t="s">
        <v>995</v>
      </c>
      <c r="S209" t="s">
        <v>995</v>
      </c>
      <c r="T209" t="s">
        <v>993</v>
      </c>
      <c r="U209" t="s">
        <v>996</v>
      </c>
      <c r="V209" t="s">
        <v>773</v>
      </c>
      <c r="W209" t="s">
        <v>212</v>
      </c>
      <c r="X209" t="s">
        <v>212</v>
      </c>
      <c r="Y209" t="s">
        <v>275</v>
      </c>
      <c r="Z209" t="s">
        <v>275</v>
      </c>
      <c r="AA209" t="s">
        <v>776</v>
      </c>
      <c r="AB209" t="s">
        <v>857</v>
      </c>
      <c r="AC209" t="s">
        <v>857</v>
      </c>
      <c r="AD209" t="s">
        <v>216</v>
      </c>
      <c r="AE209" t="s">
        <v>11</v>
      </c>
      <c r="AG209" s="9" t="s">
        <v>221</v>
      </c>
      <c r="AH209" t="s">
        <v>219</v>
      </c>
      <c r="AI209" s="9" t="s">
        <v>218</v>
      </c>
      <c r="AJ209" s="9" t="s">
        <v>218</v>
      </c>
      <c r="AK209" t="s">
        <v>997</v>
      </c>
      <c r="AL209" s="8" t="s">
        <v>221</v>
      </c>
      <c r="AM209" s="9" t="s">
        <v>218</v>
      </c>
      <c r="AN209" s="9" t="s">
        <v>218</v>
      </c>
      <c r="AO209" s="8" t="s">
        <v>222</v>
      </c>
      <c r="AP209" s="8">
        <v>0</v>
      </c>
      <c r="AQ209" s="8">
        <v>0</v>
      </c>
      <c r="AR209" s="8">
        <v>0</v>
      </c>
      <c r="AS209" s="8">
        <v>0</v>
      </c>
      <c r="AT209" s="8">
        <v>0</v>
      </c>
      <c r="AU209" s="8">
        <v>0</v>
      </c>
      <c r="AV209" s="8">
        <v>0</v>
      </c>
      <c r="AW209" s="8">
        <v>0</v>
      </c>
      <c r="AX209" s="8"/>
      <c r="AY209" s="8"/>
      <c r="BC209" t="s">
        <v>998</v>
      </c>
    </row>
    <row r="210" spans="1:55">
      <c r="A210" s="6">
        <v>45752</v>
      </c>
      <c r="B210" s="7" t="s">
        <v>999</v>
      </c>
      <c r="C210" t="s">
        <v>205</v>
      </c>
      <c r="D210" t="s">
        <v>814</v>
      </c>
      <c r="G210" t="s">
        <v>754</v>
      </c>
      <c r="H210" s="8" t="s">
        <v>208</v>
      </c>
      <c r="I210" s="8" t="s">
        <v>208</v>
      </c>
      <c r="J210" s="8" t="s">
        <v>208</v>
      </c>
      <c r="K210" s="8" t="s">
        <v>208</v>
      </c>
      <c r="L210" s="8" t="s">
        <v>208</v>
      </c>
      <c r="M210" s="8" t="s">
        <v>208</v>
      </c>
      <c r="N210" s="8" t="s">
        <v>208</v>
      </c>
      <c r="O210" s="8" t="s">
        <v>208</v>
      </c>
      <c r="Q210" t="s">
        <v>1000</v>
      </c>
      <c r="R210" t="s">
        <v>1001</v>
      </c>
      <c r="S210" t="s">
        <v>1001</v>
      </c>
      <c r="T210" t="s">
        <v>999</v>
      </c>
      <c r="U210" t="s">
        <v>1002</v>
      </c>
      <c r="V210" t="s">
        <v>773</v>
      </c>
      <c r="W210" t="s">
        <v>212</v>
      </c>
      <c r="X210" t="s">
        <v>212</v>
      </c>
      <c r="Y210" t="s">
        <v>275</v>
      </c>
      <c r="Z210" t="s">
        <v>275</v>
      </c>
      <c r="AA210" t="s">
        <v>776</v>
      </c>
      <c r="AB210" t="s">
        <v>857</v>
      </c>
      <c r="AC210" t="s">
        <v>857</v>
      </c>
      <c r="AD210" t="s">
        <v>216</v>
      </c>
      <c r="AE210" t="s">
        <v>11</v>
      </c>
      <c r="AG210" s="9" t="s">
        <v>221</v>
      </c>
      <c r="AH210" t="s">
        <v>219</v>
      </c>
      <c r="AI210" s="9" t="s">
        <v>218</v>
      </c>
      <c r="AJ210" s="9" t="s">
        <v>218</v>
      </c>
      <c r="AK210" t="s">
        <v>783</v>
      </c>
      <c r="AL210" s="8" t="s">
        <v>221</v>
      </c>
      <c r="AM210" s="9" t="s">
        <v>218</v>
      </c>
      <c r="AN210" s="9" t="s">
        <v>218</v>
      </c>
      <c r="AO210" s="8" t="s">
        <v>222</v>
      </c>
      <c r="AP210" s="8">
        <v>0</v>
      </c>
      <c r="AQ210" s="8">
        <v>0</v>
      </c>
      <c r="AR210" s="8">
        <v>0</v>
      </c>
      <c r="AS210" s="8">
        <v>0</v>
      </c>
      <c r="AT210" s="8">
        <v>0</v>
      </c>
      <c r="AU210" s="8">
        <v>0</v>
      </c>
      <c r="AV210" s="8">
        <v>0</v>
      </c>
      <c r="AW210" s="8">
        <v>0</v>
      </c>
      <c r="AX210" s="8"/>
      <c r="AY210" s="8"/>
      <c r="BC210" t="s">
        <v>1003</v>
      </c>
    </row>
    <row r="211" spans="1:55">
      <c r="A211" s="6">
        <v>45752</v>
      </c>
      <c r="B211" s="7" t="s">
        <v>1004</v>
      </c>
      <c r="C211" t="s">
        <v>205</v>
      </c>
      <c r="D211" t="s">
        <v>814</v>
      </c>
      <c r="G211" t="s">
        <v>754</v>
      </c>
      <c r="H211" s="8" t="s">
        <v>208</v>
      </c>
      <c r="I211" s="8" t="s">
        <v>208</v>
      </c>
      <c r="J211" s="8" t="s">
        <v>208</v>
      </c>
      <c r="K211" s="8" t="s">
        <v>208</v>
      </c>
      <c r="L211" s="8" t="s">
        <v>208</v>
      </c>
      <c r="M211" s="8" t="s">
        <v>208</v>
      </c>
      <c r="N211" s="8" t="s">
        <v>208</v>
      </c>
      <c r="O211" s="8" t="s">
        <v>208</v>
      </c>
      <c r="Q211" t="s">
        <v>1005</v>
      </c>
      <c r="R211" t="s">
        <v>1006</v>
      </c>
      <c r="S211" t="s">
        <v>1006</v>
      </c>
      <c r="T211" t="s">
        <v>1004</v>
      </c>
      <c r="U211" t="s">
        <v>1007</v>
      </c>
      <c r="V211" t="s">
        <v>849</v>
      </c>
      <c r="W211" t="s">
        <v>212</v>
      </c>
      <c r="X211" t="s">
        <v>212</v>
      </c>
      <c r="Y211" t="s">
        <v>275</v>
      </c>
      <c r="Z211" t="s">
        <v>275</v>
      </c>
      <c r="AA211" t="s">
        <v>776</v>
      </c>
      <c r="AB211" t="s">
        <v>312</v>
      </c>
      <c r="AC211" t="s">
        <v>312</v>
      </c>
      <c r="AD211" t="s">
        <v>216</v>
      </c>
      <c r="AE211" t="s">
        <v>11</v>
      </c>
      <c r="AG211" s="9" t="s">
        <v>221</v>
      </c>
      <c r="AH211" t="s">
        <v>219</v>
      </c>
      <c r="AI211" s="9" t="s">
        <v>218</v>
      </c>
      <c r="AJ211" s="9" t="s">
        <v>218</v>
      </c>
      <c r="AK211" t="s">
        <v>1008</v>
      </c>
      <c r="AL211" s="8" t="s">
        <v>221</v>
      </c>
      <c r="AM211" s="9" t="s">
        <v>218</v>
      </c>
      <c r="AN211" s="9" t="s">
        <v>218</v>
      </c>
      <c r="AO211" s="8" t="s">
        <v>222</v>
      </c>
      <c r="AP211" s="8">
        <v>0</v>
      </c>
      <c r="AQ211" s="8">
        <v>0</v>
      </c>
      <c r="AR211" s="8">
        <v>0</v>
      </c>
      <c r="AS211" s="8">
        <v>0</v>
      </c>
      <c r="AT211" s="8">
        <v>0</v>
      </c>
      <c r="AU211" s="8">
        <v>0</v>
      </c>
      <c r="AV211" s="8">
        <v>0</v>
      </c>
      <c r="AW211" s="8">
        <v>0</v>
      </c>
      <c r="AX211" s="8"/>
      <c r="AY211" s="8"/>
      <c r="BC211" t="s">
        <v>1009</v>
      </c>
    </row>
    <row r="212" spans="1:55">
      <c r="A212" s="6">
        <v>45752</v>
      </c>
      <c r="B212" s="7" t="s">
        <v>1010</v>
      </c>
      <c r="C212" t="s">
        <v>205</v>
      </c>
      <c r="D212" t="s">
        <v>814</v>
      </c>
      <c r="G212" t="s">
        <v>754</v>
      </c>
      <c r="H212" s="8" t="s">
        <v>208</v>
      </c>
      <c r="I212" s="8" t="s">
        <v>208</v>
      </c>
      <c r="J212" s="8" t="s">
        <v>208</v>
      </c>
      <c r="K212" s="8" t="s">
        <v>208</v>
      </c>
      <c r="L212" s="8" t="s">
        <v>208</v>
      </c>
      <c r="M212" s="8" t="s">
        <v>208</v>
      </c>
      <c r="N212" s="8" t="s">
        <v>208</v>
      </c>
      <c r="O212" s="8" t="s">
        <v>208</v>
      </c>
      <c r="Q212" t="s">
        <v>1011</v>
      </c>
      <c r="R212" t="s">
        <v>1012</v>
      </c>
      <c r="S212" t="s">
        <v>1012</v>
      </c>
      <c r="T212" t="s">
        <v>1010</v>
      </c>
      <c r="U212" t="s">
        <v>1013</v>
      </c>
      <c r="V212" t="s">
        <v>800</v>
      </c>
      <c r="W212" t="s">
        <v>212</v>
      </c>
      <c r="X212" t="s">
        <v>212</v>
      </c>
      <c r="Y212" t="s">
        <v>275</v>
      </c>
      <c r="Z212" t="s">
        <v>275</v>
      </c>
      <c r="AA212" t="s">
        <v>776</v>
      </c>
      <c r="AB212" t="s">
        <v>857</v>
      </c>
      <c r="AC212" t="s">
        <v>857</v>
      </c>
      <c r="AD212" t="s">
        <v>216</v>
      </c>
      <c r="AE212" t="s">
        <v>11</v>
      </c>
      <c r="AG212" s="9" t="s">
        <v>221</v>
      </c>
      <c r="AH212" t="s">
        <v>219</v>
      </c>
      <c r="AI212" s="9" t="s">
        <v>218</v>
      </c>
      <c r="AJ212" s="9" t="s">
        <v>218</v>
      </c>
      <c r="AK212" t="s">
        <v>1008</v>
      </c>
      <c r="AL212" s="8" t="s">
        <v>221</v>
      </c>
      <c r="AM212" s="9" t="s">
        <v>218</v>
      </c>
      <c r="AN212" s="9" t="s">
        <v>218</v>
      </c>
      <c r="AO212" s="8" t="s">
        <v>222</v>
      </c>
      <c r="AP212" s="8">
        <v>0</v>
      </c>
      <c r="AQ212" s="8">
        <v>0</v>
      </c>
      <c r="AR212" s="8">
        <v>0</v>
      </c>
      <c r="AS212" s="8">
        <v>0</v>
      </c>
      <c r="AT212" s="8">
        <v>0</v>
      </c>
      <c r="AU212" s="8">
        <v>0</v>
      </c>
      <c r="AV212" s="8">
        <v>0</v>
      </c>
      <c r="AW212" s="8">
        <v>0</v>
      </c>
      <c r="AX212" s="8"/>
      <c r="AY212" s="8"/>
      <c r="BC212" t="s">
        <v>1014</v>
      </c>
    </row>
    <row r="213" spans="1:55">
      <c r="A213" s="6">
        <v>45752</v>
      </c>
      <c r="B213" s="7" t="s">
        <v>1015</v>
      </c>
      <c r="C213" t="s">
        <v>205</v>
      </c>
      <c r="D213" t="s">
        <v>814</v>
      </c>
      <c r="G213" t="s">
        <v>754</v>
      </c>
      <c r="H213" s="8" t="s">
        <v>208</v>
      </c>
      <c r="I213" s="8" t="s">
        <v>208</v>
      </c>
      <c r="J213" s="8" t="s">
        <v>208</v>
      </c>
      <c r="K213" s="8" t="s">
        <v>208</v>
      </c>
      <c r="L213" s="8" t="s">
        <v>208</v>
      </c>
      <c r="M213" s="8" t="s">
        <v>208</v>
      </c>
      <c r="N213" s="8" t="s">
        <v>208</v>
      </c>
      <c r="O213" s="8" t="s">
        <v>208</v>
      </c>
      <c r="Q213" t="s">
        <v>1016</v>
      </c>
      <c r="R213" t="s">
        <v>1017</v>
      </c>
      <c r="S213" t="s">
        <v>1017</v>
      </c>
      <c r="T213" t="s">
        <v>1015</v>
      </c>
      <c r="U213" t="s">
        <v>1018</v>
      </c>
      <c r="V213" t="s">
        <v>849</v>
      </c>
      <c r="W213" t="s">
        <v>212</v>
      </c>
      <c r="X213" t="s">
        <v>212</v>
      </c>
      <c r="Y213" t="s">
        <v>275</v>
      </c>
      <c r="Z213" t="s">
        <v>275</v>
      </c>
      <c r="AA213" t="s">
        <v>776</v>
      </c>
      <c r="AB213" t="s">
        <v>857</v>
      </c>
      <c r="AC213" t="s">
        <v>857</v>
      </c>
      <c r="AD213" t="s">
        <v>216</v>
      </c>
      <c r="AE213" t="s">
        <v>11</v>
      </c>
      <c r="AG213" s="9" t="s">
        <v>221</v>
      </c>
      <c r="AH213" t="s">
        <v>219</v>
      </c>
      <c r="AI213" s="9" t="s">
        <v>218</v>
      </c>
      <c r="AJ213" s="9" t="s">
        <v>218</v>
      </c>
      <c r="AK213" t="s">
        <v>880</v>
      </c>
      <c r="AL213" s="8" t="s">
        <v>221</v>
      </c>
      <c r="AM213" s="9" t="s">
        <v>218</v>
      </c>
      <c r="AN213" s="9" t="s">
        <v>218</v>
      </c>
      <c r="AO213" s="8" t="s">
        <v>222</v>
      </c>
      <c r="AP213" s="8">
        <v>0</v>
      </c>
      <c r="AQ213" s="8">
        <v>0</v>
      </c>
      <c r="AR213" s="8">
        <v>0</v>
      </c>
      <c r="AS213" s="8">
        <v>0</v>
      </c>
      <c r="AT213" s="8">
        <v>0</v>
      </c>
      <c r="AU213" s="8">
        <v>0</v>
      </c>
      <c r="AV213" s="8">
        <v>0</v>
      </c>
      <c r="AW213" s="8">
        <v>0</v>
      </c>
      <c r="AX213" s="8"/>
      <c r="AY213" s="8"/>
      <c r="BC213" t="s">
        <v>1019</v>
      </c>
    </row>
    <row r="214" spans="1:55">
      <c r="A214" s="6">
        <v>45752</v>
      </c>
      <c r="B214" s="7" t="s">
        <v>802</v>
      </c>
      <c r="C214" t="s">
        <v>205</v>
      </c>
      <c r="D214" t="s">
        <v>1020</v>
      </c>
      <c r="G214" t="s">
        <v>754</v>
      </c>
      <c r="H214" s="8" t="s">
        <v>208</v>
      </c>
      <c r="I214" s="8" t="s">
        <v>208</v>
      </c>
      <c r="J214" s="8" t="s">
        <v>208</v>
      </c>
      <c r="K214" s="8" t="s">
        <v>208</v>
      </c>
      <c r="L214" s="8" t="s">
        <v>208</v>
      </c>
      <c r="M214" s="8" t="s">
        <v>208</v>
      </c>
      <c r="N214" s="8" t="s">
        <v>208</v>
      </c>
      <c r="O214" s="8" t="s">
        <v>208</v>
      </c>
      <c r="Q214" t="s">
        <v>803</v>
      </c>
      <c r="R214" t="s">
        <v>804</v>
      </c>
      <c r="S214" t="s">
        <v>804</v>
      </c>
      <c r="T214" t="s">
        <v>802</v>
      </c>
      <c r="U214" t="s">
        <v>805</v>
      </c>
      <c r="V214" t="s">
        <v>14</v>
      </c>
      <c r="W214" t="s">
        <v>232</v>
      </c>
      <c r="X214" t="s">
        <v>232</v>
      </c>
      <c r="Y214" t="s">
        <v>233</v>
      </c>
      <c r="Z214" t="s">
        <v>233</v>
      </c>
      <c r="AA214" t="s">
        <v>214</v>
      </c>
      <c r="AB214" t="s">
        <v>285</v>
      </c>
      <c r="AC214" t="s">
        <v>285</v>
      </c>
      <c r="AD214" t="s">
        <v>216</v>
      </c>
      <c r="AE214" t="s">
        <v>11</v>
      </c>
      <c r="AG214" s="9" t="s">
        <v>221</v>
      </c>
      <c r="AH214" t="s">
        <v>219</v>
      </c>
      <c r="AI214" s="9" t="s">
        <v>218</v>
      </c>
      <c r="AJ214" s="9" t="s">
        <v>218</v>
      </c>
      <c r="AK214" t="s">
        <v>234</v>
      </c>
      <c r="AL214" s="9" t="s">
        <v>218</v>
      </c>
      <c r="AM214" s="8" t="s">
        <v>221</v>
      </c>
      <c r="AN214" s="8" t="s">
        <v>221</v>
      </c>
      <c r="AO214" s="8" t="s">
        <v>222</v>
      </c>
      <c r="AP214" s="8">
        <v>0</v>
      </c>
      <c r="AQ214" s="8">
        <v>0</v>
      </c>
      <c r="AR214" s="8">
        <v>0</v>
      </c>
      <c r="AS214" s="8">
        <v>0</v>
      </c>
      <c r="AT214" s="8">
        <v>0</v>
      </c>
      <c r="AU214" s="8">
        <v>0</v>
      </c>
      <c r="AV214" s="8">
        <v>0</v>
      </c>
      <c r="AW214" s="8">
        <v>0</v>
      </c>
      <c r="AX214" s="8"/>
      <c r="AY214" s="8"/>
      <c r="AZ214">
        <v>2</v>
      </c>
      <c r="BA214" t="s">
        <v>806</v>
      </c>
      <c r="BB214" t="s">
        <v>807</v>
      </c>
      <c r="BC214" t="s">
        <v>808</v>
      </c>
    </row>
    <row r="215" spans="1:55">
      <c r="A215" s="6">
        <v>45752</v>
      </c>
      <c r="B215" s="7" t="s">
        <v>1021</v>
      </c>
      <c r="C215" t="s">
        <v>205</v>
      </c>
      <c r="D215" t="s">
        <v>1020</v>
      </c>
      <c r="G215" t="s">
        <v>754</v>
      </c>
      <c r="H215" s="8" t="s">
        <v>208</v>
      </c>
      <c r="I215" s="8" t="s">
        <v>208</v>
      </c>
      <c r="J215" s="8" t="s">
        <v>208</v>
      </c>
      <c r="K215" s="8" t="s">
        <v>208</v>
      </c>
      <c r="L215" s="8" t="s">
        <v>208</v>
      </c>
      <c r="M215" s="8" t="s">
        <v>208</v>
      </c>
      <c r="N215" s="8" t="s">
        <v>208</v>
      </c>
      <c r="O215" s="8" t="s">
        <v>208</v>
      </c>
      <c r="Q215" t="s">
        <v>1022</v>
      </c>
      <c r="R215" t="s">
        <v>1023</v>
      </c>
      <c r="S215" t="s">
        <v>1023</v>
      </c>
      <c r="T215" t="s">
        <v>1021</v>
      </c>
      <c r="U215" t="s">
        <v>1020</v>
      </c>
      <c r="V215" t="s">
        <v>14</v>
      </c>
      <c r="W215" t="s">
        <v>232</v>
      </c>
      <c r="X215" t="s">
        <v>232</v>
      </c>
      <c r="Y215" t="s">
        <v>765</v>
      </c>
      <c r="Z215" t="s">
        <v>765</v>
      </c>
      <c r="AA215" t="s">
        <v>11</v>
      </c>
      <c r="AB215" t="s">
        <v>857</v>
      </c>
      <c r="AC215" t="s">
        <v>857</v>
      </c>
      <c r="AD215" t="s">
        <v>216</v>
      </c>
      <c r="AE215" t="s">
        <v>11</v>
      </c>
      <c r="AG215" s="9" t="s">
        <v>221</v>
      </c>
      <c r="AH215" t="s">
        <v>219</v>
      </c>
      <c r="AI215" s="9" t="s">
        <v>218</v>
      </c>
      <c r="AJ215" s="9" t="s">
        <v>218</v>
      </c>
      <c r="AK215" t="s">
        <v>1008</v>
      </c>
      <c r="AL215" s="9" t="s">
        <v>218</v>
      </c>
      <c r="AM215" s="8" t="s">
        <v>221</v>
      </c>
      <c r="AN215" s="8" t="s">
        <v>221</v>
      </c>
      <c r="AO215" s="8" t="s">
        <v>222</v>
      </c>
      <c r="AP215" s="8">
        <v>0</v>
      </c>
      <c r="AQ215" s="8">
        <v>0</v>
      </c>
      <c r="AR215" s="8">
        <v>0</v>
      </c>
      <c r="AS215" s="8">
        <v>0</v>
      </c>
      <c r="AT215" s="8">
        <v>0</v>
      </c>
      <c r="AU215" s="8">
        <v>0</v>
      </c>
      <c r="AV215" s="8">
        <v>0</v>
      </c>
      <c r="AW215" s="8">
        <v>0</v>
      </c>
      <c r="AX215" s="8"/>
      <c r="AY215" s="8"/>
      <c r="BC215" t="s">
        <v>1024</v>
      </c>
    </row>
    <row r="216" spans="1:55">
      <c r="A216" s="6">
        <v>45752</v>
      </c>
      <c r="B216" s="7" t="s">
        <v>809</v>
      </c>
      <c r="C216" t="s">
        <v>205</v>
      </c>
      <c r="D216" t="s">
        <v>1025</v>
      </c>
      <c r="G216" t="s">
        <v>754</v>
      </c>
      <c r="H216" s="8" t="s">
        <v>208</v>
      </c>
      <c r="I216" s="8" t="s">
        <v>208</v>
      </c>
      <c r="J216" s="8" t="s">
        <v>208</v>
      </c>
      <c r="K216" s="8" t="s">
        <v>208</v>
      </c>
      <c r="L216" s="8" t="s">
        <v>208</v>
      </c>
      <c r="M216" s="8" t="s">
        <v>208</v>
      </c>
      <c r="N216" s="8" t="s">
        <v>208</v>
      </c>
      <c r="O216" s="8" t="s">
        <v>208</v>
      </c>
      <c r="Q216" t="s">
        <v>1026</v>
      </c>
      <c r="R216" t="s">
        <v>810</v>
      </c>
      <c r="S216" t="s">
        <v>810</v>
      </c>
      <c r="T216" t="s">
        <v>809</v>
      </c>
      <c r="U216" t="s">
        <v>139</v>
      </c>
      <c r="V216" t="s">
        <v>1027</v>
      </c>
      <c r="W216" t="s">
        <v>232</v>
      </c>
      <c r="X216" t="s">
        <v>232</v>
      </c>
      <c r="Y216" t="s">
        <v>233</v>
      </c>
      <c r="Z216" t="s">
        <v>233</v>
      </c>
      <c r="AA216" t="s">
        <v>776</v>
      </c>
      <c r="AB216" t="s">
        <v>242</v>
      </c>
      <c r="AC216" t="s">
        <v>242</v>
      </c>
      <c r="AD216" t="s">
        <v>216</v>
      </c>
      <c r="AE216" t="s">
        <v>11</v>
      </c>
      <c r="AG216" s="9" t="s">
        <v>221</v>
      </c>
      <c r="AH216" t="s">
        <v>219</v>
      </c>
      <c r="AI216" s="9" t="s">
        <v>218</v>
      </c>
      <c r="AJ216" s="9" t="s">
        <v>218</v>
      </c>
      <c r="AK216" t="s">
        <v>811</v>
      </c>
      <c r="AL216" s="9" t="s">
        <v>218</v>
      </c>
      <c r="AM216" s="8" t="s">
        <v>221</v>
      </c>
      <c r="AN216" s="8" t="s">
        <v>221</v>
      </c>
      <c r="AO216" s="8" t="s">
        <v>222</v>
      </c>
      <c r="AP216" s="8">
        <v>0</v>
      </c>
      <c r="AQ216" s="8">
        <v>0</v>
      </c>
      <c r="AR216" s="8">
        <v>0</v>
      </c>
      <c r="AS216" s="8">
        <v>0</v>
      </c>
      <c r="AT216" s="8">
        <v>0</v>
      </c>
      <c r="AU216" s="8">
        <v>0</v>
      </c>
      <c r="AV216" s="8">
        <v>0</v>
      </c>
      <c r="AW216" s="8">
        <v>0</v>
      </c>
      <c r="AX216" s="8"/>
      <c r="AY216" s="8"/>
      <c r="BB216" t="s">
        <v>1028</v>
      </c>
      <c r="BC216" t="s">
        <v>812</v>
      </c>
    </row>
    <row r="217" spans="1:55">
      <c r="A217" s="6">
        <v>45752</v>
      </c>
      <c r="B217" s="7" t="s">
        <v>1029</v>
      </c>
      <c r="C217" t="s">
        <v>205</v>
      </c>
      <c r="D217" t="s">
        <v>1025</v>
      </c>
      <c r="G217" t="s">
        <v>754</v>
      </c>
      <c r="H217" s="8" t="s">
        <v>208</v>
      </c>
      <c r="I217" s="8" t="s">
        <v>208</v>
      </c>
      <c r="J217" s="8" t="s">
        <v>208</v>
      </c>
      <c r="K217" s="8" t="s">
        <v>208</v>
      </c>
      <c r="L217" s="8" t="s">
        <v>208</v>
      </c>
      <c r="M217" s="8" t="s">
        <v>208</v>
      </c>
      <c r="N217" s="8" t="s">
        <v>208</v>
      </c>
      <c r="O217" s="8" t="s">
        <v>208</v>
      </c>
      <c r="Q217" t="s">
        <v>1030</v>
      </c>
      <c r="R217" t="s">
        <v>1031</v>
      </c>
      <c r="S217" t="s">
        <v>1031</v>
      </c>
      <c r="T217" t="s">
        <v>1029</v>
      </c>
      <c r="U217" t="s">
        <v>1032</v>
      </c>
      <c r="V217" t="s">
        <v>849</v>
      </c>
      <c r="W217" t="s">
        <v>232</v>
      </c>
      <c r="X217" t="s">
        <v>232</v>
      </c>
      <c r="Y217" t="s">
        <v>765</v>
      </c>
      <c r="Z217" t="s">
        <v>765</v>
      </c>
      <c r="AA217" t="s">
        <v>776</v>
      </c>
      <c r="AB217" t="s">
        <v>857</v>
      </c>
      <c r="AC217" t="s">
        <v>857</v>
      </c>
      <c r="AD217" t="s">
        <v>216</v>
      </c>
      <c r="AE217" t="s">
        <v>11</v>
      </c>
      <c r="AG217" s="9" t="s">
        <v>221</v>
      </c>
      <c r="AH217" t="s">
        <v>219</v>
      </c>
      <c r="AI217" s="9" t="s">
        <v>218</v>
      </c>
      <c r="AJ217" s="9" t="s">
        <v>218</v>
      </c>
      <c r="AK217" t="s">
        <v>1033</v>
      </c>
      <c r="AL217" s="9" t="s">
        <v>218</v>
      </c>
      <c r="AM217" s="8" t="s">
        <v>221</v>
      </c>
      <c r="AN217" s="8" t="s">
        <v>221</v>
      </c>
      <c r="AO217" s="8" t="s">
        <v>222</v>
      </c>
      <c r="AP217" s="8">
        <v>0</v>
      </c>
      <c r="AQ217" s="8">
        <v>0</v>
      </c>
      <c r="AR217" s="8">
        <v>0</v>
      </c>
      <c r="AS217" s="8">
        <v>0</v>
      </c>
      <c r="AT217" s="8">
        <v>0</v>
      </c>
      <c r="AU217" s="8">
        <v>0</v>
      </c>
      <c r="AV217" s="8">
        <v>0</v>
      </c>
      <c r="AW217" s="8">
        <v>0</v>
      </c>
      <c r="AX217" s="8"/>
      <c r="AY217" s="8"/>
      <c r="BC217" t="s">
        <v>1034</v>
      </c>
    </row>
    <row r="218" spans="1:55">
      <c r="A218" s="6">
        <v>45752</v>
      </c>
      <c r="B218" s="7" t="s">
        <v>1035</v>
      </c>
      <c r="C218" t="s">
        <v>205</v>
      </c>
      <c r="D218" t="s">
        <v>1025</v>
      </c>
      <c r="G218" t="s">
        <v>754</v>
      </c>
      <c r="H218" s="8" t="s">
        <v>208</v>
      </c>
      <c r="I218" s="8" t="s">
        <v>208</v>
      </c>
      <c r="J218" s="8" t="s">
        <v>208</v>
      </c>
      <c r="K218" s="8" t="s">
        <v>208</v>
      </c>
      <c r="L218" s="8" t="s">
        <v>208</v>
      </c>
      <c r="M218" s="8" t="s">
        <v>208</v>
      </c>
      <c r="N218" s="8" t="s">
        <v>208</v>
      </c>
      <c r="O218" s="8" t="s">
        <v>208</v>
      </c>
      <c r="Q218" t="s">
        <v>1036</v>
      </c>
      <c r="R218" t="s">
        <v>1037</v>
      </c>
      <c r="S218" t="s">
        <v>1037</v>
      </c>
      <c r="T218" t="s">
        <v>1035</v>
      </c>
      <c r="U218" t="s">
        <v>1038</v>
      </c>
      <c r="V218" t="s">
        <v>855</v>
      </c>
      <c r="W218" t="s">
        <v>232</v>
      </c>
      <c r="X218" t="s">
        <v>232</v>
      </c>
      <c r="Y218" t="s">
        <v>765</v>
      </c>
      <c r="Z218" t="s">
        <v>765</v>
      </c>
      <c r="AA218" t="s">
        <v>776</v>
      </c>
      <c r="AB218" t="s">
        <v>857</v>
      </c>
      <c r="AC218" t="s">
        <v>857</v>
      </c>
      <c r="AD218" t="s">
        <v>216</v>
      </c>
      <c r="AE218" t="s">
        <v>11</v>
      </c>
      <c r="AG218" s="9" t="s">
        <v>221</v>
      </c>
      <c r="AH218" t="s">
        <v>219</v>
      </c>
      <c r="AI218" s="9" t="s">
        <v>218</v>
      </c>
      <c r="AJ218" s="9" t="s">
        <v>218</v>
      </c>
      <c r="AK218" t="s">
        <v>1033</v>
      </c>
      <c r="AL218" s="9" t="s">
        <v>218</v>
      </c>
      <c r="AM218" s="8" t="s">
        <v>221</v>
      </c>
      <c r="AN218" s="8" t="s">
        <v>221</v>
      </c>
      <c r="AO218" s="8" t="s">
        <v>222</v>
      </c>
      <c r="AP218" s="8">
        <v>0</v>
      </c>
      <c r="AQ218" s="8">
        <v>0</v>
      </c>
      <c r="AR218" s="8">
        <v>0</v>
      </c>
      <c r="AS218" s="8">
        <v>0</v>
      </c>
      <c r="AT218" s="8">
        <v>0</v>
      </c>
      <c r="AU218" s="8">
        <v>0</v>
      </c>
      <c r="AV218" s="8">
        <v>0</v>
      </c>
      <c r="AW218" s="8">
        <v>0</v>
      </c>
      <c r="AX218" s="8"/>
      <c r="AY218" s="8"/>
      <c r="BC218" t="s">
        <v>1039</v>
      </c>
    </row>
    <row r="219" spans="1:55">
      <c r="A219" s="6">
        <v>45752</v>
      </c>
      <c r="B219" s="7" t="s">
        <v>1040</v>
      </c>
      <c r="C219" t="s">
        <v>205</v>
      </c>
      <c r="D219" t="s">
        <v>1025</v>
      </c>
      <c r="G219" t="s">
        <v>754</v>
      </c>
      <c r="H219" s="8" t="s">
        <v>208</v>
      </c>
      <c r="I219" s="8" t="s">
        <v>208</v>
      </c>
      <c r="J219" s="8" t="s">
        <v>208</v>
      </c>
      <c r="K219" s="8" t="s">
        <v>208</v>
      </c>
      <c r="L219" s="8" t="s">
        <v>208</v>
      </c>
      <c r="M219" s="8" t="s">
        <v>208</v>
      </c>
      <c r="N219" s="8" t="s">
        <v>208</v>
      </c>
      <c r="O219" s="8" t="s">
        <v>208</v>
      </c>
      <c r="Q219" t="s">
        <v>1041</v>
      </c>
      <c r="R219" t="s">
        <v>1042</v>
      </c>
      <c r="S219" t="s">
        <v>1042</v>
      </c>
      <c r="T219" t="s">
        <v>1040</v>
      </c>
      <c r="U219" t="s">
        <v>1043</v>
      </c>
      <c r="V219" t="s">
        <v>849</v>
      </c>
      <c r="W219" t="s">
        <v>232</v>
      </c>
      <c r="X219" t="s">
        <v>232</v>
      </c>
      <c r="Y219" t="s">
        <v>765</v>
      </c>
      <c r="Z219" t="s">
        <v>765</v>
      </c>
      <c r="AA219" t="s">
        <v>776</v>
      </c>
      <c r="AB219" t="s">
        <v>857</v>
      </c>
      <c r="AC219" t="s">
        <v>857</v>
      </c>
      <c r="AD219" t="s">
        <v>216</v>
      </c>
      <c r="AE219" t="s">
        <v>11</v>
      </c>
      <c r="AG219" s="9" t="s">
        <v>221</v>
      </c>
      <c r="AH219" t="s">
        <v>219</v>
      </c>
      <c r="AI219" s="9" t="s">
        <v>218</v>
      </c>
      <c r="AJ219" s="9" t="s">
        <v>218</v>
      </c>
      <c r="AK219" t="s">
        <v>1033</v>
      </c>
      <c r="AL219" s="9" t="s">
        <v>218</v>
      </c>
      <c r="AM219" s="8" t="s">
        <v>221</v>
      </c>
      <c r="AN219" s="8" t="s">
        <v>221</v>
      </c>
      <c r="AO219" s="8" t="s">
        <v>222</v>
      </c>
      <c r="AP219" s="8">
        <v>0</v>
      </c>
      <c r="AQ219" s="8">
        <v>0</v>
      </c>
      <c r="AR219" s="8">
        <v>0</v>
      </c>
      <c r="AS219" s="8">
        <v>0</v>
      </c>
      <c r="AT219" s="8">
        <v>0</v>
      </c>
      <c r="AU219" s="8">
        <v>0</v>
      </c>
      <c r="AV219" s="8">
        <v>0</v>
      </c>
      <c r="AW219" s="8">
        <v>0</v>
      </c>
      <c r="AX219" s="8"/>
      <c r="AY219" s="8"/>
      <c r="BC219" t="s">
        <v>1044</v>
      </c>
    </row>
    <row r="220" spans="1:55">
      <c r="A220" s="6">
        <v>45752</v>
      </c>
      <c r="B220" s="7" t="s">
        <v>1045</v>
      </c>
      <c r="C220" t="s">
        <v>205</v>
      </c>
      <c r="D220" t="s">
        <v>1046</v>
      </c>
      <c r="G220" t="s">
        <v>754</v>
      </c>
      <c r="H220" s="8" t="s">
        <v>208</v>
      </c>
      <c r="I220" s="8" t="s">
        <v>208</v>
      </c>
      <c r="J220" s="8" t="s">
        <v>208</v>
      </c>
      <c r="K220" s="8" t="s">
        <v>208</v>
      </c>
      <c r="L220" s="8" t="s">
        <v>208</v>
      </c>
      <c r="M220" s="8" t="s">
        <v>208</v>
      </c>
      <c r="N220" s="8" t="s">
        <v>208</v>
      </c>
      <c r="O220" s="8" t="s">
        <v>208</v>
      </c>
      <c r="Q220" t="s">
        <v>1047</v>
      </c>
      <c r="R220" t="s">
        <v>1048</v>
      </c>
      <c r="S220" t="s">
        <v>1048</v>
      </c>
      <c r="T220" t="s">
        <v>1045</v>
      </c>
      <c r="U220" t="s">
        <v>1049</v>
      </c>
      <c r="V220" t="s">
        <v>135</v>
      </c>
      <c r="W220" t="s">
        <v>212</v>
      </c>
      <c r="X220" t="s">
        <v>212</v>
      </c>
      <c r="Y220" t="s">
        <v>275</v>
      </c>
      <c r="Z220" t="s">
        <v>275</v>
      </c>
      <c r="AA220" t="s">
        <v>1050</v>
      </c>
      <c r="AB220" t="s">
        <v>701</v>
      </c>
      <c r="AC220" t="s">
        <v>701</v>
      </c>
      <c r="AD220" t="s">
        <v>216</v>
      </c>
      <c r="AE220" t="s">
        <v>11</v>
      </c>
      <c r="AG220" s="9" t="s">
        <v>221</v>
      </c>
      <c r="AH220" t="s">
        <v>219</v>
      </c>
      <c r="AI220" s="9" t="s">
        <v>218</v>
      </c>
      <c r="AJ220" s="9" t="s">
        <v>218</v>
      </c>
      <c r="AK220" t="s">
        <v>1051</v>
      </c>
      <c r="AL220" s="8" t="s">
        <v>221</v>
      </c>
      <c r="AM220" s="9" t="s">
        <v>218</v>
      </c>
      <c r="AN220" s="9" t="s">
        <v>218</v>
      </c>
      <c r="AO220" s="8" t="s">
        <v>222</v>
      </c>
      <c r="AP220" s="8">
        <v>0</v>
      </c>
      <c r="AQ220" s="8">
        <v>0</v>
      </c>
      <c r="AR220" s="9">
        <v>5</v>
      </c>
      <c r="AS220" s="8">
        <v>0</v>
      </c>
      <c r="AT220" s="8">
        <v>0</v>
      </c>
      <c r="AU220" s="8">
        <v>0</v>
      </c>
      <c r="AV220" s="8">
        <v>0</v>
      </c>
      <c r="AW220" s="9">
        <v>5</v>
      </c>
      <c r="AX220" s="8"/>
      <c r="AY220" s="8"/>
      <c r="AZ220">
        <v>4</v>
      </c>
      <c r="BA220" t="s">
        <v>224</v>
      </c>
      <c r="BB220" t="s">
        <v>1052</v>
      </c>
      <c r="BC220" t="s">
        <v>1053</v>
      </c>
    </row>
    <row r="221" spans="1:55">
      <c r="A221" s="6">
        <v>45752</v>
      </c>
      <c r="B221" s="7" t="s">
        <v>1054</v>
      </c>
      <c r="C221" t="s">
        <v>205</v>
      </c>
      <c r="D221" t="s">
        <v>1046</v>
      </c>
      <c r="G221" t="s">
        <v>754</v>
      </c>
      <c r="H221" s="8" t="s">
        <v>208</v>
      </c>
      <c r="I221" s="8" t="s">
        <v>208</v>
      </c>
      <c r="J221" s="8" t="s">
        <v>208</v>
      </c>
      <c r="K221" s="8" t="s">
        <v>208</v>
      </c>
      <c r="L221" s="8" t="s">
        <v>208</v>
      </c>
      <c r="M221" s="8" t="s">
        <v>208</v>
      </c>
      <c r="N221" s="8" t="s">
        <v>208</v>
      </c>
      <c r="O221" s="8" t="s">
        <v>208</v>
      </c>
      <c r="Q221" t="s">
        <v>1055</v>
      </c>
      <c r="R221" t="s">
        <v>1056</v>
      </c>
      <c r="S221" t="s">
        <v>1056</v>
      </c>
      <c r="T221" t="s">
        <v>1054</v>
      </c>
      <c r="U221" t="s">
        <v>1057</v>
      </c>
      <c r="V221" t="s">
        <v>135</v>
      </c>
      <c r="W221" t="s">
        <v>212</v>
      </c>
      <c r="X221" t="s">
        <v>212</v>
      </c>
      <c r="Y221" t="s">
        <v>275</v>
      </c>
      <c r="Z221" t="s">
        <v>275</v>
      </c>
      <c r="AA221" t="s">
        <v>1050</v>
      </c>
      <c r="AB221" t="s">
        <v>215</v>
      </c>
      <c r="AC221" t="s">
        <v>215</v>
      </c>
      <c r="AD221" t="s">
        <v>216</v>
      </c>
      <c r="AE221" t="s">
        <v>11</v>
      </c>
      <c r="AG221" s="9" t="s">
        <v>221</v>
      </c>
      <c r="AH221" t="s">
        <v>219</v>
      </c>
      <c r="AI221" s="9" t="s">
        <v>218</v>
      </c>
      <c r="AJ221" s="9" t="s">
        <v>218</v>
      </c>
      <c r="AK221" t="s">
        <v>1058</v>
      </c>
      <c r="AL221" s="8" t="s">
        <v>221</v>
      </c>
      <c r="AM221" s="9" t="s">
        <v>218</v>
      </c>
      <c r="AN221" s="9" t="s">
        <v>218</v>
      </c>
      <c r="AO221" s="8" t="s">
        <v>222</v>
      </c>
      <c r="AP221" s="8">
        <v>0</v>
      </c>
      <c r="AQ221" s="8">
        <v>0</v>
      </c>
      <c r="AR221" s="9">
        <v>6</v>
      </c>
      <c r="AS221" s="8">
        <v>0</v>
      </c>
      <c r="AT221" s="8">
        <v>0</v>
      </c>
      <c r="AU221" s="8">
        <v>0</v>
      </c>
      <c r="AV221" s="8">
        <v>0</v>
      </c>
      <c r="AW221" s="9">
        <v>6</v>
      </c>
      <c r="AX221" s="8"/>
      <c r="AY221" s="8"/>
      <c r="AZ221">
        <v>0</v>
      </c>
      <c r="BB221" t="s">
        <v>1059</v>
      </c>
      <c r="BC221" t="s">
        <v>1060</v>
      </c>
    </row>
    <row r="222" spans="1:55">
      <c r="A222" s="6">
        <v>45752</v>
      </c>
      <c r="B222" s="7" t="s">
        <v>1061</v>
      </c>
      <c r="C222" t="s">
        <v>205</v>
      </c>
      <c r="D222" t="s">
        <v>1046</v>
      </c>
      <c r="G222" t="s">
        <v>754</v>
      </c>
      <c r="H222" s="8" t="s">
        <v>208</v>
      </c>
      <c r="I222" s="8" t="s">
        <v>208</v>
      </c>
      <c r="J222" s="8" t="s">
        <v>208</v>
      </c>
      <c r="K222" s="8" t="s">
        <v>208</v>
      </c>
      <c r="L222" s="8" t="s">
        <v>208</v>
      </c>
      <c r="M222" s="8" t="s">
        <v>208</v>
      </c>
      <c r="N222" s="8" t="s">
        <v>208</v>
      </c>
      <c r="O222" s="8" t="s">
        <v>208</v>
      </c>
      <c r="Q222" t="s">
        <v>1062</v>
      </c>
      <c r="R222" t="s">
        <v>1063</v>
      </c>
      <c r="S222" t="s">
        <v>1063</v>
      </c>
      <c r="T222" t="s">
        <v>1061</v>
      </c>
      <c r="U222" t="s">
        <v>1064</v>
      </c>
      <c r="V222" t="s">
        <v>135</v>
      </c>
      <c r="W222" t="s">
        <v>212</v>
      </c>
      <c r="X222" t="s">
        <v>212</v>
      </c>
      <c r="Y222" t="s">
        <v>275</v>
      </c>
      <c r="Z222" t="s">
        <v>275</v>
      </c>
      <c r="AA222" t="s">
        <v>1050</v>
      </c>
      <c r="AB222" t="s">
        <v>701</v>
      </c>
      <c r="AC222" t="s">
        <v>701</v>
      </c>
      <c r="AD222" t="s">
        <v>216</v>
      </c>
      <c r="AE222" t="s">
        <v>11</v>
      </c>
      <c r="AG222" s="9" t="s">
        <v>221</v>
      </c>
      <c r="AH222" t="s">
        <v>219</v>
      </c>
      <c r="AI222" s="9" t="s">
        <v>218</v>
      </c>
      <c r="AJ222" s="9" t="s">
        <v>218</v>
      </c>
      <c r="AK222" t="s">
        <v>1065</v>
      </c>
      <c r="AL222" s="8" t="s">
        <v>221</v>
      </c>
      <c r="AM222" s="9" t="s">
        <v>218</v>
      </c>
      <c r="AN222" s="9" t="s">
        <v>218</v>
      </c>
      <c r="AO222" s="8" t="s">
        <v>222</v>
      </c>
      <c r="AP222" s="8">
        <v>0</v>
      </c>
      <c r="AQ222" s="8">
        <v>0</v>
      </c>
      <c r="AR222" s="9">
        <v>4</v>
      </c>
      <c r="AS222" s="8">
        <v>0</v>
      </c>
      <c r="AT222" s="8">
        <v>0</v>
      </c>
      <c r="AU222" s="8">
        <v>0</v>
      </c>
      <c r="AV222" s="8">
        <v>0</v>
      </c>
      <c r="AW222" s="9">
        <v>4</v>
      </c>
      <c r="AX222" s="8"/>
      <c r="AY222" s="8"/>
      <c r="AZ222">
        <v>4</v>
      </c>
      <c r="BA222" t="s">
        <v>224</v>
      </c>
      <c r="BB222" t="s">
        <v>1066</v>
      </c>
      <c r="BC222" t="s">
        <v>1067</v>
      </c>
    </row>
    <row r="223" spans="1:55">
      <c r="A223" s="6">
        <v>45765</v>
      </c>
      <c r="B223" s="7" t="s">
        <v>851</v>
      </c>
      <c r="C223" t="s">
        <v>205</v>
      </c>
      <c r="D223" t="s">
        <v>1068</v>
      </c>
      <c r="G223" t="s">
        <v>754</v>
      </c>
      <c r="H223" s="8" t="s">
        <v>208</v>
      </c>
      <c r="I223" s="8" t="s">
        <v>208</v>
      </c>
      <c r="J223" s="8" t="s">
        <v>208</v>
      </c>
      <c r="K223" s="8" t="s">
        <v>208</v>
      </c>
      <c r="L223" s="8" t="s">
        <v>208</v>
      </c>
      <c r="M223" s="8" t="s">
        <v>208</v>
      </c>
      <c r="N223" s="8" t="s">
        <v>208</v>
      </c>
      <c r="O223" s="8" t="s">
        <v>208</v>
      </c>
      <c r="Q223" t="s">
        <v>852</v>
      </c>
      <c r="R223" t="s">
        <v>853</v>
      </c>
      <c r="S223" t="s">
        <v>853</v>
      </c>
      <c r="T223" t="s">
        <v>851</v>
      </c>
      <c r="U223" t="s">
        <v>854</v>
      </c>
      <c r="V223" t="s">
        <v>855</v>
      </c>
      <c r="W223" t="s">
        <v>774</v>
      </c>
      <c r="Y223" t="s">
        <v>775</v>
      </c>
      <c r="AA223" t="s">
        <v>776</v>
      </c>
      <c r="AB223" t="s">
        <v>312</v>
      </c>
      <c r="AD223" t="s">
        <v>216</v>
      </c>
      <c r="AG223" s="8" t="s">
        <v>218</v>
      </c>
      <c r="AI223" s="9" t="s">
        <v>218</v>
      </c>
      <c r="AJ223" s="9" t="s">
        <v>218</v>
      </c>
      <c r="AK223" t="s">
        <v>858</v>
      </c>
      <c r="AL223" s="9" t="s">
        <v>218</v>
      </c>
      <c r="AM223" s="8" t="s">
        <v>221</v>
      </c>
      <c r="AN223" s="8" t="s">
        <v>221</v>
      </c>
      <c r="AO223" s="8" t="s">
        <v>222</v>
      </c>
      <c r="AP223" s="8">
        <v>0</v>
      </c>
      <c r="AQ223" s="8">
        <v>0</v>
      </c>
      <c r="AR223" s="8">
        <v>0</v>
      </c>
      <c r="AS223" s="8">
        <v>0</v>
      </c>
      <c r="AT223" s="8">
        <v>0</v>
      </c>
      <c r="AU223" s="8">
        <v>0</v>
      </c>
      <c r="AV223" s="8">
        <v>0</v>
      </c>
      <c r="AW223" s="8">
        <v>0</v>
      </c>
      <c r="AX223" s="8"/>
      <c r="AY223" s="8"/>
      <c r="BC223" t="s">
        <v>859</v>
      </c>
    </row>
    <row r="224" spans="1:55">
      <c r="A224" s="6">
        <v>45765</v>
      </c>
      <c r="B224" s="7" t="s">
        <v>860</v>
      </c>
      <c r="C224" t="s">
        <v>205</v>
      </c>
      <c r="D224" t="s">
        <v>1068</v>
      </c>
      <c r="G224" t="s">
        <v>754</v>
      </c>
      <c r="H224" s="8" t="s">
        <v>208</v>
      </c>
      <c r="I224" s="8" t="s">
        <v>208</v>
      </c>
      <c r="J224" s="8" t="s">
        <v>208</v>
      </c>
      <c r="K224" s="8" t="s">
        <v>208</v>
      </c>
      <c r="L224" s="8" t="s">
        <v>208</v>
      </c>
      <c r="M224" s="8" t="s">
        <v>208</v>
      </c>
      <c r="N224" s="8" t="s">
        <v>208</v>
      </c>
      <c r="O224" s="8" t="s">
        <v>208</v>
      </c>
      <c r="Q224" t="s">
        <v>861</v>
      </c>
      <c r="R224" t="s">
        <v>862</v>
      </c>
      <c r="S224" t="s">
        <v>862</v>
      </c>
      <c r="T224" t="s">
        <v>860</v>
      </c>
      <c r="U224" t="s">
        <v>863</v>
      </c>
      <c r="V224" t="s">
        <v>855</v>
      </c>
      <c r="W224" t="s">
        <v>774</v>
      </c>
      <c r="Y224" t="s">
        <v>775</v>
      </c>
      <c r="AA224" t="s">
        <v>776</v>
      </c>
      <c r="AB224" t="s">
        <v>312</v>
      </c>
      <c r="AD224" t="s">
        <v>216</v>
      </c>
      <c r="AG224" s="8" t="s">
        <v>218</v>
      </c>
      <c r="AI224" s="9" t="s">
        <v>218</v>
      </c>
      <c r="AJ224" s="9" t="s">
        <v>218</v>
      </c>
      <c r="AK224" t="s">
        <v>858</v>
      </c>
      <c r="AL224" s="9" t="s">
        <v>218</v>
      </c>
      <c r="AM224" s="8" t="s">
        <v>221</v>
      </c>
      <c r="AN224" s="8" t="s">
        <v>221</v>
      </c>
      <c r="AO224" s="8" t="s">
        <v>222</v>
      </c>
      <c r="AP224" s="8">
        <v>0</v>
      </c>
      <c r="AQ224" s="8">
        <v>0</v>
      </c>
      <c r="AR224" s="8">
        <v>0</v>
      </c>
      <c r="AS224" s="8">
        <v>0</v>
      </c>
      <c r="AT224" s="8">
        <v>0</v>
      </c>
      <c r="AU224" s="8">
        <v>0</v>
      </c>
      <c r="AV224" s="8">
        <v>0</v>
      </c>
      <c r="AW224" s="8">
        <v>0</v>
      </c>
      <c r="AX224" s="8"/>
      <c r="AY224" s="8"/>
      <c r="BC224" t="s">
        <v>864</v>
      </c>
    </row>
    <row r="225" spans="1:55">
      <c r="A225" s="6">
        <v>45765</v>
      </c>
      <c r="B225" s="7" t="s">
        <v>865</v>
      </c>
      <c r="C225" t="s">
        <v>205</v>
      </c>
      <c r="D225" t="s">
        <v>1068</v>
      </c>
      <c r="G225" t="s">
        <v>754</v>
      </c>
      <c r="H225" s="8" t="s">
        <v>208</v>
      </c>
      <c r="I225" s="8" t="s">
        <v>208</v>
      </c>
      <c r="J225" s="8" t="s">
        <v>208</v>
      </c>
      <c r="K225" s="8" t="s">
        <v>208</v>
      </c>
      <c r="L225" s="8" t="s">
        <v>208</v>
      </c>
      <c r="M225" s="8" t="s">
        <v>208</v>
      </c>
      <c r="N225" s="8" t="s">
        <v>208</v>
      </c>
      <c r="O225" s="8" t="s">
        <v>208</v>
      </c>
      <c r="Q225" t="s">
        <v>866</v>
      </c>
      <c r="R225" t="s">
        <v>867</v>
      </c>
      <c r="S225" t="s">
        <v>867</v>
      </c>
      <c r="T225" t="s">
        <v>865</v>
      </c>
      <c r="U225" t="s">
        <v>868</v>
      </c>
      <c r="V225" t="s">
        <v>855</v>
      </c>
      <c r="W225" t="s">
        <v>774</v>
      </c>
      <c r="Y225" t="s">
        <v>775</v>
      </c>
      <c r="AA225" t="s">
        <v>776</v>
      </c>
      <c r="AB225" t="s">
        <v>312</v>
      </c>
      <c r="AD225" t="s">
        <v>216</v>
      </c>
      <c r="AG225" s="8" t="s">
        <v>218</v>
      </c>
      <c r="AI225" s="9" t="s">
        <v>218</v>
      </c>
      <c r="AJ225" s="9" t="s">
        <v>218</v>
      </c>
      <c r="AK225" t="s">
        <v>869</v>
      </c>
      <c r="AL225" s="9" t="s">
        <v>218</v>
      </c>
      <c r="AM225" s="8" t="s">
        <v>221</v>
      </c>
      <c r="AN225" s="8" t="s">
        <v>221</v>
      </c>
      <c r="AO225" s="8" t="s">
        <v>222</v>
      </c>
      <c r="AP225" s="8">
        <v>0</v>
      </c>
      <c r="AQ225" s="8">
        <v>0</v>
      </c>
      <c r="AR225" s="8">
        <v>0</v>
      </c>
      <c r="AS225" s="8">
        <v>0</v>
      </c>
      <c r="AT225" s="8">
        <v>0</v>
      </c>
      <c r="AU225" s="8">
        <v>0</v>
      </c>
      <c r="AV225" s="8">
        <v>0</v>
      </c>
      <c r="AW225" s="8">
        <v>0</v>
      </c>
      <c r="AX225" s="8"/>
      <c r="AY225" s="8"/>
      <c r="BC225" t="s">
        <v>870</v>
      </c>
    </row>
    <row r="226" spans="1:55">
      <c r="A226" s="6">
        <v>45765</v>
      </c>
      <c r="B226" s="7" t="s">
        <v>871</v>
      </c>
      <c r="C226" t="s">
        <v>205</v>
      </c>
      <c r="D226" t="s">
        <v>1068</v>
      </c>
      <c r="G226" t="s">
        <v>754</v>
      </c>
      <c r="H226" s="8" t="s">
        <v>208</v>
      </c>
      <c r="I226" s="8" t="s">
        <v>208</v>
      </c>
      <c r="J226" s="8" t="s">
        <v>208</v>
      </c>
      <c r="K226" s="8" t="s">
        <v>208</v>
      </c>
      <c r="L226" s="8" t="s">
        <v>208</v>
      </c>
      <c r="M226" s="8" t="s">
        <v>208</v>
      </c>
      <c r="N226" s="8" t="s">
        <v>208</v>
      </c>
      <c r="O226" s="8" t="s">
        <v>208</v>
      </c>
      <c r="Q226" t="s">
        <v>872</v>
      </c>
      <c r="R226" t="s">
        <v>873</v>
      </c>
      <c r="S226" t="s">
        <v>873</v>
      </c>
      <c r="T226" t="s">
        <v>871</v>
      </c>
      <c r="U226" t="s">
        <v>874</v>
      </c>
      <c r="V226" t="s">
        <v>855</v>
      </c>
      <c r="W226" t="s">
        <v>774</v>
      </c>
      <c r="Y226" t="s">
        <v>775</v>
      </c>
      <c r="AA226" t="s">
        <v>776</v>
      </c>
      <c r="AB226" t="s">
        <v>312</v>
      </c>
      <c r="AD226" t="s">
        <v>216</v>
      </c>
      <c r="AG226" s="8" t="s">
        <v>218</v>
      </c>
      <c r="AI226" s="9" t="s">
        <v>218</v>
      </c>
      <c r="AJ226" s="9" t="s">
        <v>218</v>
      </c>
      <c r="AK226" t="s">
        <v>869</v>
      </c>
      <c r="AL226" s="9" t="s">
        <v>218</v>
      </c>
      <c r="AM226" s="8" t="s">
        <v>221</v>
      </c>
      <c r="AN226" s="8" t="s">
        <v>221</v>
      </c>
      <c r="AO226" s="8" t="s">
        <v>222</v>
      </c>
      <c r="AP226" s="8">
        <v>0</v>
      </c>
      <c r="AQ226" s="8">
        <v>0</v>
      </c>
      <c r="AR226" s="8">
        <v>0</v>
      </c>
      <c r="AS226" s="8">
        <v>0</v>
      </c>
      <c r="AT226" s="8">
        <v>0</v>
      </c>
      <c r="AU226" s="8">
        <v>0</v>
      </c>
      <c r="AV226" s="8">
        <v>0</v>
      </c>
      <c r="AW226" s="8">
        <v>0</v>
      </c>
      <c r="AX226" s="8"/>
      <c r="AY226" s="8"/>
      <c r="BC226" t="s">
        <v>875</v>
      </c>
    </row>
    <row r="227" spans="1:55">
      <c r="A227" s="6">
        <v>45765</v>
      </c>
      <c r="B227" s="7" t="s">
        <v>876</v>
      </c>
      <c r="C227" t="s">
        <v>205</v>
      </c>
      <c r="D227" t="s">
        <v>1068</v>
      </c>
      <c r="G227" t="s">
        <v>754</v>
      </c>
      <c r="H227" s="8" t="s">
        <v>208</v>
      </c>
      <c r="I227" s="8" t="s">
        <v>208</v>
      </c>
      <c r="J227" s="8" t="s">
        <v>208</v>
      </c>
      <c r="K227" s="8" t="s">
        <v>208</v>
      </c>
      <c r="L227" s="8" t="s">
        <v>208</v>
      </c>
      <c r="M227" s="8" t="s">
        <v>208</v>
      </c>
      <c r="N227" s="8" t="s">
        <v>208</v>
      </c>
      <c r="O227" s="8" t="s">
        <v>208</v>
      </c>
      <c r="Q227" t="s">
        <v>877</v>
      </c>
      <c r="R227" t="s">
        <v>878</v>
      </c>
      <c r="S227" t="s">
        <v>878</v>
      </c>
      <c r="T227" t="s">
        <v>876</v>
      </c>
      <c r="U227" t="s">
        <v>879</v>
      </c>
      <c r="V227" t="s">
        <v>855</v>
      </c>
      <c r="W227" t="s">
        <v>774</v>
      </c>
      <c r="Y227" t="s">
        <v>775</v>
      </c>
      <c r="AA227" t="s">
        <v>776</v>
      </c>
      <c r="AB227" t="s">
        <v>312</v>
      </c>
      <c r="AD227" t="s">
        <v>216</v>
      </c>
      <c r="AG227" s="8" t="s">
        <v>218</v>
      </c>
      <c r="AI227" s="9" t="s">
        <v>218</v>
      </c>
      <c r="AJ227" s="9" t="s">
        <v>218</v>
      </c>
      <c r="AK227" t="s">
        <v>880</v>
      </c>
      <c r="AL227" s="9" t="s">
        <v>218</v>
      </c>
      <c r="AM227" s="8" t="s">
        <v>221</v>
      </c>
      <c r="AN227" s="8" t="s">
        <v>221</v>
      </c>
      <c r="AO227" s="8" t="s">
        <v>222</v>
      </c>
      <c r="AP227" s="8">
        <v>0</v>
      </c>
      <c r="AQ227" s="8">
        <v>0</v>
      </c>
      <c r="AR227" s="8">
        <v>0</v>
      </c>
      <c r="AS227" s="8">
        <v>0</v>
      </c>
      <c r="AT227" s="8">
        <v>0</v>
      </c>
      <c r="AU227" s="8">
        <v>0</v>
      </c>
      <c r="AV227" s="8">
        <v>0</v>
      </c>
      <c r="AW227" s="8">
        <v>0</v>
      </c>
      <c r="AX227" s="8"/>
      <c r="AY227" s="8"/>
      <c r="BC227" t="s">
        <v>881</v>
      </c>
    </row>
    <row r="228" spans="1:55">
      <c r="A228" s="6">
        <v>45765</v>
      </c>
      <c r="B228" s="7" t="s">
        <v>882</v>
      </c>
      <c r="C228" t="s">
        <v>205</v>
      </c>
      <c r="D228" t="s">
        <v>1068</v>
      </c>
      <c r="G228" t="s">
        <v>754</v>
      </c>
      <c r="H228" s="8" t="s">
        <v>208</v>
      </c>
      <c r="I228" s="8" t="s">
        <v>208</v>
      </c>
      <c r="J228" s="8" t="s">
        <v>208</v>
      </c>
      <c r="K228" s="8" t="s">
        <v>208</v>
      </c>
      <c r="L228" s="8" t="s">
        <v>208</v>
      </c>
      <c r="M228" s="8" t="s">
        <v>208</v>
      </c>
      <c r="N228" s="8" t="s">
        <v>208</v>
      </c>
      <c r="O228" s="8" t="s">
        <v>208</v>
      </c>
      <c r="Q228" t="s">
        <v>883</v>
      </c>
      <c r="R228" t="s">
        <v>884</v>
      </c>
      <c r="S228" t="s">
        <v>884</v>
      </c>
      <c r="T228" t="s">
        <v>882</v>
      </c>
      <c r="U228" t="s">
        <v>885</v>
      </c>
      <c r="V228" t="s">
        <v>855</v>
      </c>
      <c r="W228" t="s">
        <v>774</v>
      </c>
      <c r="Y228" t="s">
        <v>775</v>
      </c>
      <c r="AA228" t="s">
        <v>776</v>
      </c>
      <c r="AB228" t="s">
        <v>312</v>
      </c>
      <c r="AD228" t="s">
        <v>216</v>
      </c>
      <c r="AG228" s="8" t="s">
        <v>218</v>
      </c>
      <c r="AI228" s="9" t="s">
        <v>218</v>
      </c>
      <c r="AJ228" s="9" t="s">
        <v>218</v>
      </c>
      <c r="AK228" t="s">
        <v>869</v>
      </c>
      <c r="AL228" s="9" t="s">
        <v>218</v>
      </c>
      <c r="AM228" s="8" t="s">
        <v>221</v>
      </c>
      <c r="AN228" s="8" t="s">
        <v>221</v>
      </c>
      <c r="AO228" s="8" t="s">
        <v>222</v>
      </c>
      <c r="AP228" s="8">
        <v>0</v>
      </c>
      <c r="AQ228" s="8">
        <v>0</v>
      </c>
      <c r="AR228" s="8">
        <v>0</v>
      </c>
      <c r="AS228" s="8">
        <v>0</v>
      </c>
      <c r="AT228" s="8">
        <v>0</v>
      </c>
      <c r="AU228" s="8">
        <v>0</v>
      </c>
      <c r="AV228" s="8">
        <v>0</v>
      </c>
      <c r="AW228" s="8">
        <v>0</v>
      </c>
      <c r="AX228" s="8"/>
      <c r="AY228" s="8"/>
      <c r="BC228" t="s">
        <v>886</v>
      </c>
    </row>
    <row r="229" spans="1:55">
      <c r="A229" s="6">
        <v>45765</v>
      </c>
      <c r="B229" s="7" t="s">
        <v>887</v>
      </c>
      <c r="C229" t="s">
        <v>205</v>
      </c>
      <c r="D229" t="s">
        <v>1068</v>
      </c>
      <c r="G229" t="s">
        <v>754</v>
      </c>
      <c r="H229" s="8" t="s">
        <v>208</v>
      </c>
      <c r="I229" s="8" t="s">
        <v>208</v>
      </c>
      <c r="J229" s="8" t="s">
        <v>208</v>
      </c>
      <c r="K229" s="8" t="s">
        <v>208</v>
      </c>
      <c r="L229" s="8" t="s">
        <v>208</v>
      </c>
      <c r="M229" s="8" t="s">
        <v>208</v>
      </c>
      <c r="N229" s="8" t="s">
        <v>208</v>
      </c>
      <c r="O229" s="8" t="s">
        <v>208</v>
      </c>
      <c r="Q229" t="s">
        <v>888</v>
      </c>
      <c r="R229" t="s">
        <v>889</v>
      </c>
      <c r="S229" t="s">
        <v>889</v>
      </c>
      <c r="T229" t="s">
        <v>887</v>
      </c>
      <c r="U229" t="s">
        <v>890</v>
      </c>
      <c r="V229" t="s">
        <v>855</v>
      </c>
      <c r="W229" t="s">
        <v>774</v>
      </c>
      <c r="Y229" t="s">
        <v>775</v>
      </c>
      <c r="AA229" t="s">
        <v>776</v>
      </c>
      <c r="AB229" t="s">
        <v>312</v>
      </c>
      <c r="AD229" t="s">
        <v>216</v>
      </c>
      <c r="AG229" s="8" t="s">
        <v>218</v>
      </c>
      <c r="AI229" s="9" t="s">
        <v>218</v>
      </c>
      <c r="AJ229" s="9" t="s">
        <v>218</v>
      </c>
      <c r="AK229" t="s">
        <v>869</v>
      </c>
      <c r="AL229" s="9" t="s">
        <v>218</v>
      </c>
      <c r="AM229" s="8" t="s">
        <v>221</v>
      </c>
      <c r="AN229" s="8" t="s">
        <v>221</v>
      </c>
      <c r="AO229" s="8" t="s">
        <v>222</v>
      </c>
      <c r="AP229" s="8">
        <v>0</v>
      </c>
      <c r="AQ229" s="8">
        <v>0</v>
      </c>
      <c r="AR229" s="8">
        <v>0</v>
      </c>
      <c r="AS229" s="8">
        <v>0</v>
      </c>
      <c r="AT229" s="8">
        <v>0</v>
      </c>
      <c r="AU229" s="8">
        <v>0</v>
      </c>
      <c r="AV229" s="8">
        <v>0</v>
      </c>
      <c r="AW229" s="8">
        <v>0</v>
      </c>
      <c r="AX229" s="8"/>
      <c r="AY229" s="8"/>
      <c r="BC229" t="s">
        <v>891</v>
      </c>
    </row>
    <row r="230" spans="1:55">
      <c r="A230" s="6">
        <v>45765</v>
      </c>
      <c r="B230" s="7" t="s">
        <v>892</v>
      </c>
      <c r="C230" t="s">
        <v>205</v>
      </c>
      <c r="D230" t="s">
        <v>1068</v>
      </c>
      <c r="G230" t="s">
        <v>754</v>
      </c>
      <c r="H230" s="8" t="s">
        <v>208</v>
      </c>
      <c r="I230" s="8" t="s">
        <v>208</v>
      </c>
      <c r="J230" s="8" t="s">
        <v>208</v>
      </c>
      <c r="K230" s="8" t="s">
        <v>208</v>
      </c>
      <c r="L230" s="8" t="s">
        <v>208</v>
      </c>
      <c r="M230" s="8" t="s">
        <v>208</v>
      </c>
      <c r="N230" s="8" t="s">
        <v>208</v>
      </c>
      <c r="O230" s="8" t="s">
        <v>208</v>
      </c>
      <c r="Q230" t="s">
        <v>893</v>
      </c>
      <c r="R230" t="s">
        <v>894</v>
      </c>
      <c r="S230" t="s">
        <v>894</v>
      </c>
      <c r="T230" t="s">
        <v>892</v>
      </c>
      <c r="U230" t="s">
        <v>895</v>
      </c>
      <c r="V230" t="s">
        <v>855</v>
      </c>
      <c r="W230" t="s">
        <v>774</v>
      </c>
      <c r="Y230" t="s">
        <v>775</v>
      </c>
      <c r="AA230" t="s">
        <v>776</v>
      </c>
      <c r="AB230" t="s">
        <v>312</v>
      </c>
      <c r="AD230" t="s">
        <v>216</v>
      </c>
      <c r="AG230" s="8" t="s">
        <v>218</v>
      </c>
      <c r="AI230" s="9" t="s">
        <v>218</v>
      </c>
      <c r="AJ230" s="9" t="s">
        <v>218</v>
      </c>
      <c r="AK230" t="s">
        <v>869</v>
      </c>
      <c r="AL230" s="9" t="s">
        <v>218</v>
      </c>
      <c r="AM230" s="8" t="s">
        <v>221</v>
      </c>
      <c r="AN230" s="8" t="s">
        <v>221</v>
      </c>
      <c r="AO230" s="8" t="s">
        <v>222</v>
      </c>
      <c r="AP230" s="8">
        <v>0</v>
      </c>
      <c r="AQ230" s="8">
        <v>0</v>
      </c>
      <c r="AR230" s="8">
        <v>0</v>
      </c>
      <c r="AS230" s="8">
        <v>0</v>
      </c>
      <c r="AT230" s="8">
        <v>0</v>
      </c>
      <c r="AU230" s="8">
        <v>0</v>
      </c>
      <c r="AV230" s="8">
        <v>0</v>
      </c>
      <c r="AW230" s="8">
        <v>0</v>
      </c>
      <c r="AX230" s="8"/>
      <c r="AY230" s="8"/>
      <c r="BC230" t="s">
        <v>896</v>
      </c>
    </row>
    <row r="231" spans="1:55">
      <c r="A231" s="6">
        <v>45765</v>
      </c>
      <c r="B231" s="7" t="s">
        <v>897</v>
      </c>
      <c r="C231" t="s">
        <v>205</v>
      </c>
      <c r="D231" t="s">
        <v>1068</v>
      </c>
      <c r="G231" t="s">
        <v>754</v>
      </c>
      <c r="H231" s="8" t="s">
        <v>208</v>
      </c>
      <c r="I231" s="8" t="s">
        <v>208</v>
      </c>
      <c r="J231" s="8" t="s">
        <v>208</v>
      </c>
      <c r="K231" s="8" t="s">
        <v>208</v>
      </c>
      <c r="L231" s="8" t="s">
        <v>208</v>
      </c>
      <c r="M231" s="8" t="s">
        <v>208</v>
      </c>
      <c r="N231" s="8" t="s">
        <v>208</v>
      </c>
      <c r="O231" s="8" t="s">
        <v>208</v>
      </c>
      <c r="Q231" t="s">
        <v>898</v>
      </c>
      <c r="R231" t="s">
        <v>899</v>
      </c>
      <c r="S231" t="s">
        <v>899</v>
      </c>
      <c r="T231" t="s">
        <v>897</v>
      </c>
      <c r="U231" t="s">
        <v>900</v>
      </c>
      <c r="V231" t="s">
        <v>855</v>
      </c>
      <c r="W231" t="s">
        <v>774</v>
      </c>
      <c r="Y231" t="s">
        <v>775</v>
      </c>
      <c r="AA231" t="s">
        <v>776</v>
      </c>
      <c r="AB231" t="s">
        <v>312</v>
      </c>
      <c r="AD231" t="s">
        <v>216</v>
      </c>
      <c r="AG231" s="8" t="s">
        <v>218</v>
      </c>
      <c r="AI231" s="9" t="s">
        <v>218</v>
      </c>
      <c r="AJ231" s="9" t="s">
        <v>218</v>
      </c>
      <c r="AK231" t="s">
        <v>869</v>
      </c>
      <c r="AL231" s="9" t="s">
        <v>218</v>
      </c>
      <c r="AM231" s="8" t="s">
        <v>221</v>
      </c>
      <c r="AN231" s="8" t="s">
        <v>221</v>
      </c>
      <c r="AO231" s="8" t="s">
        <v>222</v>
      </c>
      <c r="AP231" s="8">
        <v>0</v>
      </c>
      <c r="AQ231" s="8">
        <v>0</v>
      </c>
      <c r="AR231" s="8">
        <v>0</v>
      </c>
      <c r="AS231" s="8">
        <v>0</v>
      </c>
      <c r="AT231" s="8">
        <v>0</v>
      </c>
      <c r="AU231" s="8">
        <v>0</v>
      </c>
      <c r="AV231" s="8">
        <v>0</v>
      </c>
      <c r="AW231" s="8">
        <v>0</v>
      </c>
      <c r="AX231" s="8"/>
      <c r="AY231" s="8"/>
      <c r="BC231" t="s">
        <v>901</v>
      </c>
    </row>
    <row r="232" spans="1:55">
      <c r="A232" s="6">
        <v>45765</v>
      </c>
      <c r="B232" s="7" t="s">
        <v>902</v>
      </c>
      <c r="C232" t="s">
        <v>205</v>
      </c>
      <c r="D232" t="s">
        <v>1068</v>
      </c>
      <c r="G232" t="s">
        <v>754</v>
      </c>
      <c r="H232" s="8" t="s">
        <v>208</v>
      </c>
      <c r="I232" s="8" t="s">
        <v>208</v>
      </c>
      <c r="J232" s="8" t="s">
        <v>208</v>
      </c>
      <c r="K232" s="8" t="s">
        <v>208</v>
      </c>
      <c r="L232" s="8" t="s">
        <v>208</v>
      </c>
      <c r="M232" s="8" t="s">
        <v>208</v>
      </c>
      <c r="N232" s="8" t="s">
        <v>208</v>
      </c>
      <c r="O232" s="8" t="s">
        <v>208</v>
      </c>
      <c r="Q232" t="s">
        <v>903</v>
      </c>
      <c r="R232" t="s">
        <v>904</v>
      </c>
      <c r="S232" t="s">
        <v>904</v>
      </c>
      <c r="T232" t="s">
        <v>902</v>
      </c>
      <c r="U232" t="s">
        <v>885</v>
      </c>
      <c r="V232" t="s">
        <v>855</v>
      </c>
      <c r="W232" t="s">
        <v>774</v>
      </c>
      <c r="Y232" t="s">
        <v>775</v>
      </c>
      <c r="AA232" t="s">
        <v>776</v>
      </c>
      <c r="AB232" t="s">
        <v>312</v>
      </c>
      <c r="AD232" t="s">
        <v>216</v>
      </c>
      <c r="AG232" s="8" t="s">
        <v>218</v>
      </c>
      <c r="AI232" s="9" t="s">
        <v>218</v>
      </c>
      <c r="AJ232" s="9" t="s">
        <v>218</v>
      </c>
      <c r="AK232" t="s">
        <v>869</v>
      </c>
      <c r="AL232" s="9" t="s">
        <v>218</v>
      </c>
      <c r="AM232" s="8" t="s">
        <v>221</v>
      </c>
      <c r="AN232" s="8" t="s">
        <v>221</v>
      </c>
      <c r="AO232" s="8" t="s">
        <v>222</v>
      </c>
      <c r="AP232" s="8">
        <v>0</v>
      </c>
      <c r="AQ232" s="8">
        <v>0</v>
      </c>
      <c r="AR232" s="8">
        <v>0</v>
      </c>
      <c r="AS232" s="8">
        <v>0</v>
      </c>
      <c r="AT232" s="8">
        <v>0</v>
      </c>
      <c r="AU232" s="8">
        <v>0</v>
      </c>
      <c r="AV232" s="8">
        <v>0</v>
      </c>
      <c r="AW232" s="8">
        <v>0</v>
      </c>
      <c r="AX232" s="8"/>
      <c r="AY232" s="8"/>
      <c r="BC232" t="s">
        <v>905</v>
      </c>
    </row>
    <row r="233" spans="1:55">
      <c r="A233" s="6">
        <v>45765</v>
      </c>
      <c r="B233" s="7" t="s">
        <v>906</v>
      </c>
      <c r="C233" t="s">
        <v>205</v>
      </c>
      <c r="D233" t="s">
        <v>1068</v>
      </c>
      <c r="G233" t="s">
        <v>754</v>
      </c>
      <c r="H233" s="8" t="s">
        <v>208</v>
      </c>
      <c r="I233" s="8" t="s">
        <v>208</v>
      </c>
      <c r="J233" s="8" t="s">
        <v>208</v>
      </c>
      <c r="K233" s="8" t="s">
        <v>208</v>
      </c>
      <c r="L233" s="8" t="s">
        <v>208</v>
      </c>
      <c r="M233" s="8" t="s">
        <v>208</v>
      </c>
      <c r="N233" s="8" t="s">
        <v>208</v>
      </c>
      <c r="O233" s="8" t="s">
        <v>208</v>
      </c>
      <c r="Q233" t="s">
        <v>907</v>
      </c>
      <c r="R233" t="s">
        <v>908</v>
      </c>
      <c r="S233" t="s">
        <v>908</v>
      </c>
      <c r="T233" t="s">
        <v>906</v>
      </c>
      <c r="U233" t="s">
        <v>909</v>
      </c>
      <c r="V233" t="s">
        <v>855</v>
      </c>
      <c r="W233" t="s">
        <v>774</v>
      </c>
      <c r="Y233" t="s">
        <v>775</v>
      </c>
      <c r="AA233" t="s">
        <v>776</v>
      </c>
      <c r="AB233" t="s">
        <v>312</v>
      </c>
      <c r="AD233" t="s">
        <v>216</v>
      </c>
      <c r="AG233" s="8" t="s">
        <v>218</v>
      </c>
      <c r="AI233" s="9" t="s">
        <v>218</v>
      </c>
      <c r="AJ233" s="9" t="s">
        <v>218</v>
      </c>
      <c r="AK233" t="s">
        <v>869</v>
      </c>
      <c r="AL233" s="9" t="s">
        <v>218</v>
      </c>
      <c r="AM233" s="8" t="s">
        <v>221</v>
      </c>
      <c r="AN233" s="8" t="s">
        <v>221</v>
      </c>
      <c r="AO233" s="8" t="s">
        <v>222</v>
      </c>
      <c r="AP233" s="8">
        <v>0</v>
      </c>
      <c r="AQ233" s="8">
        <v>0</v>
      </c>
      <c r="AR233" s="8">
        <v>0</v>
      </c>
      <c r="AS233" s="8">
        <v>0</v>
      </c>
      <c r="AT233" s="8">
        <v>0</v>
      </c>
      <c r="AU233" s="8">
        <v>0</v>
      </c>
      <c r="AV233" s="8">
        <v>0</v>
      </c>
      <c r="AW233" s="8">
        <v>0</v>
      </c>
      <c r="AX233" s="8"/>
      <c r="AY233" s="8"/>
      <c r="BC233" t="s">
        <v>910</v>
      </c>
    </row>
    <row r="234" spans="1:55">
      <c r="A234" s="6">
        <v>45765</v>
      </c>
      <c r="B234" s="7" t="s">
        <v>911</v>
      </c>
      <c r="C234" t="s">
        <v>205</v>
      </c>
      <c r="D234" t="s">
        <v>1068</v>
      </c>
      <c r="G234" t="s">
        <v>754</v>
      </c>
      <c r="H234" s="8" t="s">
        <v>208</v>
      </c>
      <c r="I234" s="8" t="s">
        <v>208</v>
      </c>
      <c r="J234" s="8" t="s">
        <v>208</v>
      </c>
      <c r="K234" s="8" t="s">
        <v>208</v>
      </c>
      <c r="L234" s="8" t="s">
        <v>208</v>
      </c>
      <c r="M234" s="8" t="s">
        <v>208</v>
      </c>
      <c r="N234" s="8" t="s">
        <v>208</v>
      </c>
      <c r="O234" s="8" t="s">
        <v>208</v>
      </c>
      <c r="Q234" t="s">
        <v>912</v>
      </c>
      <c r="R234" t="s">
        <v>913</v>
      </c>
      <c r="S234" t="s">
        <v>913</v>
      </c>
      <c r="T234" t="s">
        <v>911</v>
      </c>
      <c r="U234" t="s">
        <v>914</v>
      </c>
      <c r="V234" t="s">
        <v>855</v>
      </c>
      <c r="W234" t="s">
        <v>774</v>
      </c>
      <c r="Y234" t="s">
        <v>775</v>
      </c>
      <c r="AA234" t="s">
        <v>776</v>
      </c>
      <c r="AB234" t="s">
        <v>312</v>
      </c>
      <c r="AD234" t="s">
        <v>216</v>
      </c>
      <c r="AG234" s="8" t="s">
        <v>218</v>
      </c>
      <c r="AI234" s="9" t="s">
        <v>218</v>
      </c>
      <c r="AJ234" s="9" t="s">
        <v>218</v>
      </c>
      <c r="AK234" t="s">
        <v>869</v>
      </c>
      <c r="AL234" s="9" t="s">
        <v>218</v>
      </c>
      <c r="AM234" s="8" t="s">
        <v>221</v>
      </c>
      <c r="AN234" s="8" t="s">
        <v>221</v>
      </c>
      <c r="AO234" s="8" t="s">
        <v>222</v>
      </c>
      <c r="AP234" s="8">
        <v>0</v>
      </c>
      <c r="AQ234" s="8">
        <v>0</v>
      </c>
      <c r="AR234" s="8">
        <v>0</v>
      </c>
      <c r="AS234" s="8">
        <v>0</v>
      </c>
      <c r="AT234" s="8">
        <v>0</v>
      </c>
      <c r="AU234" s="8">
        <v>0</v>
      </c>
      <c r="AV234" s="8">
        <v>0</v>
      </c>
      <c r="AW234" s="8">
        <v>0</v>
      </c>
      <c r="AX234" s="8"/>
      <c r="AY234" s="8"/>
      <c r="BC234" t="s">
        <v>915</v>
      </c>
    </row>
    <row r="235" spans="1:55">
      <c r="A235" s="6">
        <v>45765</v>
      </c>
      <c r="B235" s="7" t="s">
        <v>916</v>
      </c>
      <c r="C235" t="s">
        <v>205</v>
      </c>
      <c r="D235" t="s">
        <v>1068</v>
      </c>
      <c r="G235" t="s">
        <v>754</v>
      </c>
      <c r="H235" s="8" t="s">
        <v>208</v>
      </c>
      <c r="I235" s="8" t="s">
        <v>208</v>
      </c>
      <c r="J235" s="8" t="s">
        <v>208</v>
      </c>
      <c r="K235" s="8" t="s">
        <v>208</v>
      </c>
      <c r="L235" s="8" t="s">
        <v>208</v>
      </c>
      <c r="M235" s="8" t="s">
        <v>208</v>
      </c>
      <c r="N235" s="8" t="s">
        <v>208</v>
      </c>
      <c r="O235" s="8" t="s">
        <v>208</v>
      </c>
      <c r="Q235" t="s">
        <v>917</v>
      </c>
      <c r="R235" t="s">
        <v>918</v>
      </c>
      <c r="S235" t="s">
        <v>918</v>
      </c>
      <c r="T235" t="s">
        <v>916</v>
      </c>
      <c r="U235" t="s">
        <v>919</v>
      </c>
      <c r="V235" t="s">
        <v>855</v>
      </c>
      <c r="W235" t="s">
        <v>774</v>
      </c>
      <c r="Y235" t="s">
        <v>775</v>
      </c>
      <c r="AA235" t="s">
        <v>776</v>
      </c>
      <c r="AB235" t="s">
        <v>312</v>
      </c>
      <c r="AD235" t="s">
        <v>216</v>
      </c>
      <c r="AG235" s="8" t="s">
        <v>218</v>
      </c>
      <c r="AI235" s="9" t="s">
        <v>218</v>
      </c>
      <c r="AJ235" s="9" t="s">
        <v>218</v>
      </c>
      <c r="AK235" t="s">
        <v>869</v>
      </c>
      <c r="AL235" s="9" t="s">
        <v>218</v>
      </c>
      <c r="AM235" s="8" t="s">
        <v>221</v>
      </c>
      <c r="AN235" s="8" t="s">
        <v>221</v>
      </c>
      <c r="AO235" s="8" t="s">
        <v>222</v>
      </c>
      <c r="AP235" s="8">
        <v>0</v>
      </c>
      <c r="AQ235" s="8">
        <v>0</v>
      </c>
      <c r="AR235" s="8">
        <v>0</v>
      </c>
      <c r="AS235" s="8">
        <v>0</v>
      </c>
      <c r="AT235" s="8">
        <v>0</v>
      </c>
      <c r="AU235" s="8">
        <v>0</v>
      </c>
      <c r="AV235" s="8">
        <v>0</v>
      </c>
      <c r="AW235" s="8">
        <v>0</v>
      </c>
      <c r="AX235" s="8"/>
      <c r="AY235" s="8"/>
      <c r="BC235" t="s">
        <v>920</v>
      </c>
    </row>
    <row r="236" spans="1:55">
      <c r="A236" s="6">
        <v>45765</v>
      </c>
      <c r="B236" s="7" t="s">
        <v>921</v>
      </c>
      <c r="C236" t="s">
        <v>205</v>
      </c>
      <c r="D236" t="s">
        <v>1068</v>
      </c>
      <c r="G236" t="s">
        <v>754</v>
      </c>
      <c r="H236" s="8" t="s">
        <v>208</v>
      </c>
      <c r="I236" s="8" t="s">
        <v>208</v>
      </c>
      <c r="J236" s="8" t="s">
        <v>208</v>
      </c>
      <c r="K236" s="8" t="s">
        <v>208</v>
      </c>
      <c r="L236" s="8" t="s">
        <v>208</v>
      </c>
      <c r="M236" s="8" t="s">
        <v>208</v>
      </c>
      <c r="N236" s="8" t="s">
        <v>208</v>
      </c>
      <c r="O236" s="8" t="s">
        <v>208</v>
      </c>
      <c r="Q236" t="s">
        <v>922</v>
      </c>
      <c r="R236" t="s">
        <v>923</v>
      </c>
      <c r="S236" t="s">
        <v>923</v>
      </c>
      <c r="T236" t="s">
        <v>921</v>
      </c>
      <c r="U236" t="s">
        <v>885</v>
      </c>
      <c r="V236" t="s">
        <v>855</v>
      </c>
      <c r="W236" t="s">
        <v>774</v>
      </c>
      <c r="Y236" t="s">
        <v>775</v>
      </c>
      <c r="AA236" t="s">
        <v>776</v>
      </c>
      <c r="AB236" t="s">
        <v>312</v>
      </c>
      <c r="AD236" t="s">
        <v>216</v>
      </c>
      <c r="AG236" s="8" t="s">
        <v>218</v>
      </c>
      <c r="AI236" s="9" t="s">
        <v>218</v>
      </c>
      <c r="AJ236" s="9" t="s">
        <v>218</v>
      </c>
      <c r="AK236" t="s">
        <v>869</v>
      </c>
      <c r="AL236" s="9" t="s">
        <v>218</v>
      </c>
      <c r="AM236" s="8" t="s">
        <v>221</v>
      </c>
      <c r="AN236" s="8" t="s">
        <v>221</v>
      </c>
      <c r="AO236" s="8" t="s">
        <v>222</v>
      </c>
      <c r="AP236" s="8">
        <v>0</v>
      </c>
      <c r="AQ236" s="8">
        <v>0</v>
      </c>
      <c r="AR236" s="8">
        <v>0</v>
      </c>
      <c r="AS236" s="8">
        <v>0</v>
      </c>
      <c r="AT236" s="8">
        <v>0</v>
      </c>
      <c r="AU236" s="8">
        <v>0</v>
      </c>
      <c r="AV236" s="8">
        <v>0</v>
      </c>
      <c r="AW236" s="8">
        <v>0</v>
      </c>
      <c r="AX236" s="8"/>
      <c r="AY236" s="8"/>
      <c r="BC236" t="s">
        <v>924</v>
      </c>
    </row>
    <row r="237" spans="1:55">
      <c r="A237" s="6">
        <v>45765</v>
      </c>
      <c r="B237" s="7" t="s">
        <v>925</v>
      </c>
      <c r="C237" t="s">
        <v>205</v>
      </c>
      <c r="D237" t="s">
        <v>1068</v>
      </c>
      <c r="G237" t="s">
        <v>754</v>
      </c>
      <c r="H237" s="8" t="s">
        <v>208</v>
      </c>
      <c r="I237" s="8" t="s">
        <v>208</v>
      </c>
      <c r="J237" s="8" t="s">
        <v>208</v>
      </c>
      <c r="K237" s="8" t="s">
        <v>208</v>
      </c>
      <c r="L237" s="8" t="s">
        <v>208</v>
      </c>
      <c r="M237" s="8" t="s">
        <v>208</v>
      </c>
      <c r="N237" s="8" t="s">
        <v>208</v>
      </c>
      <c r="O237" s="8" t="s">
        <v>208</v>
      </c>
      <c r="Q237" t="s">
        <v>926</v>
      </c>
      <c r="R237" t="s">
        <v>927</v>
      </c>
      <c r="S237" t="s">
        <v>927</v>
      </c>
      <c r="T237" t="s">
        <v>925</v>
      </c>
      <c r="U237" t="s">
        <v>928</v>
      </c>
      <c r="V237" t="s">
        <v>855</v>
      </c>
      <c r="W237" t="s">
        <v>774</v>
      </c>
      <c r="Y237" t="s">
        <v>775</v>
      </c>
      <c r="AA237" t="s">
        <v>776</v>
      </c>
      <c r="AB237" t="s">
        <v>312</v>
      </c>
      <c r="AD237" t="s">
        <v>216</v>
      </c>
      <c r="AG237" s="8" t="s">
        <v>218</v>
      </c>
      <c r="AI237" s="9" t="s">
        <v>218</v>
      </c>
      <c r="AJ237" s="9" t="s">
        <v>218</v>
      </c>
      <c r="AK237" t="s">
        <v>869</v>
      </c>
      <c r="AL237" s="9" t="s">
        <v>218</v>
      </c>
      <c r="AM237" s="8" t="s">
        <v>221</v>
      </c>
      <c r="AN237" s="8" t="s">
        <v>221</v>
      </c>
      <c r="AO237" s="8" t="s">
        <v>222</v>
      </c>
      <c r="AP237" s="8">
        <v>0</v>
      </c>
      <c r="AQ237" s="8">
        <v>0</v>
      </c>
      <c r="AR237" s="8">
        <v>0</v>
      </c>
      <c r="AS237" s="8">
        <v>0</v>
      </c>
      <c r="AT237" s="8">
        <v>0</v>
      </c>
      <c r="AU237" s="8">
        <v>0</v>
      </c>
      <c r="AV237" s="8">
        <v>0</v>
      </c>
      <c r="AW237" s="8">
        <v>0</v>
      </c>
      <c r="AX237" s="8"/>
      <c r="AY237" s="8"/>
      <c r="BC237" t="s">
        <v>929</v>
      </c>
    </row>
    <row r="238" spans="1:55">
      <c r="A238" s="6">
        <v>45765</v>
      </c>
      <c r="B238" s="7" t="s">
        <v>930</v>
      </c>
      <c r="C238" t="s">
        <v>205</v>
      </c>
      <c r="D238" t="s">
        <v>1068</v>
      </c>
      <c r="G238" t="s">
        <v>754</v>
      </c>
      <c r="H238" s="8" t="s">
        <v>208</v>
      </c>
      <c r="I238" s="8" t="s">
        <v>208</v>
      </c>
      <c r="J238" s="8" t="s">
        <v>208</v>
      </c>
      <c r="K238" s="8" t="s">
        <v>208</v>
      </c>
      <c r="L238" s="8" t="s">
        <v>208</v>
      </c>
      <c r="M238" s="8" t="s">
        <v>208</v>
      </c>
      <c r="N238" s="8" t="s">
        <v>208</v>
      </c>
      <c r="O238" s="8" t="s">
        <v>208</v>
      </c>
      <c r="Q238" t="s">
        <v>931</v>
      </c>
      <c r="R238" t="s">
        <v>932</v>
      </c>
      <c r="S238" t="s">
        <v>932</v>
      </c>
      <c r="T238" t="s">
        <v>930</v>
      </c>
      <c r="U238" t="s">
        <v>933</v>
      </c>
      <c r="V238" t="s">
        <v>855</v>
      </c>
      <c r="W238" t="s">
        <v>774</v>
      </c>
      <c r="Y238" t="s">
        <v>775</v>
      </c>
      <c r="AA238" t="s">
        <v>776</v>
      </c>
      <c r="AB238" t="s">
        <v>312</v>
      </c>
      <c r="AD238" t="s">
        <v>216</v>
      </c>
      <c r="AG238" s="8" t="s">
        <v>218</v>
      </c>
      <c r="AI238" s="9" t="s">
        <v>218</v>
      </c>
      <c r="AJ238" s="9" t="s">
        <v>218</v>
      </c>
      <c r="AK238" t="s">
        <v>934</v>
      </c>
      <c r="AL238" s="9" t="s">
        <v>218</v>
      </c>
      <c r="AM238" s="8" t="s">
        <v>221</v>
      </c>
      <c r="AN238" s="8" t="s">
        <v>221</v>
      </c>
      <c r="AO238" s="8" t="s">
        <v>222</v>
      </c>
      <c r="AP238" s="8">
        <v>0</v>
      </c>
      <c r="AQ238" s="8">
        <v>0</v>
      </c>
      <c r="AR238" s="8">
        <v>0</v>
      </c>
      <c r="AS238" s="8">
        <v>0</v>
      </c>
      <c r="AT238" s="8">
        <v>0</v>
      </c>
      <c r="AU238" s="8">
        <v>0</v>
      </c>
      <c r="AV238" s="8">
        <v>0</v>
      </c>
      <c r="AW238" s="8">
        <v>0</v>
      </c>
      <c r="AX238" s="8"/>
      <c r="AY238" s="8"/>
      <c r="BC238" t="s">
        <v>935</v>
      </c>
    </row>
    <row r="239" spans="1:55">
      <c r="A239" s="6">
        <v>45765</v>
      </c>
      <c r="B239" s="7" t="s">
        <v>936</v>
      </c>
      <c r="C239" t="s">
        <v>205</v>
      </c>
      <c r="D239" t="s">
        <v>1068</v>
      </c>
      <c r="G239" t="s">
        <v>754</v>
      </c>
      <c r="H239" s="8" t="s">
        <v>208</v>
      </c>
      <c r="I239" s="8" t="s">
        <v>208</v>
      </c>
      <c r="J239" s="8" t="s">
        <v>208</v>
      </c>
      <c r="K239" s="8" t="s">
        <v>208</v>
      </c>
      <c r="L239" s="8" t="s">
        <v>208</v>
      </c>
      <c r="M239" s="8" t="s">
        <v>208</v>
      </c>
      <c r="N239" s="8" t="s">
        <v>208</v>
      </c>
      <c r="O239" s="8" t="s">
        <v>208</v>
      </c>
      <c r="Q239" t="s">
        <v>937</v>
      </c>
      <c r="R239" t="s">
        <v>938</v>
      </c>
      <c r="S239" t="s">
        <v>938</v>
      </c>
      <c r="T239" t="s">
        <v>936</v>
      </c>
      <c r="U239" t="s">
        <v>868</v>
      </c>
      <c r="V239" t="s">
        <v>855</v>
      </c>
      <c r="W239" t="s">
        <v>774</v>
      </c>
      <c r="Y239" t="s">
        <v>775</v>
      </c>
      <c r="AA239" t="s">
        <v>776</v>
      </c>
      <c r="AB239" t="s">
        <v>312</v>
      </c>
      <c r="AD239" t="s">
        <v>216</v>
      </c>
      <c r="AG239" s="8" t="s">
        <v>218</v>
      </c>
      <c r="AI239" s="9" t="s">
        <v>218</v>
      </c>
      <c r="AJ239" s="9" t="s">
        <v>218</v>
      </c>
      <c r="AK239" t="s">
        <v>869</v>
      </c>
      <c r="AL239" s="9" t="s">
        <v>218</v>
      </c>
      <c r="AM239" s="8" t="s">
        <v>221</v>
      </c>
      <c r="AN239" s="8" t="s">
        <v>221</v>
      </c>
      <c r="AO239" s="8" t="s">
        <v>222</v>
      </c>
      <c r="AP239" s="8">
        <v>0</v>
      </c>
      <c r="AQ239" s="8">
        <v>0</v>
      </c>
      <c r="AR239" s="8">
        <v>0</v>
      </c>
      <c r="AS239" s="8">
        <v>0</v>
      </c>
      <c r="AT239" s="8">
        <v>0</v>
      </c>
      <c r="AU239" s="8">
        <v>0</v>
      </c>
      <c r="AV239" s="8">
        <v>0</v>
      </c>
      <c r="AW239" s="8">
        <v>0</v>
      </c>
      <c r="AX239" s="8"/>
      <c r="AY239" s="8"/>
      <c r="BC239" t="s">
        <v>939</v>
      </c>
    </row>
    <row r="240" spans="1:55">
      <c r="A240" s="6">
        <v>45765</v>
      </c>
      <c r="B240" s="7" t="s">
        <v>944</v>
      </c>
      <c r="C240" t="s">
        <v>205</v>
      </c>
      <c r="D240" t="s">
        <v>1068</v>
      </c>
      <c r="G240" t="s">
        <v>754</v>
      </c>
      <c r="H240" s="8" t="s">
        <v>208</v>
      </c>
      <c r="I240" s="8" t="s">
        <v>208</v>
      </c>
      <c r="J240" s="8" t="s">
        <v>208</v>
      </c>
      <c r="K240" s="8" t="s">
        <v>208</v>
      </c>
      <c r="L240" s="8" t="s">
        <v>208</v>
      </c>
      <c r="M240" s="8" t="s">
        <v>208</v>
      </c>
      <c r="N240" s="8" t="s">
        <v>208</v>
      </c>
      <c r="O240" s="8" t="s">
        <v>208</v>
      </c>
      <c r="R240" t="s">
        <v>943</v>
      </c>
      <c r="S240" t="s">
        <v>943</v>
      </c>
      <c r="T240" t="s">
        <v>944</v>
      </c>
      <c r="U240" t="s">
        <v>874</v>
      </c>
      <c r="V240" t="s">
        <v>855</v>
      </c>
      <c r="W240" t="s">
        <v>774</v>
      </c>
      <c r="Y240" t="s">
        <v>775</v>
      </c>
      <c r="AA240" t="s">
        <v>776</v>
      </c>
      <c r="AB240" t="s">
        <v>312</v>
      </c>
      <c r="AD240" t="s">
        <v>216</v>
      </c>
      <c r="AG240" s="8" t="s">
        <v>218</v>
      </c>
      <c r="AI240" s="9" t="s">
        <v>218</v>
      </c>
      <c r="AJ240" s="9" t="s">
        <v>218</v>
      </c>
      <c r="AK240" t="s">
        <v>869</v>
      </c>
      <c r="AL240" s="9" t="s">
        <v>218</v>
      </c>
      <c r="AM240" s="8" t="s">
        <v>221</v>
      </c>
      <c r="AN240" s="8" t="s">
        <v>221</v>
      </c>
      <c r="AO240" s="8" t="s">
        <v>222</v>
      </c>
      <c r="AP240" s="8">
        <v>0</v>
      </c>
      <c r="AQ240" s="8">
        <v>0</v>
      </c>
      <c r="AR240" s="8">
        <v>0</v>
      </c>
      <c r="AS240" s="8">
        <v>0</v>
      </c>
      <c r="AT240" s="8">
        <v>0</v>
      </c>
      <c r="AU240" s="8">
        <v>0</v>
      </c>
      <c r="AV240" s="8">
        <v>0</v>
      </c>
      <c r="AW240" s="8">
        <v>0</v>
      </c>
      <c r="AX240" s="8"/>
      <c r="AY240" s="8"/>
      <c r="BC240" t="s">
        <v>945</v>
      </c>
    </row>
    <row r="241" spans="1:55">
      <c r="A241" s="6">
        <v>45765</v>
      </c>
      <c r="B241" s="7" t="s">
        <v>950</v>
      </c>
      <c r="C241" t="s">
        <v>205</v>
      </c>
      <c r="D241" t="s">
        <v>1068</v>
      </c>
      <c r="G241" t="s">
        <v>754</v>
      </c>
      <c r="H241" s="8" t="s">
        <v>208</v>
      </c>
      <c r="I241" s="8" t="s">
        <v>208</v>
      </c>
      <c r="J241" s="8" t="s">
        <v>208</v>
      </c>
      <c r="K241" s="8" t="s">
        <v>208</v>
      </c>
      <c r="L241" s="8" t="s">
        <v>208</v>
      </c>
      <c r="M241" s="8" t="s">
        <v>208</v>
      </c>
      <c r="N241" s="8" t="s">
        <v>208</v>
      </c>
      <c r="O241" s="8" t="s">
        <v>208</v>
      </c>
      <c r="R241" t="s">
        <v>949</v>
      </c>
      <c r="S241" t="s">
        <v>949</v>
      </c>
      <c r="T241" t="s">
        <v>950</v>
      </c>
      <c r="U241" t="s">
        <v>951</v>
      </c>
      <c r="V241" t="s">
        <v>855</v>
      </c>
      <c r="W241" t="s">
        <v>774</v>
      </c>
      <c r="Y241" t="s">
        <v>775</v>
      </c>
      <c r="AA241" t="s">
        <v>776</v>
      </c>
      <c r="AB241" t="s">
        <v>312</v>
      </c>
      <c r="AD241" t="s">
        <v>216</v>
      </c>
      <c r="AG241" s="8" t="s">
        <v>218</v>
      </c>
      <c r="AI241" s="9" t="s">
        <v>218</v>
      </c>
      <c r="AJ241" s="9" t="s">
        <v>218</v>
      </c>
      <c r="AK241" t="s">
        <v>880</v>
      </c>
      <c r="AL241" s="9" t="s">
        <v>218</v>
      </c>
      <c r="AM241" s="8" t="s">
        <v>221</v>
      </c>
      <c r="AN241" s="8" t="s">
        <v>221</v>
      </c>
      <c r="AO241" s="8" t="s">
        <v>222</v>
      </c>
      <c r="AP241" s="8">
        <v>0</v>
      </c>
      <c r="AQ241" s="8">
        <v>0</v>
      </c>
      <c r="AR241" s="8">
        <v>0</v>
      </c>
      <c r="AS241" s="8">
        <v>0</v>
      </c>
      <c r="AT241" s="8">
        <v>0</v>
      </c>
      <c r="AU241" s="8">
        <v>0</v>
      </c>
      <c r="AV241" s="8">
        <v>0</v>
      </c>
      <c r="AW241" s="8">
        <v>0</v>
      </c>
      <c r="AX241" s="8"/>
      <c r="AY241" s="8"/>
      <c r="BC241" t="s">
        <v>952</v>
      </c>
    </row>
    <row r="242" spans="1:55">
      <c r="A242" s="6">
        <v>45765</v>
      </c>
      <c r="B242" s="7" t="s">
        <v>940</v>
      </c>
      <c r="C242" t="s">
        <v>205</v>
      </c>
      <c r="D242" t="s">
        <v>1068</v>
      </c>
      <c r="G242" t="s">
        <v>754</v>
      </c>
      <c r="H242" s="8" t="s">
        <v>208</v>
      </c>
      <c r="I242" s="8" t="s">
        <v>208</v>
      </c>
      <c r="J242" s="8" t="s">
        <v>208</v>
      </c>
      <c r="K242" s="8" t="s">
        <v>208</v>
      </c>
      <c r="L242" s="8" t="s">
        <v>208</v>
      </c>
      <c r="M242" s="8" t="s">
        <v>208</v>
      </c>
      <c r="N242" s="8" t="s">
        <v>208</v>
      </c>
      <c r="O242" s="8" t="s">
        <v>208</v>
      </c>
      <c r="Q242" t="s">
        <v>941</v>
      </c>
      <c r="R242" t="s">
        <v>942</v>
      </c>
      <c r="S242" t="s">
        <v>942</v>
      </c>
      <c r="T242" t="s">
        <v>940</v>
      </c>
      <c r="U242" t="s">
        <v>885</v>
      </c>
      <c r="V242" t="s">
        <v>855</v>
      </c>
      <c r="W242" t="s">
        <v>774</v>
      </c>
      <c r="Y242" t="s">
        <v>775</v>
      </c>
      <c r="AA242" t="s">
        <v>776</v>
      </c>
      <c r="AB242" t="s">
        <v>312</v>
      </c>
      <c r="AD242" t="s">
        <v>216</v>
      </c>
      <c r="AG242" s="8" t="s">
        <v>218</v>
      </c>
      <c r="AI242" s="9" t="s">
        <v>218</v>
      </c>
      <c r="AJ242" s="9" t="s">
        <v>218</v>
      </c>
      <c r="AK242" t="s">
        <v>869</v>
      </c>
      <c r="AL242" s="9" t="s">
        <v>218</v>
      </c>
      <c r="AM242" s="8" t="s">
        <v>221</v>
      </c>
      <c r="AN242" s="8" t="s">
        <v>221</v>
      </c>
      <c r="AO242" s="8" t="s">
        <v>222</v>
      </c>
      <c r="AP242" s="8">
        <v>0</v>
      </c>
      <c r="AQ242" s="8">
        <v>0</v>
      </c>
      <c r="AR242" s="8">
        <v>0</v>
      </c>
      <c r="AS242" s="8">
        <v>0</v>
      </c>
      <c r="AT242" s="8">
        <v>0</v>
      </c>
      <c r="AU242" s="8">
        <v>0</v>
      </c>
      <c r="AV242" s="8">
        <v>0</v>
      </c>
      <c r="AW242" s="8">
        <v>0</v>
      </c>
      <c r="AX242" s="8"/>
      <c r="AY242" s="8"/>
      <c r="BC242" t="s">
        <v>956</v>
      </c>
    </row>
    <row r="243" spans="1:55">
      <c r="A243" s="6">
        <v>45765</v>
      </c>
      <c r="B243" s="7" t="s">
        <v>953</v>
      </c>
      <c r="C243" t="s">
        <v>205</v>
      </c>
      <c r="D243" t="s">
        <v>1068</v>
      </c>
      <c r="G243" t="s">
        <v>754</v>
      </c>
      <c r="H243" s="8" t="s">
        <v>208</v>
      </c>
      <c r="I243" s="8" t="s">
        <v>208</v>
      </c>
      <c r="J243" s="8" t="s">
        <v>208</v>
      </c>
      <c r="K243" s="8" t="s">
        <v>208</v>
      </c>
      <c r="L243" s="8" t="s">
        <v>208</v>
      </c>
      <c r="M243" s="8" t="s">
        <v>208</v>
      </c>
      <c r="N243" s="8" t="s">
        <v>208</v>
      </c>
      <c r="O243" s="8" t="s">
        <v>208</v>
      </c>
      <c r="Q243" t="s">
        <v>954</v>
      </c>
      <c r="R243" t="s">
        <v>955</v>
      </c>
      <c r="S243" t="s">
        <v>955</v>
      </c>
      <c r="T243" t="s">
        <v>953</v>
      </c>
      <c r="U243" t="s">
        <v>890</v>
      </c>
      <c r="V243" t="s">
        <v>855</v>
      </c>
      <c r="W243" t="s">
        <v>774</v>
      </c>
      <c r="Y243" t="s">
        <v>775</v>
      </c>
      <c r="AA243" t="s">
        <v>776</v>
      </c>
      <c r="AB243" t="s">
        <v>312</v>
      </c>
      <c r="AD243" t="s">
        <v>216</v>
      </c>
      <c r="AG243" s="8" t="s">
        <v>218</v>
      </c>
      <c r="AI243" s="9" t="s">
        <v>218</v>
      </c>
      <c r="AJ243" s="9" t="s">
        <v>218</v>
      </c>
      <c r="AK243" t="s">
        <v>869</v>
      </c>
      <c r="AL243" s="9" t="s">
        <v>218</v>
      </c>
      <c r="AM243" s="8" t="s">
        <v>221</v>
      </c>
      <c r="AN243" s="8" t="s">
        <v>221</v>
      </c>
      <c r="AO243" s="8" t="s">
        <v>222</v>
      </c>
      <c r="AP243" s="8">
        <v>0</v>
      </c>
      <c r="AQ243" s="8">
        <v>0</v>
      </c>
      <c r="AR243" s="8">
        <v>0</v>
      </c>
      <c r="AS243" s="8">
        <v>0</v>
      </c>
      <c r="AT243" s="8">
        <v>0</v>
      </c>
      <c r="AU243" s="8">
        <v>0</v>
      </c>
      <c r="AV243" s="8">
        <v>0</v>
      </c>
      <c r="AW243" s="8">
        <v>0</v>
      </c>
      <c r="AX243" s="8"/>
      <c r="AY243" s="8"/>
      <c r="BC243" t="s">
        <v>960</v>
      </c>
    </row>
    <row r="244" spans="1:55">
      <c r="A244" s="6">
        <v>45765</v>
      </c>
      <c r="B244" s="7" t="s">
        <v>961</v>
      </c>
      <c r="C244" t="s">
        <v>205</v>
      </c>
      <c r="D244" t="s">
        <v>1068</v>
      </c>
      <c r="G244" t="s">
        <v>754</v>
      </c>
      <c r="H244" s="8" t="s">
        <v>208</v>
      </c>
      <c r="I244" s="8" t="s">
        <v>208</v>
      </c>
      <c r="J244" s="8" t="s">
        <v>208</v>
      </c>
      <c r="K244" s="8" t="s">
        <v>208</v>
      </c>
      <c r="L244" s="8" t="s">
        <v>208</v>
      </c>
      <c r="M244" s="8" t="s">
        <v>208</v>
      </c>
      <c r="N244" s="8" t="s">
        <v>208</v>
      </c>
      <c r="O244" s="8" t="s">
        <v>208</v>
      </c>
      <c r="Q244" t="s">
        <v>962</v>
      </c>
      <c r="R244" t="s">
        <v>963</v>
      </c>
      <c r="S244" t="s">
        <v>963</v>
      </c>
      <c r="T244" t="s">
        <v>961</v>
      </c>
      <c r="U244" t="s">
        <v>895</v>
      </c>
      <c r="V244" t="s">
        <v>855</v>
      </c>
      <c r="W244" t="s">
        <v>774</v>
      </c>
      <c r="Y244" t="s">
        <v>775</v>
      </c>
      <c r="AA244" t="s">
        <v>776</v>
      </c>
      <c r="AB244" t="s">
        <v>312</v>
      </c>
      <c r="AD244" t="s">
        <v>216</v>
      </c>
      <c r="AG244" s="8" t="s">
        <v>218</v>
      </c>
      <c r="AI244" s="9" t="s">
        <v>218</v>
      </c>
      <c r="AJ244" s="9" t="s">
        <v>218</v>
      </c>
      <c r="AK244" t="s">
        <v>869</v>
      </c>
      <c r="AL244" s="9" t="s">
        <v>218</v>
      </c>
      <c r="AM244" s="8" t="s">
        <v>221</v>
      </c>
      <c r="AN244" s="8" t="s">
        <v>221</v>
      </c>
      <c r="AO244" s="8" t="s">
        <v>222</v>
      </c>
      <c r="AP244" s="8">
        <v>0</v>
      </c>
      <c r="AQ244" s="8">
        <v>0</v>
      </c>
      <c r="AR244" s="8">
        <v>0</v>
      </c>
      <c r="AS244" s="8">
        <v>0</v>
      </c>
      <c r="AT244" s="8">
        <v>0</v>
      </c>
      <c r="AU244" s="8">
        <v>0</v>
      </c>
      <c r="AV244" s="8">
        <v>0</v>
      </c>
      <c r="AW244" s="8">
        <v>0</v>
      </c>
      <c r="AX244" s="8"/>
      <c r="AY244" s="8"/>
      <c r="BC244" t="s">
        <v>964</v>
      </c>
    </row>
    <row r="245" spans="1:55">
      <c r="A245" s="6">
        <v>45765</v>
      </c>
      <c r="B245" s="7" t="s">
        <v>965</v>
      </c>
      <c r="C245" t="s">
        <v>205</v>
      </c>
      <c r="D245" t="s">
        <v>1068</v>
      </c>
      <c r="G245" t="s">
        <v>754</v>
      </c>
      <c r="H245" s="8" t="s">
        <v>208</v>
      </c>
      <c r="I245" s="8" t="s">
        <v>208</v>
      </c>
      <c r="J245" s="8" t="s">
        <v>208</v>
      </c>
      <c r="K245" s="8" t="s">
        <v>208</v>
      </c>
      <c r="L245" s="8" t="s">
        <v>208</v>
      </c>
      <c r="M245" s="8" t="s">
        <v>208</v>
      </c>
      <c r="N245" s="8" t="s">
        <v>208</v>
      </c>
      <c r="O245" s="8" t="s">
        <v>208</v>
      </c>
      <c r="Q245" t="s">
        <v>966</v>
      </c>
      <c r="R245" t="s">
        <v>967</v>
      </c>
      <c r="S245" t="s">
        <v>967</v>
      </c>
      <c r="T245" t="s">
        <v>965</v>
      </c>
      <c r="U245" t="s">
        <v>900</v>
      </c>
      <c r="V245" t="s">
        <v>855</v>
      </c>
      <c r="W245" t="s">
        <v>774</v>
      </c>
      <c r="Y245" t="s">
        <v>775</v>
      </c>
      <c r="AA245" t="s">
        <v>776</v>
      </c>
      <c r="AB245" t="s">
        <v>312</v>
      </c>
      <c r="AD245" t="s">
        <v>216</v>
      </c>
      <c r="AG245" s="8" t="s">
        <v>218</v>
      </c>
      <c r="AI245" s="9" t="s">
        <v>218</v>
      </c>
      <c r="AJ245" s="9" t="s">
        <v>218</v>
      </c>
      <c r="AK245" t="s">
        <v>869</v>
      </c>
      <c r="AL245" s="9" t="s">
        <v>218</v>
      </c>
      <c r="AM245" s="8" t="s">
        <v>221</v>
      </c>
      <c r="AN245" s="8" t="s">
        <v>221</v>
      </c>
      <c r="AO245" s="8" t="s">
        <v>222</v>
      </c>
      <c r="AP245" s="8">
        <v>0</v>
      </c>
      <c r="AQ245" s="8">
        <v>0</v>
      </c>
      <c r="AR245" s="8">
        <v>0</v>
      </c>
      <c r="AS245" s="8">
        <v>0</v>
      </c>
      <c r="AT245" s="8">
        <v>0</v>
      </c>
      <c r="AU245" s="8">
        <v>0</v>
      </c>
      <c r="AV245" s="8">
        <v>0</v>
      </c>
      <c r="AW245" s="8">
        <v>0</v>
      </c>
      <c r="AX245" s="8"/>
      <c r="AY245" s="8"/>
      <c r="BC245" t="s">
        <v>968</v>
      </c>
    </row>
    <row r="246" spans="1:55">
      <c r="A246" s="6">
        <v>45765</v>
      </c>
      <c r="B246" s="7" t="s">
        <v>969</v>
      </c>
      <c r="C246" t="s">
        <v>205</v>
      </c>
      <c r="D246" t="s">
        <v>1068</v>
      </c>
      <c r="G246" t="s">
        <v>754</v>
      </c>
      <c r="H246" s="8" t="s">
        <v>208</v>
      </c>
      <c r="I246" s="8" t="s">
        <v>208</v>
      </c>
      <c r="J246" s="8" t="s">
        <v>208</v>
      </c>
      <c r="K246" s="8" t="s">
        <v>208</v>
      </c>
      <c r="L246" s="8" t="s">
        <v>208</v>
      </c>
      <c r="M246" s="8" t="s">
        <v>208</v>
      </c>
      <c r="N246" s="8" t="s">
        <v>208</v>
      </c>
      <c r="O246" s="8" t="s">
        <v>208</v>
      </c>
      <c r="Q246" t="s">
        <v>970</v>
      </c>
      <c r="R246" t="s">
        <v>971</v>
      </c>
      <c r="S246" t="s">
        <v>971</v>
      </c>
      <c r="T246" t="s">
        <v>969</v>
      </c>
      <c r="U246" t="s">
        <v>885</v>
      </c>
      <c r="V246" t="s">
        <v>855</v>
      </c>
      <c r="W246" t="s">
        <v>774</v>
      </c>
      <c r="Y246" t="s">
        <v>775</v>
      </c>
      <c r="AA246" t="s">
        <v>776</v>
      </c>
      <c r="AB246" t="s">
        <v>312</v>
      </c>
      <c r="AD246" t="s">
        <v>216</v>
      </c>
      <c r="AG246" s="8" t="s">
        <v>218</v>
      </c>
      <c r="AI246" s="9" t="s">
        <v>218</v>
      </c>
      <c r="AJ246" s="9" t="s">
        <v>218</v>
      </c>
      <c r="AK246" t="s">
        <v>869</v>
      </c>
      <c r="AL246" s="9" t="s">
        <v>218</v>
      </c>
      <c r="AM246" s="8" t="s">
        <v>221</v>
      </c>
      <c r="AN246" s="8" t="s">
        <v>221</v>
      </c>
      <c r="AO246" s="8" t="s">
        <v>222</v>
      </c>
      <c r="AP246" s="8">
        <v>0</v>
      </c>
      <c r="AQ246" s="8">
        <v>0</v>
      </c>
      <c r="AR246" s="8">
        <v>0</v>
      </c>
      <c r="AS246" s="8">
        <v>0</v>
      </c>
      <c r="AT246" s="8">
        <v>0</v>
      </c>
      <c r="AU246" s="8">
        <v>0</v>
      </c>
      <c r="AV246" s="8">
        <v>0</v>
      </c>
      <c r="AW246" s="8">
        <v>0</v>
      </c>
      <c r="AX246" s="8"/>
      <c r="AY246" s="8"/>
      <c r="BC246" t="s">
        <v>972</v>
      </c>
    </row>
    <row r="247" spans="1:55">
      <c r="A247" s="6">
        <v>45765</v>
      </c>
      <c r="B247" s="7" t="s">
        <v>973</v>
      </c>
      <c r="C247" t="s">
        <v>205</v>
      </c>
      <c r="D247" t="s">
        <v>1068</v>
      </c>
      <c r="G247" t="s">
        <v>754</v>
      </c>
      <c r="H247" s="8" t="s">
        <v>208</v>
      </c>
      <c r="I247" s="8" t="s">
        <v>208</v>
      </c>
      <c r="J247" s="8" t="s">
        <v>208</v>
      </c>
      <c r="K247" s="8" t="s">
        <v>208</v>
      </c>
      <c r="L247" s="8" t="s">
        <v>208</v>
      </c>
      <c r="M247" s="8" t="s">
        <v>208</v>
      </c>
      <c r="N247" s="8" t="s">
        <v>208</v>
      </c>
      <c r="O247" s="8" t="s">
        <v>208</v>
      </c>
      <c r="Q247" t="s">
        <v>974</v>
      </c>
      <c r="R247" t="s">
        <v>975</v>
      </c>
      <c r="S247" t="s">
        <v>975</v>
      </c>
      <c r="T247" t="s">
        <v>973</v>
      </c>
      <c r="U247" t="s">
        <v>909</v>
      </c>
      <c r="V247" t="s">
        <v>855</v>
      </c>
      <c r="W247" t="s">
        <v>774</v>
      </c>
      <c r="Y247" t="s">
        <v>775</v>
      </c>
      <c r="AA247" t="s">
        <v>776</v>
      </c>
      <c r="AB247" t="s">
        <v>312</v>
      </c>
      <c r="AD247" t="s">
        <v>216</v>
      </c>
      <c r="AG247" s="8" t="s">
        <v>218</v>
      </c>
      <c r="AI247" s="9" t="s">
        <v>218</v>
      </c>
      <c r="AJ247" s="9" t="s">
        <v>218</v>
      </c>
      <c r="AK247" t="s">
        <v>869</v>
      </c>
      <c r="AL247" s="9" t="s">
        <v>218</v>
      </c>
      <c r="AM247" s="8" t="s">
        <v>221</v>
      </c>
      <c r="AN247" s="8" t="s">
        <v>221</v>
      </c>
      <c r="AO247" s="8" t="s">
        <v>222</v>
      </c>
      <c r="AP247" s="8">
        <v>0</v>
      </c>
      <c r="AQ247" s="8">
        <v>0</v>
      </c>
      <c r="AR247" s="8">
        <v>0</v>
      </c>
      <c r="AS247" s="8">
        <v>0</v>
      </c>
      <c r="AT247" s="8">
        <v>0</v>
      </c>
      <c r="AU247" s="8">
        <v>0</v>
      </c>
      <c r="AV247" s="8">
        <v>0</v>
      </c>
      <c r="AW247" s="8">
        <v>0</v>
      </c>
      <c r="AX247" s="8"/>
      <c r="AY247" s="8"/>
      <c r="BC247" t="s">
        <v>976</v>
      </c>
    </row>
    <row r="248" spans="1:55">
      <c r="A248" s="6">
        <v>45765</v>
      </c>
      <c r="B248" s="7" t="s">
        <v>977</v>
      </c>
      <c r="C248" t="s">
        <v>205</v>
      </c>
      <c r="D248" t="s">
        <v>1068</v>
      </c>
      <c r="G248" t="s">
        <v>754</v>
      </c>
      <c r="H248" s="8" t="s">
        <v>208</v>
      </c>
      <c r="I248" s="8" t="s">
        <v>208</v>
      </c>
      <c r="J248" s="8" t="s">
        <v>208</v>
      </c>
      <c r="K248" s="8" t="s">
        <v>208</v>
      </c>
      <c r="L248" s="8" t="s">
        <v>208</v>
      </c>
      <c r="M248" s="8" t="s">
        <v>208</v>
      </c>
      <c r="N248" s="8" t="s">
        <v>208</v>
      </c>
      <c r="O248" s="8" t="s">
        <v>208</v>
      </c>
      <c r="Q248" t="s">
        <v>978</v>
      </c>
      <c r="R248" t="s">
        <v>979</v>
      </c>
      <c r="S248" t="s">
        <v>979</v>
      </c>
      <c r="T248" t="s">
        <v>977</v>
      </c>
      <c r="U248" t="s">
        <v>914</v>
      </c>
      <c r="V248" t="s">
        <v>855</v>
      </c>
      <c r="W248" t="s">
        <v>774</v>
      </c>
      <c r="Y248" t="s">
        <v>775</v>
      </c>
      <c r="AA248" t="s">
        <v>776</v>
      </c>
      <c r="AB248" t="s">
        <v>312</v>
      </c>
      <c r="AD248" t="s">
        <v>216</v>
      </c>
      <c r="AG248" s="8" t="s">
        <v>218</v>
      </c>
      <c r="AI248" s="9" t="s">
        <v>218</v>
      </c>
      <c r="AJ248" s="9" t="s">
        <v>218</v>
      </c>
      <c r="AK248" t="s">
        <v>869</v>
      </c>
      <c r="AL248" s="9" t="s">
        <v>218</v>
      </c>
      <c r="AM248" s="8" t="s">
        <v>221</v>
      </c>
      <c r="AN248" s="8" t="s">
        <v>221</v>
      </c>
      <c r="AO248" s="8" t="s">
        <v>222</v>
      </c>
      <c r="AP248" s="8">
        <v>0</v>
      </c>
      <c r="AQ248" s="8">
        <v>0</v>
      </c>
      <c r="AR248" s="8">
        <v>0</v>
      </c>
      <c r="AS248" s="8">
        <v>0</v>
      </c>
      <c r="AT248" s="8">
        <v>0</v>
      </c>
      <c r="AU248" s="8">
        <v>0</v>
      </c>
      <c r="AV248" s="8">
        <v>0</v>
      </c>
      <c r="AW248" s="8">
        <v>0</v>
      </c>
      <c r="AX248" s="8"/>
      <c r="AY248" s="8"/>
      <c r="BC248" t="s">
        <v>980</v>
      </c>
    </row>
    <row r="249" spans="1:55">
      <c r="A249" s="6">
        <v>45765</v>
      </c>
      <c r="B249" s="7" t="s">
        <v>981</v>
      </c>
      <c r="C249" t="s">
        <v>205</v>
      </c>
      <c r="D249" t="s">
        <v>1068</v>
      </c>
      <c r="G249" t="s">
        <v>754</v>
      </c>
      <c r="H249" s="8" t="s">
        <v>208</v>
      </c>
      <c r="I249" s="8" t="s">
        <v>208</v>
      </c>
      <c r="J249" s="8" t="s">
        <v>208</v>
      </c>
      <c r="K249" s="8" t="s">
        <v>208</v>
      </c>
      <c r="L249" s="8" t="s">
        <v>208</v>
      </c>
      <c r="M249" s="8" t="s">
        <v>208</v>
      </c>
      <c r="N249" s="8" t="s">
        <v>208</v>
      </c>
      <c r="O249" s="8" t="s">
        <v>208</v>
      </c>
      <c r="Q249" t="s">
        <v>982</v>
      </c>
      <c r="R249" t="s">
        <v>983</v>
      </c>
      <c r="S249" t="s">
        <v>983</v>
      </c>
      <c r="T249" t="s">
        <v>981</v>
      </c>
      <c r="U249" t="s">
        <v>919</v>
      </c>
      <c r="V249" t="s">
        <v>855</v>
      </c>
      <c r="W249" t="s">
        <v>774</v>
      </c>
      <c r="Y249" t="s">
        <v>775</v>
      </c>
      <c r="AA249" t="s">
        <v>776</v>
      </c>
      <c r="AB249" t="s">
        <v>312</v>
      </c>
      <c r="AD249" t="s">
        <v>216</v>
      </c>
      <c r="AG249" s="8" t="s">
        <v>218</v>
      </c>
      <c r="AI249" s="9" t="s">
        <v>218</v>
      </c>
      <c r="AJ249" s="9" t="s">
        <v>218</v>
      </c>
      <c r="AK249" t="s">
        <v>869</v>
      </c>
      <c r="AL249" s="9" t="s">
        <v>218</v>
      </c>
      <c r="AM249" s="8" t="s">
        <v>221</v>
      </c>
      <c r="AN249" s="8" t="s">
        <v>221</v>
      </c>
      <c r="AO249" s="8" t="s">
        <v>222</v>
      </c>
      <c r="AP249" s="8">
        <v>0</v>
      </c>
      <c r="AQ249" s="8">
        <v>0</v>
      </c>
      <c r="AR249" s="8">
        <v>0</v>
      </c>
      <c r="AS249" s="8">
        <v>0</v>
      </c>
      <c r="AT249" s="8">
        <v>0</v>
      </c>
      <c r="AU249" s="8">
        <v>0</v>
      </c>
      <c r="AV249" s="8">
        <v>0</v>
      </c>
      <c r="AW249" s="8">
        <v>0</v>
      </c>
      <c r="AX249" s="8"/>
      <c r="AY249" s="8"/>
      <c r="BC249" t="s">
        <v>984</v>
      </c>
    </row>
    <row r="250" spans="1:55">
      <c r="A250" s="6">
        <v>45765</v>
      </c>
      <c r="B250" s="7" t="s">
        <v>985</v>
      </c>
      <c r="C250" t="s">
        <v>205</v>
      </c>
      <c r="D250" t="s">
        <v>1068</v>
      </c>
      <c r="G250" t="s">
        <v>754</v>
      </c>
      <c r="H250" s="8" t="s">
        <v>208</v>
      </c>
      <c r="I250" s="8" t="s">
        <v>208</v>
      </c>
      <c r="J250" s="8" t="s">
        <v>208</v>
      </c>
      <c r="K250" s="8" t="s">
        <v>208</v>
      </c>
      <c r="L250" s="8" t="s">
        <v>208</v>
      </c>
      <c r="M250" s="8" t="s">
        <v>208</v>
      </c>
      <c r="N250" s="8" t="s">
        <v>208</v>
      </c>
      <c r="O250" s="8" t="s">
        <v>208</v>
      </c>
      <c r="Q250" t="s">
        <v>986</v>
      </c>
      <c r="R250" t="s">
        <v>987</v>
      </c>
      <c r="S250" t="s">
        <v>987</v>
      </c>
      <c r="T250" t="s">
        <v>985</v>
      </c>
      <c r="U250" t="s">
        <v>885</v>
      </c>
      <c r="V250" t="s">
        <v>855</v>
      </c>
      <c r="W250" t="s">
        <v>774</v>
      </c>
      <c r="Y250" t="s">
        <v>775</v>
      </c>
      <c r="AA250" t="s">
        <v>776</v>
      </c>
      <c r="AB250" t="s">
        <v>312</v>
      </c>
      <c r="AD250" t="s">
        <v>216</v>
      </c>
      <c r="AG250" s="8" t="s">
        <v>218</v>
      </c>
      <c r="AI250" s="9" t="s">
        <v>218</v>
      </c>
      <c r="AJ250" s="9" t="s">
        <v>218</v>
      </c>
      <c r="AK250" t="s">
        <v>869</v>
      </c>
      <c r="AL250" s="9" t="s">
        <v>218</v>
      </c>
      <c r="AM250" s="8" t="s">
        <v>221</v>
      </c>
      <c r="AN250" s="8" t="s">
        <v>221</v>
      </c>
      <c r="AO250" s="8" t="s">
        <v>222</v>
      </c>
      <c r="AP250" s="8">
        <v>0</v>
      </c>
      <c r="AQ250" s="8">
        <v>0</v>
      </c>
      <c r="AR250" s="8">
        <v>0</v>
      </c>
      <c r="AS250" s="8">
        <v>0</v>
      </c>
      <c r="AT250" s="8">
        <v>0</v>
      </c>
      <c r="AU250" s="8">
        <v>0</v>
      </c>
      <c r="AV250" s="8">
        <v>0</v>
      </c>
      <c r="AW250" s="8">
        <v>0</v>
      </c>
      <c r="AX250" s="8"/>
      <c r="AY250" s="8"/>
      <c r="BC250" t="s">
        <v>988</v>
      </c>
    </row>
    <row r="251" spans="1:55">
      <c r="A251" s="6">
        <v>45765</v>
      </c>
      <c r="B251" s="7" t="s">
        <v>989</v>
      </c>
      <c r="C251" t="s">
        <v>205</v>
      </c>
      <c r="D251" t="s">
        <v>1068</v>
      </c>
      <c r="G251" t="s">
        <v>754</v>
      </c>
      <c r="H251" s="8" t="s">
        <v>208</v>
      </c>
      <c r="I251" s="8" t="s">
        <v>208</v>
      </c>
      <c r="J251" s="8" t="s">
        <v>208</v>
      </c>
      <c r="K251" s="8" t="s">
        <v>208</v>
      </c>
      <c r="L251" s="8" t="s">
        <v>208</v>
      </c>
      <c r="M251" s="8" t="s">
        <v>208</v>
      </c>
      <c r="N251" s="8" t="s">
        <v>208</v>
      </c>
      <c r="O251" s="8" t="s">
        <v>208</v>
      </c>
      <c r="Q251" t="s">
        <v>990</v>
      </c>
      <c r="R251" t="s">
        <v>991</v>
      </c>
      <c r="S251" t="s">
        <v>991</v>
      </c>
      <c r="T251" t="s">
        <v>989</v>
      </c>
      <c r="U251" t="s">
        <v>928</v>
      </c>
      <c r="V251" t="s">
        <v>855</v>
      </c>
      <c r="W251" t="s">
        <v>774</v>
      </c>
      <c r="Y251" t="s">
        <v>775</v>
      </c>
      <c r="AA251" t="s">
        <v>776</v>
      </c>
      <c r="AB251" t="s">
        <v>312</v>
      </c>
      <c r="AD251" t="s">
        <v>216</v>
      </c>
      <c r="AG251" s="8" t="s">
        <v>218</v>
      </c>
      <c r="AI251" s="9" t="s">
        <v>218</v>
      </c>
      <c r="AJ251" s="9" t="s">
        <v>218</v>
      </c>
      <c r="AK251" t="s">
        <v>869</v>
      </c>
      <c r="AL251" s="9" t="s">
        <v>218</v>
      </c>
      <c r="AM251" s="8" t="s">
        <v>221</v>
      </c>
      <c r="AN251" s="8" t="s">
        <v>221</v>
      </c>
      <c r="AO251" s="8" t="s">
        <v>222</v>
      </c>
      <c r="AP251" s="8">
        <v>0</v>
      </c>
      <c r="AQ251" s="8">
        <v>0</v>
      </c>
      <c r="AR251" s="8">
        <v>0</v>
      </c>
      <c r="AS251" s="8">
        <v>0</v>
      </c>
      <c r="AT251" s="8">
        <v>0</v>
      </c>
      <c r="AU251" s="8">
        <v>0</v>
      </c>
      <c r="AV251" s="8">
        <v>0</v>
      </c>
      <c r="AW251" s="8">
        <v>0</v>
      </c>
      <c r="AX251" s="8"/>
      <c r="AY251" s="8"/>
      <c r="BC251" t="s">
        <v>992</v>
      </c>
    </row>
    <row r="252" spans="1:55">
      <c r="A252" s="6">
        <v>45765</v>
      </c>
      <c r="B252" s="7" t="s">
        <v>1069</v>
      </c>
      <c r="C252" t="s">
        <v>205</v>
      </c>
      <c r="D252" t="s">
        <v>1068</v>
      </c>
      <c r="G252" t="s">
        <v>754</v>
      </c>
      <c r="H252" s="8" t="s">
        <v>208</v>
      </c>
      <c r="I252" s="8" t="s">
        <v>208</v>
      </c>
      <c r="J252" s="8" t="s">
        <v>208</v>
      </c>
      <c r="K252" s="8" t="s">
        <v>208</v>
      </c>
      <c r="L252" s="8" t="s">
        <v>208</v>
      </c>
      <c r="M252" s="8" t="s">
        <v>208</v>
      </c>
      <c r="N252" s="8" t="s">
        <v>208</v>
      </c>
      <c r="O252" s="8" t="s">
        <v>208</v>
      </c>
      <c r="R252" t="s">
        <v>1070</v>
      </c>
      <c r="S252" t="s">
        <v>1070</v>
      </c>
      <c r="T252" t="s">
        <v>1069</v>
      </c>
      <c r="U252" t="s">
        <v>1071</v>
      </c>
      <c r="V252" t="s">
        <v>855</v>
      </c>
      <c r="W252" t="s">
        <v>212</v>
      </c>
      <c r="Y252" t="s">
        <v>213</v>
      </c>
      <c r="AA252" t="s">
        <v>776</v>
      </c>
      <c r="AB252" t="s">
        <v>242</v>
      </c>
      <c r="AD252" t="s">
        <v>216</v>
      </c>
      <c r="AG252" s="8" t="s">
        <v>218</v>
      </c>
      <c r="AI252" s="9" t="s">
        <v>218</v>
      </c>
      <c r="AJ252" s="9" t="s">
        <v>218</v>
      </c>
      <c r="AK252" t="s">
        <v>1072</v>
      </c>
      <c r="AL252" s="9" t="s">
        <v>218</v>
      </c>
      <c r="AM252" s="8" t="s">
        <v>221</v>
      </c>
      <c r="AN252" s="8" t="s">
        <v>221</v>
      </c>
      <c r="AO252" s="8" t="s">
        <v>222</v>
      </c>
      <c r="AP252" s="8">
        <v>0</v>
      </c>
      <c r="AQ252" s="8">
        <v>0</v>
      </c>
      <c r="AR252" s="8">
        <v>0</v>
      </c>
      <c r="AS252" s="8">
        <v>0</v>
      </c>
      <c r="AT252" s="8">
        <v>0</v>
      </c>
      <c r="AU252" s="8">
        <v>0</v>
      </c>
      <c r="AV252" s="8">
        <v>0</v>
      </c>
      <c r="AW252" s="8">
        <v>0</v>
      </c>
      <c r="AX252" s="8"/>
      <c r="AY252" s="8"/>
      <c r="BC252" t="s">
        <v>1073</v>
      </c>
    </row>
    <row r="253" spans="1:55">
      <c r="A253" s="6">
        <v>45765</v>
      </c>
      <c r="B253" s="7" t="s">
        <v>761</v>
      </c>
      <c r="C253" t="s">
        <v>205</v>
      </c>
      <c r="D253" t="s">
        <v>1068</v>
      </c>
      <c r="G253" t="s">
        <v>754</v>
      </c>
      <c r="H253" s="8" t="s">
        <v>208</v>
      </c>
      <c r="I253" s="8" t="s">
        <v>208</v>
      </c>
      <c r="J253" s="8" t="s">
        <v>208</v>
      </c>
      <c r="K253" s="8" t="s">
        <v>208</v>
      </c>
      <c r="L253" s="8" t="s">
        <v>208</v>
      </c>
      <c r="M253" s="8" t="s">
        <v>208</v>
      </c>
      <c r="N253" s="8" t="s">
        <v>208</v>
      </c>
      <c r="O253" s="8" t="s">
        <v>208</v>
      </c>
      <c r="Q253" t="s">
        <v>762</v>
      </c>
      <c r="R253" t="s">
        <v>763</v>
      </c>
      <c r="S253" t="s">
        <v>763</v>
      </c>
      <c r="T253" t="s">
        <v>761</v>
      </c>
      <c r="U253" t="s">
        <v>848</v>
      </c>
      <c r="V253" t="s">
        <v>849</v>
      </c>
      <c r="W253" t="s">
        <v>232</v>
      </c>
      <c r="Y253" t="s">
        <v>765</v>
      </c>
      <c r="AA253" t="s">
        <v>776</v>
      </c>
      <c r="AB253" t="s">
        <v>215</v>
      </c>
      <c r="AD253" t="s">
        <v>216</v>
      </c>
      <c r="AG253" s="8" t="s">
        <v>218</v>
      </c>
      <c r="AI253" s="9" t="s">
        <v>218</v>
      </c>
      <c r="AJ253" s="9" t="s">
        <v>218</v>
      </c>
      <c r="AK253" t="s">
        <v>767</v>
      </c>
      <c r="AL253" s="9" t="s">
        <v>218</v>
      </c>
      <c r="AM253" s="8" t="s">
        <v>221</v>
      </c>
      <c r="AN253" s="8" t="s">
        <v>221</v>
      </c>
      <c r="AO253" s="8" t="s">
        <v>222</v>
      </c>
      <c r="AP253" s="8">
        <v>0</v>
      </c>
      <c r="AQ253" s="8">
        <v>0</v>
      </c>
      <c r="AR253" s="8">
        <v>0</v>
      </c>
      <c r="AS253" s="8">
        <v>0</v>
      </c>
      <c r="AT253" s="8">
        <v>0</v>
      </c>
      <c r="AU253" s="8">
        <v>0</v>
      </c>
      <c r="AV253" s="8">
        <v>0</v>
      </c>
      <c r="AW253" s="8">
        <v>0</v>
      </c>
      <c r="AX253" s="8"/>
      <c r="AY253" s="8"/>
      <c r="BC253" t="s">
        <v>768</v>
      </c>
    </row>
    <row r="254" spans="1:55">
      <c r="A254" s="6">
        <v>45779</v>
      </c>
      <c r="B254" s="7" t="s">
        <v>1074</v>
      </c>
      <c r="C254" t="s">
        <v>308</v>
      </c>
      <c r="D254" t="s">
        <v>1075</v>
      </c>
      <c r="E254" t="s">
        <v>1075</v>
      </c>
      <c r="F254" t="s">
        <v>1076</v>
      </c>
      <c r="G254" t="s">
        <v>1077</v>
      </c>
      <c r="H254" s="8" t="s">
        <v>221</v>
      </c>
      <c r="I254" s="8" t="s">
        <v>221</v>
      </c>
      <c r="J254" s="8" t="s">
        <v>221</v>
      </c>
      <c r="K254" s="8" t="s">
        <v>221</v>
      </c>
      <c r="L254" s="8" t="s">
        <v>221</v>
      </c>
      <c r="M254" s="8" t="s">
        <v>208</v>
      </c>
      <c r="N254" s="8" t="s">
        <v>221</v>
      </c>
      <c r="O254" s="8" t="s">
        <v>221</v>
      </c>
      <c r="Q254" t="s">
        <v>1078</v>
      </c>
      <c r="R254" t="s">
        <v>1079</v>
      </c>
      <c r="S254" t="s">
        <v>1079</v>
      </c>
      <c r="T254" t="s">
        <v>1074</v>
      </c>
      <c r="U254" t="s">
        <v>1080</v>
      </c>
      <c r="V254" t="s">
        <v>1081</v>
      </c>
      <c r="W254" t="s">
        <v>298</v>
      </c>
      <c r="Y254" t="s">
        <v>1082</v>
      </c>
      <c r="AA254" t="s">
        <v>1083</v>
      </c>
      <c r="AB254" t="s">
        <v>312</v>
      </c>
      <c r="AD254" t="s">
        <v>1084</v>
      </c>
      <c r="AG254" s="8" t="s">
        <v>218</v>
      </c>
      <c r="AI254" s="9" t="s">
        <v>218</v>
      </c>
      <c r="AJ254" s="9" t="s">
        <v>218</v>
      </c>
      <c r="AK254" t="s">
        <v>1085</v>
      </c>
      <c r="AL254" s="8" t="s">
        <v>221</v>
      </c>
      <c r="AM254" s="9" t="s">
        <v>218</v>
      </c>
      <c r="AN254" s="8" t="s">
        <v>221</v>
      </c>
      <c r="AO254" s="9" t="s">
        <v>1086</v>
      </c>
      <c r="AP254" s="8">
        <v>0</v>
      </c>
      <c r="AQ254" s="8">
        <v>0</v>
      </c>
      <c r="AR254" s="8">
        <v>0</v>
      </c>
      <c r="AS254" s="8">
        <v>0</v>
      </c>
      <c r="AT254" s="8">
        <v>0</v>
      </c>
      <c r="AU254" s="8">
        <v>0</v>
      </c>
      <c r="AV254" s="8">
        <v>0</v>
      </c>
      <c r="AW254" s="8">
        <v>0</v>
      </c>
      <c r="AX254" s="8"/>
      <c r="AY254" s="8"/>
      <c r="BC254" t="s">
        <v>1087</v>
      </c>
    </row>
    <row r="255" spans="1:55">
      <c r="A255" s="6">
        <v>45779</v>
      </c>
      <c r="B255" s="7" t="s">
        <v>1088</v>
      </c>
      <c r="C255" t="s">
        <v>308</v>
      </c>
      <c r="D255" t="s">
        <v>1075</v>
      </c>
      <c r="E255" t="s">
        <v>1075</v>
      </c>
      <c r="F255" t="s">
        <v>1076</v>
      </c>
      <c r="G255" t="s">
        <v>1077</v>
      </c>
      <c r="H255" s="8" t="s">
        <v>221</v>
      </c>
      <c r="I255" s="8" t="s">
        <v>221</v>
      </c>
      <c r="J255" s="8" t="s">
        <v>221</v>
      </c>
      <c r="K255" s="8" t="s">
        <v>221</v>
      </c>
      <c r="L255" s="8" t="s">
        <v>221</v>
      </c>
      <c r="M255" s="8" t="s">
        <v>208</v>
      </c>
      <c r="N255" s="8" t="s">
        <v>221</v>
      </c>
      <c r="O255" s="8" t="s">
        <v>221</v>
      </c>
      <c r="Q255" t="s">
        <v>1089</v>
      </c>
      <c r="R255" t="s">
        <v>1090</v>
      </c>
      <c r="S255" t="s">
        <v>1090</v>
      </c>
      <c r="T255" t="s">
        <v>1088</v>
      </c>
      <c r="U255" t="s">
        <v>1091</v>
      </c>
      <c r="V255" t="s">
        <v>1081</v>
      </c>
      <c r="W255" t="s">
        <v>298</v>
      </c>
      <c r="Y255" t="s">
        <v>1082</v>
      </c>
      <c r="AA255" t="s">
        <v>1083</v>
      </c>
      <c r="AB255" t="s">
        <v>312</v>
      </c>
      <c r="AD255" t="s">
        <v>1084</v>
      </c>
      <c r="AG255" s="8" t="s">
        <v>218</v>
      </c>
      <c r="AI255" s="9" t="s">
        <v>218</v>
      </c>
      <c r="AJ255" s="9" t="s">
        <v>218</v>
      </c>
      <c r="AK255" t="s">
        <v>1092</v>
      </c>
      <c r="AL255" s="8" t="s">
        <v>221</v>
      </c>
      <c r="AM255" s="9" t="s">
        <v>218</v>
      </c>
      <c r="AN255" s="8" t="s">
        <v>221</v>
      </c>
      <c r="AO255" s="9" t="s">
        <v>1086</v>
      </c>
      <c r="AP255" s="8">
        <v>0</v>
      </c>
      <c r="AQ255" s="8">
        <v>0</v>
      </c>
      <c r="AR255" s="8">
        <v>0</v>
      </c>
      <c r="AS255" s="8">
        <v>0</v>
      </c>
      <c r="AT255" s="8">
        <v>0</v>
      </c>
      <c r="AU255" s="8">
        <v>0</v>
      </c>
      <c r="AV255" s="8">
        <v>0</v>
      </c>
      <c r="AW255" s="8">
        <v>0</v>
      </c>
      <c r="AX255" s="8"/>
      <c r="AY255" s="8"/>
      <c r="BC255" t="s">
        <v>1093</v>
      </c>
    </row>
    <row r="256" spans="1:55">
      <c r="A256" s="6">
        <v>45779</v>
      </c>
      <c r="B256" s="7" t="s">
        <v>1094</v>
      </c>
      <c r="C256" t="s">
        <v>308</v>
      </c>
      <c r="D256" t="s">
        <v>1075</v>
      </c>
      <c r="E256" t="s">
        <v>1075</v>
      </c>
      <c r="F256" t="s">
        <v>1076</v>
      </c>
      <c r="G256" t="s">
        <v>1077</v>
      </c>
      <c r="H256" s="8" t="s">
        <v>221</v>
      </c>
      <c r="I256" s="8" t="s">
        <v>221</v>
      </c>
      <c r="J256" s="8" t="s">
        <v>221</v>
      </c>
      <c r="K256" s="8" t="s">
        <v>221</v>
      </c>
      <c r="L256" s="8" t="s">
        <v>221</v>
      </c>
      <c r="M256" s="8" t="s">
        <v>208</v>
      </c>
      <c r="N256" s="8" t="s">
        <v>221</v>
      </c>
      <c r="O256" s="8" t="s">
        <v>221</v>
      </c>
      <c r="Q256" t="s">
        <v>1095</v>
      </c>
      <c r="R256" t="s">
        <v>1096</v>
      </c>
      <c r="S256" t="s">
        <v>1096</v>
      </c>
      <c r="T256" t="s">
        <v>1094</v>
      </c>
      <c r="U256" t="s">
        <v>1097</v>
      </c>
      <c r="V256" t="s">
        <v>1081</v>
      </c>
      <c r="W256" t="s">
        <v>298</v>
      </c>
      <c r="Y256" t="s">
        <v>1082</v>
      </c>
      <c r="AA256" t="s">
        <v>1083</v>
      </c>
      <c r="AB256" t="s">
        <v>312</v>
      </c>
      <c r="AD256" t="s">
        <v>1084</v>
      </c>
      <c r="AG256" s="8" t="s">
        <v>218</v>
      </c>
      <c r="AI256" s="9" t="s">
        <v>218</v>
      </c>
      <c r="AJ256" s="9" t="s">
        <v>218</v>
      </c>
      <c r="AK256" t="s">
        <v>1085</v>
      </c>
      <c r="AL256" s="8" t="s">
        <v>221</v>
      </c>
      <c r="AM256" s="9" t="s">
        <v>218</v>
      </c>
      <c r="AN256" s="8" t="s">
        <v>221</v>
      </c>
      <c r="AO256" s="9" t="s">
        <v>1086</v>
      </c>
      <c r="AP256" s="8">
        <v>0</v>
      </c>
      <c r="AQ256" s="8">
        <v>0</v>
      </c>
      <c r="AR256" s="8">
        <v>0</v>
      </c>
      <c r="AS256" s="8">
        <v>0</v>
      </c>
      <c r="AT256" s="8">
        <v>0</v>
      </c>
      <c r="AU256" s="8">
        <v>0</v>
      </c>
      <c r="AV256" s="8">
        <v>0</v>
      </c>
      <c r="AW256" s="8">
        <v>0</v>
      </c>
      <c r="AX256" s="8"/>
      <c r="AY256" s="8"/>
      <c r="BC256" t="s">
        <v>1098</v>
      </c>
    </row>
    <row r="257" spans="1:55">
      <c r="A257" s="6">
        <v>45779</v>
      </c>
      <c r="B257" s="7" t="s">
        <v>1099</v>
      </c>
      <c r="C257" t="s">
        <v>387</v>
      </c>
      <c r="D257" t="s">
        <v>1075</v>
      </c>
      <c r="E257" t="s">
        <v>1075</v>
      </c>
      <c r="F257" t="s">
        <v>1076</v>
      </c>
      <c r="G257" t="s">
        <v>1077</v>
      </c>
      <c r="H257" s="8" t="s">
        <v>221</v>
      </c>
      <c r="I257" s="8" t="s">
        <v>221</v>
      </c>
      <c r="J257" s="8" t="s">
        <v>221</v>
      </c>
      <c r="K257" s="8" t="s">
        <v>221</v>
      </c>
      <c r="L257" s="8" t="s">
        <v>221</v>
      </c>
      <c r="M257" s="8" t="s">
        <v>208</v>
      </c>
      <c r="N257" s="8" t="s">
        <v>221</v>
      </c>
      <c r="O257" s="8" t="s">
        <v>221</v>
      </c>
      <c r="Q257" t="s">
        <v>1100</v>
      </c>
      <c r="R257" t="s">
        <v>1101</v>
      </c>
      <c r="S257" t="s">
        <v>1101</v>
      </c>
      <c r="T257" t="s">
        <v>1099</v>
      </c>
      <c r="U257" t="s">
        <v>1102</v>
      </c>
      <c r="V257" t="s">
        <v>38</v>
      </c>
      <c r="W257" t="s">
        <v>298</v>
      </c>
      <c r="X257" t="s">
        <v>298</v>
      </c>
      <c r="Y257" t="s">
        <v>1103</v>
      </c>
      <c r="Z257" t="s">
        <v>299</v>
      </c>
      <c r="AA257" t="s">
        <v>653</v>
      </c>
      <c r="AB257" t="s">
        <v>603</v>
      </c>
      <c r="AC257" t="s">
        <v>408</v>
      </c>
      <c r="AD257" t="s">
        <v>1084</v>
      </c>
      <c r="AE257" t="s">
        <v>654</v>
      </c>
      <c r="AG257" s="8" t="s">
        <v>218</v>
      </c>
      <c r="AH257" t="s">
        <v>219</v>
      </c>
      <c r="AI257" s="9" t="s">
        <v>218</v>
      </c>
      <c r="AJ257" s="9" t="s">
        <v>218</v>
      </c>
      <c r="AK257" t="s">
        <v>1104</v>
      </c>
      <c r="AL257" s="8" t="s">
        <v>221</v>
      </c>
      <c r="AM257" s="9" t="s">
        <v>218</v>
      </c>
      <c r="AN257" s="8" t="s">
        <v>221</v>
      </c>
      <c r="AO257" s="8" t="s">
        <v>222</v>
      </c>
      <c r="AP257" s="8">
        <v>0</v>
      </c>
      <c r="AQ257" s="8">
        <v>0</v>
      </c>
      <c r="AR257" s="9">
        <v>26</v>
      </c>
      <c r="AS257" s="8">
        <v>0</v>
      </c>
      <c r="AT257" s="8">
        <v>0</v>
      </c>
      <c r="AU257" s="8">
        <v>0</v>
      </c>
      <c r="AV257" s="8">
        <v>0</v>
      </c>
      <c r="AW257" s="9">
        <v>26</v>
      </c>
      <c r="AX257" s="8"/>
      <c r="AY257" s="8"/>
      <c r="AZ257">
        <v>2</v>
      </c>
      <c r="BA257" t="s">
        <v>1105</v>
      </c>
      <c r="BB257" t="s">
        <v>1106</v>
      </c>
      <c r="BC257" t="s">
        <v>1107</v>
      </c>
    </row>
    <row r="258" spans="1:55">
      <c r="A258" s="6">
        <v>45779</v>
      </c>
      <c r="B258" s="7" t="s">
        <v>1108</v>
      </c>
      <c r="C258" t="s">
        <v>668</v>
      </c>
      <c r="D258" t="s">
        <v>1075</v>
      </c>
      <c r="E258" t="s">
        <v>1075</v>
      </c>
      <c r="F258" t="s">
        <v>1076</v>
      </c>
      <c r="G258" t="s">
        <v>1077</v>
      </c>
      <c r="H258" s="8" t="s">
        <v>221</v>
      </c>
      <c r="I258" s="8" t="s">
        <v>221</v>
      </c>
      <c r="J258" s="8" t="s">
        <v>221</v>
      </c>
      <c r="K258" s="8" t="s">
        <v>221</v>
      </c>
      <c r="L258" s="8" t="s">
        <v>221</v>
      </c>
      <c r="M258" s="8" t="s">
        <v>208</v>
      </c>
      <c r="N258" s="8" t="s">
        <v>221</v>
      </c>
      <c r="O258" s="8" t="s">
        <v>221</v>
      </c>
      <c r="Q258" t="s">
        <v>1109</v>
      </c>
      <c r="R258" t="s">
        <v>1110</v>
      </c>
      <c r="S258" t="s">
        <v>1110</v>
      </c>
      <c r="T258" t="s">
        <v>1108</v>
      </c>
      <c r="U258" t="s">
        <v>1111</v>
      </c>
      <c r="V258" t="s">
        <v>700</v>
      </c>
      <c r="W258" t="s">
        <v>212</v>
      </c>
      <c r="X258" t="s">
        <v>212</v>
      </c>
      <c r="Y258" t="s">
        <v>275</v>
      </c>
      <c r="Z258" t="s">
        <v>213</v>
      </c>
      <c r="AA258" t="s">
        <v>645</v>
      </c>
      <c r="AB258" t="s">
        <v>758</v>
      </c>
      <c r="AC258" t="s">
        <v>285</v>
      </c>
      <c r="AD258" t="s">
        <v>1112</v>
      </c>
      <c r="AE258" t="s">
        <v>673</v>
      </c>
      <c r="AG258" s="8" t="s">
        <v>218</v>
      </c>
      <c r="AH258" t="s">
        <v>219</v>
      </c>
      <c r="AI258" s="9" t="s">
        <v>218</v>
      </c>
      <c r="AJ258" s="9" t="s">
        <v>218</v>
      </c>
      <c r="AK258" t="s">
        <v>234</v>
      </c>
      <c r="AL258" s="8" t="s">
        <v>221</v>
      </c>
      <c r="AM258" s="9" t="s">
        <v>218</v>
      </c>
      <c r="AN258" s="8" t="s">
        <v>221</v>
      </c>
      <c r="AO258" s="8" t="s">
        <v>222</v>
      </c>
      <c r="AP258" s="8">
        <v>0</v>
      </c>
      <c r="AQ258" s="8">
        <v>0</v>
      </c>
      <c r="AR258" s="9">
        <v>36</v>
      </c>
      <c r="AS258" s="8">
        <v>0</v>
      </c>
      <c r="AT258" s="8">
        <v>0</v>
      </c>
      <c r="AU258" s="8">
        <v>0</v>
      </c>
      <c r="AV258" s="8">
        <v>0</v>
      </c>
      <c r="AW258" s="9">
        <v>36</v>
      </c>
      <c r="AX258" s="8"/>
      <c r="AY258" s="8"/>
      <c r="AZ258">
        <v>2</v>
      </c>
      <c r="BA258" t="s">
        <v>1113</v>
      </c>
      <c r="BB258" t="s">
        <v>1114</v>
      </c>
      <c r="BC258" t="s">
        <v>1115</v>
      </c>
    </row>
    <row r="259" spans="1:55">
      <c r="A259" s="6">
        <v>45779</v>
      </c>
      <c r="B259" s="7" t="s">
        <v>1116</v>
      </c>
      <c r="C259" t="s">
        <v>387</v>
      </c>
      <c r="D259" t="s">
        <v>1075</v>
      </c>
      <c r="E259" t="s">
        <v>1075</v>
      </c>
      <c r="F259" t="s">
        <v>1076</v>
      </c>
      <c r="G259" t="s">
        <v>1077</v>
      </c>
      <c r="H259" s="8" t="s">
        <v>221</v>
      </c>
      <c r="I259" s="8" t="s">
        <v>221</v>
      </c>
      <c r="J259" s="8" t="s">
        <v>221</v>
      </c>
      <c r="K259" s="8" t="s">
        <v>221</v>
      </c>
      <c r="L259" s="8" t="s">
        <v>221</v>
      </c>
      <c r="M259" s="8" t="s">
        <v>208</v>
      </c>
      <c r="N259" s="8" t="s">
        <v>221</v>
      </c>
      <c r="O259" s="8" t="s">
        <v>221</v>
      </c>
      <c r="Q259" t="s">
        <v>1117</v>
      </c>
      <c r="R259" t="s">
        <v>1118</v>
      </c>
      <c r="S259" t="s">
        <v>1118</v>
      </c>
      <c r="T259" t="s">
        <v>1116</v>
      </c>
      <c r="U259" t="s">
        <v>1119</v>
      </c>
      <c r="V259" t="s">
        <v>635</v>
      </c>
      <c r="W259" t="s">
        <v>298</v>
      </c>
      <c r="X259" t="s">
        <v>298</v>
      </c>
      <c r="Y259" t="s">
        <v>1103</v>
      </c>
      <c r="Z259" t="s">
        <v>299</v>
      </c>
      <c r="AA259" t="s">
        <v>636</v>
      </c>
      <c r="AB259" t="s">
        <v>538</v>
      </c>
      <c r="AC259" t="s">
        <v>417</v>
      </c>
      <c r="AD259" t="s">
        <v>1084</v>
      </c>
      <c r="AE259" t="s">
        <v>636</v>
      </c>
      <c r="AG259" s="8" t="s">
        <v>218</v>
      </c>
      <c r="AH259" t="s">
        <v>302</v>
      </c>
      <c r="AI259" s="9" t="s">
        <v>218</v>
      </c>
      <c r="AJ259" s="9" t="s">
        <v>218</v>
      </c>
      <c r="AK259" t="s">
        <v>1120</v>
      </c>
      <c r="AL259" s="8" t="s">
        <v>221</v>
      </c>
      <c r="AM259" s="9" t="s">
        <v>218</v>
      </c>
      <c r="AN259" s="8" t="s">
        <v>221</v>
      </c>
      <c r="AO259" s="8" t="s">
        <v>222</v>
      </c>
      <c r="AP259" s="8">
        <v>0</v>
      </c>
      <c r="AQ259" s="8">
        <v>0</v>
      </c>
      <c r="AR259" s="9">
        <v>13</v>
      </c>
      <c r="AS259" s="8">
        <v>0</v>
      </c>
      <c r="AT259" s="8">
        <v>0</v>
      </c>
      <c r="AU259" s="8">
        <v>0</v>
      </c>
      <c r="AV259" s="8">
        <v>0</v>
      </c>
      <c r="AW259" s="9">
        <v>13</v>
      </c>
      <c r="AX259" s="8"/>
      <c r="AY259" s="8"/>
      <c r="AZ259">
        <v>2</v>
      </c>
      <c r="BA259" t="s">
        <v>1121</v>
      </c>
      <c r="BB259" t="s">
        <v>1122</v>
      </c>
      <c r="BC259" t="s">
        <v>1123</v>
      </c>
    </row>
    <row r="260" spans="1:55">
      <c r="A260" s="6">
        <v>45779</v>
      </c>
      <c r="B260" s="7" t="s">
        <v>1124</v>
      </c>
      <c r="C260" t="s">
        <v>387</v>
      </c>
      <c r="D260" t="s">
        <v>1075</v>
      </c>
      <c r="E260" t="s">
        <v>1075</v>
      </c>
      <c r="F260" t="s">
        <v>1076</v>
      </c>
      <c r="G260" t="s">
        <v>1077</v>
      </c>
      <c r="H260" s="8" t="s">
        <v>221</v>
      </c>
      <c r="I260" s="8" t="s">
        <v>221</v>
      </c>
      <c r="J260" s="8" t="s">
        <v>221</v>
      </c>
      <c r="K260" s="8" t="s">
        <v>221</v>
      </c>
      <c r="L260" s="8" t="s">
        <v>221</v>
      </c>
      <c r="M260" s="8" t="s">
        <v>208</v>
      </c>
      <c r="N260" s="8" t="s">
        <v>221</v>
      </c>
      <c r="O260" s="8" t="s">
        <v>221</v>
      </c>
      <c r="Q260" t="s">
        <v>1125</v>
      </c>
      <c r="R260" t="s">
        <v>1126</v>
      </c>
      <c r="S260" t="s">
        <v>1126</v>
      </c>
      <c r="T260" t="s">
        <v>1124</v>
      </c>
      <c r="U260" t="s">
        <v>1127</v>
      </c>
      <c r="V260" t="s">
        <v>1128</v>
      </c>
      <c r="W260" t="s">
        <v>298</v>
      </c>
      <c r="X260" t="s">
        <v>298</v>
      </c>
      <c r="Y260" t="s">
        <v>1103</v>
      </c>
      <c r="Z260" t="s">
        <v>299</v>
      </c>
      <c r="AA260" t="s">
        <v>1129</v>
      </c>
      <c r="AB260" t="s">
        <v>301</v>
      </c>
      <c r="AC260" t="s">
        <v>312</v>
      </c>
      <c r="AD260" t="s">
        <v>1084</v>
      </c>
      <c r="AG260" s="8" t="s">
        <v>218</v>
      </c>
      <c r="AI260" s="9" t="s">
        <v>218</v>
      </c>
      <c r="AJ260" s="9" t="s">
        <v>218</v>
      </c>
      <c r="AK260" t="s">
        <v>1130</v>
      </c>
      <c r="AL260" s="8" t="s">
        <v>221</v>
      </c>
      <c r="AM260" s="9" t="s">
        <v>218</v>
      </c>
      <c r="AN260" s="8" t="s">
        <v>221</v>
      </c>
      <c r="AO260" s="8" t="s">
        <v>222</v>
      </c>
      <c r="AP260" s="8">
        <v>0</v>
      </c>
      <c r="AQ260" s="8">
        <v>0</v>
      </c>
      <c r="AR260" s="9">
        <v>2</v>
      </c>
      <c r="AS260" s="8">
        <v>0</v>
      </c>
      <c r="AT260" s="8">
        <v>0</v>
      </c>
      <c r="AU260" s="8">
        <v>0</v>
      </c>
      <c r="AV260" s="8">
        <v>0</v>
      </c>
      <c r="AW260" s="9">
        <v>2</v>
      </c>
      <c r="AX260" s="8"/>
      <c r="AY260" s="8"/>
      <c r="AZ260">
        <v>2</v>
      </c>
      <c r="BA260" t="s">
        <v>1131</v>
      </c>
      <c r="BB260" t="s">
        <v>1132</v>
      </c>
      <c r="BC260" t="s">
        <v>1133</v>
      </c>
    </row>
    <row r="261" spans="1:55">
      <c r="A261" s="6">
        <v>45779</v>
      </c>
      <c r="B261" s="7" t="s">
        <v>1134</v>
      </c>
      <c r="C261" t="s">
        <v>668</v>
      </c>
      <c r="D261" t="s">
        <v>1075</v>
      </c>
      <c r="E261" t="s">
        <v>1075</v>
      </c>
      <c r="F261" t="s">
        <v>1076</v>
      </c>
      <c r="G261" t="s">
        <v>1077</v>
      </c>
      <c r="H261" s="8" t="s">
        <v>221</v>
      </c>
      <c r="I261" s="8" t="s">
        <v>221</v>
      </c>
      <c r="J261" s="8" t="s">
        <v>221</v>
      </c>
      <c r="K261" s="8" t="s">
        <v>221</v>
      </c>
      <c r="L261" s="8" t="s">
        <v>221</v>
      </c>
      <c r="M261" s="8" t="s">
        <v>208</v>
      </c>
      <c r="N261" s="8" t="s">
        <v>221</v>
      </c>
      <c r="O261" s="8" t="s">
        <v>221</v>
      </c>
      <c r="Q261" t="s">
        <v>1135</v>
      </c>
      <c r="R261" t="s">
        <v>1136</v>
      </c>
      <c r="S261" t="s">
        <v>1136</v>
      </c>
      <c r="T261" t="s">
        <v>1134</v>
      </c>
      <c r="U261" t="s">
        <v>1137</v>
      </c>
      <c r="V261" t="s">
        <v>140</v>
      </c>
      <c r="W261" t="s">
        <v>212</v>
      </c>
      <c r="X261" t="s">
        <v>212</v>
      </c>
      <c r="Y261" t="s">
        <v>275</v>
      </c>
      <c r="Z261" t="s">
        <v>213</v>
      </c>
      <c r="AA261" t="s">
        <v>214</v>
      </c>
      <c r="AB261" t="s">
        <v>701</v>
      </c>
      <c r="AC261" t="s">
        <v>242</v>
      </c>
      <c r="AD261" t="s">
        <v>1112</v>
      </c>
      <c r="AE261" t="s">
        <v>217</v>
      </c>
      <c r="AG261" s="8" t="s">
        <v>218</v>
      </c>
      <c r="AH261" t="s">
        <v>219</v>
      </c>
      <c r="AI261" s="9" t="s">
        <v>218</v>
      </c>
      <c r="AJ261" s="9" t="s">
        <v>218</v>
      </c>
      <c r="AK261" t="s">
        <v>1138</v>
      </c>
      <c r="AL261" s="8" t="s">
        <v>221</v>
      </c>
      <c r="AM261" s="9" t="s">
        <v>218</v>
      </c>
      <c r="AN261" s="8" t="s">
        <v>221</v>
      </c>
      <c r="AO261" s="8" t="s">
        <v>222</v>
      </c>
      <c r="AP261" s="8">
        <v>0</v>
      </c>
      <c r="AQ261" s="8">
        <v>0</v>
      </c>
      <c r="AR261" s="9">
        <v>1</v>
      </c>
      <c r="AS261" s="8">
        <v>0</v>
      </c>
      <c r="AT261" s="8">
        <v>0</v>
      </c>
      <c r="AU261" s="8">
        <v>0</v>
      </c>
      <c r="AV261" s="8">
        <v>0</v>
      </c>
      <c r="AW261" s="9">
        <v>1</v>
      </c>
      <c r="AX261" s="8"/>
      <c r="AY261" s="8"/>
      <c r="AZ261">
        <v>4</v>
      </c>
      <c r="BA261" t="s">
        <v>1139</v>
      </c>
      <c r="BB261" t="s">
        <v>1140</v>
      </c>
      <c r="BC261" t="s">
        <v>1141</v>
      </c>
    </row>
    <row r="262" spans="1:55">
      <c r="A262" s="6">
        <v>45779</v>
      </c>
      <c r="B262" s="7" t="s">
        <v>1142</v>
      </c>
      <c r="C262" t="s">
        <v>387</v>
      </c>
      <c r="D262" t="s">
        <v>1075</v>
      </c>
      <c r="E262" t="s">
        <v>1075</v>
      </c>
      <c r="F262" t="s">
        <v>1076</v>
      </c>
      <c r="G262" t="s">
        <v>1077</v>
      </c>
      <c r="H262" s="8" t="s">
        <v>221</v>
      </c>
      <c r="I262" s="8" t="s">
        <v>221</v>
      </c>
      <c r="J262" s="8" t="s">
        <v>221</v>
      </c>
      <c r="K262" s="8" t="s">
        <v>221</v>
      </c>
      <c r="L262" s="8" t="s">
        <v>221</v>
      </c>
      <c r="M262" s="8" t="s">
        <v>208</v>
      </c>
      <c r="N262" s="8" t="s">
        <v>221</v>
      </c>
      <c r="O262" s="8" t="s">
        <v>221</v>
      </c>
      <c r="Q262" t="s">
        <v>1143</v>
      </c>
      <c r="R262" t="s">
        <v>1144</v>
      </c>
      <c r="S262" t="s">
        <v>1144</v>
      </c>
      <c r="T262" t="s">
        <v>1142</v>
      </c>
      <c r="U262" t="s">
        <v>1145</v>
      </c>
      <c r="V262" t="s">
        <v>1146</v>
      </c>
      <c r="W262" t="s">
        <v>298</v>
      </c>
      <c r="X262" t="s">
        <v>298</v>
      </c>
      <c r="Y262" t="s">
        <v>1103</v>
      </c>
      <c r="Z262" t="s">
        <v>299</v>
      </c>
      <c r="AA262" t="s">
        <v>645</v>
      </c>
      <c r="AB262" t="s">
        <v>1147</v>
      </c>
      <c r="AC262" t="s">
        <v>646</v>
      </c>
      <c r="AD262" t="s">
        <v>1084</v>
      </c>
      <c r="AE262" t="s">
        <v>645</v>
      </c>
      <c r="AG262" s="8" t="s">
        <v>218</v>
      </c>
      <c r="AH262" t="s">
        <v>302</v>
      </c>
      <c r="AI262" s="9" t="s">
        <v>218</v>
      </c>
      <c r="AJ262" s="9" t="s">
        <v>218</v>
      </c>
      <c r="AK262" t="s">
        <v>1148</v>
      </c>
      <c r="AL262" s="8" t="s">
        <v>221</v>
      </c>
      <c r="AM262" s="9" t="s">
        <v>218</v>
      </c>
      <c r="AN262" s="8" t="s">
        <v>221</v>
      </c>
      <c r="AO262" s="8" t="s">
        <v>222</v>
      </c>
      <c r="AP262" s="8">
        <v>0</v>
      </c>
      <c r="AQ262" s="8">
        <v>0</v>
      </c>
      <c r="AR262" s="9">
        <v>27</v>
      </c>
      <c r="AS262" s="8">
        <v>0</v>
      </c>
      <c r="AT262" s="8">
        <v>0</v>
      </c>
      <c r="AU262" s="8">
        <v>0</v>
      </c>
      <c r="AV262" s="8">
        <v>0</v>
      </c>
      <c r="AW262" s="9">
        <v>27</v>
      </c>
      <c r="AX262" s="9" t="s">
        <v>1149</v>
      </c>
      <c r="AY262" s="8"/>
      <c r="AZ262">
        <v>2</v>
      </c>
      <c r="BA262" t="s">
        <v>1150</v>
      </c>
      <c r="BB262" t="s">
        <v>1151</v>
      </c>
      <c r="BC262" t="s">
        <v>1152</v>
      </c>
    </row>
    <row r="263" spans="1:55">
      <c r="A263" s="6">
        <v>45779</v>
      </c>
      <c r="B263" s="7" t="s">
        <v>640</v>
      </c>
      <c r="C263" t="s">
        <v>387</v>
      </c>
      <c r="D263" t="s">
        <v>1075</v>
      </c>
      <c r="E263" t="s">
        <v>1075</v>
      </c>
      <c r="F263" t="s">
        <v>1076</v>
      </c>
      <c r="G263" t="s">
        <v>1077</v>
      </c>
      <c r="H263" s="8" t="s">
        <v>221</v>
      </c>
      <c r="I263" s="8" t="s">
        <v>221</v>
      </c>
      <c r="J263" s="8" t="s">
        <v>221</v>
      </c>
      <c r="K263" s="8" t="s">
        <v>221</v>
      </c>
      <c r="L263" s="8" t="s">
        <v>221</v>
      </c>
      <c r="M263" s="8" t="s">
        <v>208</v>
      </c>
      <c r="N263" s="8" t="s">
        <v>221</v>
      </c>
      <c r="O263" s="8" t="s">
        <v>221</v>
      </c>
      <c r="P263" t="s">
        <v>1153</v>
      </c>
      <c r="Q263" t="s">
        <v>641</v>
      </c>
      <c r="R263" t="s">
        <v>642</v>
      </c>
      <c r="S263" t="s">
        <v>642</v>
      </c>
      <c r="T263" t="s">
        <v>640</v>
      </c>
      <c r="U263" t="s">
        <v>643</v>
      </c>
      <c r="V263" t="s">
        <v>644</v>
      </c>
      <c r="W263" t="s">
        <v>298</v>
      </c>
      <c r="X263" t="s">
        <v>298</v>
      </c>
      <c r="Y263" t="s">
        <v>1103</v>
      </c>
      <c r="Z263" t="s">
        <v>299</v>
      </c>
      <c r="AA263" t="s">
        <v>645</v>
      </c>
      <c r="AB263" t="s">
        <v>1147</v>
      </c>
      <c r="AC263" t="s">
        <v>646</v>
      </c>
      <c r="AD263" t="s">
        <v>1084</v>
      </c>
      <c r="AE263" t="s">
        <v>645</v>
      </c>
      <c r="AF263" s="9" t="s">
        <v>1154</v>
      </c>
      <c r="AG263" s="9" t="s">
        <v>221</v>
      </c>
      <c r="AH263" t="s">
        <v>302</v>
      </c>
      <c r="AI263" s="9" t="s">
        <v>218</v>
      </c>
      <c r="AJ263" s="9" t="s">
        <v>218</v>
      </c>
      <c r="AK263" t="s">
        <v>234</v>
      </c>
      <c r="AL263" s="8" t="s">
        <v>221</v>
      </c>
      <c r="AM263" s="9" t="s">
        <v>218</v>
      </c>
      <c r="AN263" s="8" t="s">
        <v>221</v>
      </c>
      <c r="AO263" s="8" t="s">
        <v>222</v>
      </c>
      <c r="AP263" s="8">
        <v>0</v>
      </c>
      <c r="AQ263" s="8">
        <v>0</v>
      </c>
      <c r="AR263" s="9">
        <v>72</v>
      </c>
      <c r="AS263" s="8">
        <v>0</v>
      </c>
      <c r="AT263" s="8">
        <v>0</v>
      </c>
      <c r="AU263" s="8">
        <v>0</v>
      </c>
      <c r="AV263" s="8">
        <v>0</v>
      </c>
      <c r="AW263" s="9">
        <v>72</v>
      </c>
      <c r="AX263" s="8"/>
      <c r="AY263" s="8"/>
      <c r="AZ263">
        <v>2</v>
      </c>
      <c r="BA263" t="s">
        <v>1155</v>
      </c>
      <c r="BB263" t="s">
        <v>647</v>
      </c>
      <c r="BC263" t="s">
        <v>648</v>
      </c>
    </row>
    <row r="264" spans="1:55">
      <c r="A264" s="6">
        <v>45779</v>
      </c>
      <c r="B264" s="7" t="s">
        <v>271</v>
      </c>
      <c r="C264" t="s">
        <v>668</v>
      </c>
      <c r="D264" t="s">
        <v>1075</v>
      </c>
      <c r="E264" t="s">
        <v>1075</v>
      </c>
      <c r="F264" t="s">
        <v>1076</v>
      </c>
      <c r="G264" t="s">
        <v>1077</v>
      </c>
      <c r="H264" s="8" t="s">
        <v>221</v>
      </c>
      <c r="I264" s="8" t="s">
        <v>221</v>
      </c>
      <c r="J264" s="8" t="s">
        <v>221</v>
      </c>
      <c r="K264" s="8" t="s">
        <v>221</v>
      </c>
      <c r="L264" s="8" t="s">
        <v>221</v>
      </c>
      <c r="M264" s="8" t="s">
        <v>208</v>
      </c>
      <c r="N264" s="8" t="s">
        <v>221</v>
      </c>
      <c r="O264" s="8" t="s">
        <v>221</v>
      </c>
      <c r="P264" t="s">
        <v>1153</v>
      </c>
      <c r="Q264" t="s">
        <v>272</v>
      </c>
      <c r="R264" t="s">
        <v>273</v>
      </c>
      <c r="S264" t="s">
        <v>273</v>
      </c>
      <c r="T264" t="s">
        <v>271</v>
      </c>
      <c r="U264" t="s">
        <v>274</v>
      </c>
      <c r="V264" t="s">
        <v>140</v>
      </c>
      <c r="W264" t="s">
        <v>212</v>
      </c>
      <c r="X264" t="s">
        <v>212</v>
      </c>
      <c r="Y264" t="s">
        <v>275</v>
      </c>
      <c r="Z264" t="s">
        <v>213</v>
      </c>
      <c r="AA264" t="s">
        <v>214</v>
      </c>
      <c r="AB264" t="s">
        <v>276</v>
      </c>
      <c r="AC264" t="s">
        <v>277</v>
      </c>
      <c r="AD264" t="s">
        <v>1112</v>
      </c>
      <c r="AE264" t="s">
        <v>217</v>
      </c>
      <c r="AF264" s="8" t="s">
        <v>1156</v>
      </c>
      <c r="AG264" s="9" t="s">
        <v>221</v>
      </c>
      <c r="AH264" t="s">
        <v>219</v>
      </c>
      <c r="AI264" s="9" t="s">
        <v>218</v>
      </c>
      <c r="AJ264" s="9" t="s">
        <v>218</v>
      </c>
      <c r="AK264" t="s">
        <v>234</v>
      </c>
      <c r="AL264" s="8" t="s">
        <v>221</v>
      </c>
      <c r="AM264" s="9" t="s">
        <v>218</v>
      </c>
      <c r="AN264" s="8" t="s">
        <v>221</v>
      </c>
      <c r="AO264" s="8" t="s">
        <v>222</v>
      </c>
      <c r="AP264" s="8">
        <v>0</v>
      </c>
      <c r="AQ264" s="8">
        <v>0</v>
      </c>
      <c r="AR264" s="9">
        <v>73</v>
      </c>
      <c r="AS264" s="8">
        <v>0</v>
      </c>
      <c r="AT264" s="8">
        <v>0</v>
      </c>
      <c r="AU264" s="8">
        <v>0</v>
      </c>
      <c r="AV264" s="8">
        <v>0</v>
      </c>
      <c r="AW264" s="9">
        <v>73</v>
      </c>
      <c r="AX264" s="9" t="s">
        <v>278</v>
      </c>
      <c r="AY264" s="8"/>
      <c r="AZ264">
        <v>3</v>
      </c>
      <c r="BA264" t="s">
        <v>1157</v>
      </c>
      <c r="BB264" t="s">
        <v>279</v>
      </c>
      <c r="BC264" t="s">
        <v>280</v>
      </c>
    </row>
    <row r="265" spans="1:55">
      <c r="A265" s="6">
        <v>45779</v>
      </c>
      <c r="B265" s="7" t="s">
        <v>1158</v>
      </c>
      <c r="C265" t="s">
        <v>205</v>
      </c>
      <c r="D265" t="s">
        <v>1159</v>
      </c>
      <c r="G265" t="s">
        <v>1160</v>
      </c>
      <c r="H265" s="8" t="s">
        <v>208</v>
      </c>
      <c r="I265" s="8" t="s">
        <v>208</v>
      </c>
      <c r="J265" s="8" t="s">
        <v>208</v>
      </c>
      <c r="K265" s="8" t="s">
        <v>208</v>
      </c>
      <c r="L265" s="8" t="s">
        <v>208</v>
      </c>
      <c r="M265" s="8" t="s">
        <v>208</v>
      </c>
      <c r="N265" s="8" t="s">
        <v>208</v>
      </c>
      <c r="O265" s="8" t="s">
        <v>221</v>
      </c>
      <c r="Q265" t="s">
        <v>1161</v>
      </c>
      <c r="R265" t="s">
        <v>1162</v>
      </c>
      <c r="S265" t="s">
        <v>1162</v>
      </c>
      <c r="T265" t="s">
        <v>1158</v>
      </c>
      <c r="U265" t="s">
        <v>1163</v>
      </c>
      <c r="V265" t="s">
        <v>140</v>
      </c>
      <c r="W265" t="s">
        <v>774</v>
      </c>
      <c r="X265" t="s">
        <v>774</v>
      </c>
      <c r="Y265" t="s">
        <v>1082</v>
      </c>
      <c r="Z265" t="s">
        <v>775</v>
      </c>
      <c r="AA265" t="s">
        <v>1164</v>
      </c>
      <c r="AB265" t="s">
        <v>301</v>
      </c>
      <c r="AC265" t="s">
        <v>301</v>
      </c>
      <c r="AD265" t="s">
        <v>1165</v>
      </c>
      <c r="AE265" t="s">
        <v>1166</v>
      </c>
      <c r="AG265" s="8" t="s">
        <v>218</v>
      </c>
      <c r="AH265" t="s">
        <v>219</v>
      </c>
      <c r="AI265" s="9" t="s">
        <v>218</v>
      </c>
      <c r="AJ265" s="9" t="s">
        <v>218</v>
      </c>
      <c r="AK265" t="s">
        <v>1167</v>
      </c>
      <c r="AL265" s="8" t="s">
        <v>221</v>
      </c>
      <c r="AM265" s="9" t="s">
        <v>218</v>
      </c>
      <c r="AN265" s="8" t="s">
        <v>221</v>
      </c>
      <c r="AO265" s="8" t="s">
        <v>222</v>
      </c>
      <c r="AP265" s="8">
        <v>0</v>
      </c>
      <c r="AQ265" s="8">
        <v>0</v>
      </c>
      <c r="AR265" s="9">
        <v>50</v>
      </c>
      <c r="AS265" s="8">
        <v>0</v>
      </c>
      <c r="AT265" s="8">
        <v>0</v>
      </c>
      <c r="AU265" s="8">
        <v>0</v>
      </c>
      <c r="AV265" s="8">
        <v>0</v>
      </c>
      <c r="AW265" s="9">
        <v>50</v>
      </c>
      <c r="AX265" s="8"/>
      <c r="AY265" s="9" t="s">
        <v>1168</v>
      </c>
      <c r="AZ265">
        <v>2</v>
      </c>
      <c r="BA265" t="s">
        <v>1169</v>
      </c>
      <c r="BB265" t="s">
        <v>1170</v>
      </c>
      <c r="BC265" t="s">
        <v>1171</v>
      </c>
    </row>
    <row r="266" spans="1:55">
      <c r="A266" s="6">
        <v>45779</v>
      </c>
      <c r="B266" s="7" t="s">
        <v>1172</v>
      </c>
      <c r="C266" t="s">
        <v>205</v>
      </c>
      <c r="D266" t="s">
        <v>1159</v>
      </c>
      <c r="G266" t="s">
        <v>1160</v>
      </c>
      <c r="H266" s="8" t="s">
        <v>208</v>
      </c>
      <c r="I266" s="8" t="s">
        <v>208</v>
      </c>
      <c r="J266" s="8" t="s">
        <v>208</v>
      </c>
      <c r="K266" s="8" t="s">
        <v>208</v>
      </c>
      <c r="L266" s="8" t="s">
        <v>208</v>
      </c>
      <c r="M266" s="8" t="s">
        <v>208</v>
      </c>
      <c r="N266" s="8" t="s">
        <v>208</v>
      </c>
      <c r="O266" s="8" t="s">
        <v>221</v>
      </c>
      <c r="Q266" t="s">
        <v>1173</v>
      </c>
      <c r="R266" t="s">
        <v>1174</v>
      </c>
      <c r="S266" t="s">
        <v>1175</v>
      </c>
      <c r="T266" t="s">
        <v>1176</v>
      </c>
      <c r="U266" t="s">
        <v>1177</v>
      </c>
      <c r="V266" t="s">
        <v>140</v>
      </c>
      <c r="W266" t="s">
        <v>774</v>
      </c>
      <c r="X266" t="s">
        <v>212</v>
      </c>
      <c r="Y266" t="s">
        <v>1082</v>
      </c>
      <c r="Z266" t="s">
        <v>213</v>
      </c>
      <c r="AA266" t="s">
        <v>1164</v>
      </c>
      <c r="AB266" t="s">
        <v>312</v>
      </c>
      <c r="AC266" t="s">
        <v>701</v>
      </c>
      <c r="AD266" t="s">
        <v>1165</v>
      </c>
      <c r="AE266" t="s">
        <v>11</v>
      </c>
      <c r="AG266" s="8" t="s">
        <v>218</v>
      </c>
      <c r="AH266" t="s">
        <v>219</v>
      </c>
      <c r="AI266" s="9" t="s">
        <v>218</v>
      </c>
      <c r="AJ266" s="9" t="s">
        <v>218</v>
      </c>
      <c r="AK266" t="s">
        <v>234</v>
      </c>
      <c r="AL266" s="8" t="s">
        <v>221</v>
      </c>
      <c r="AM266" s="9" t="s">
        <v>218</v>
      </c>
      <c r="AN266" s="8" t="s">
        <v>221</v>
      </c>
      <c r="AO266" s="8" t="s">
        <v>222</v>
      </c>
      <c r="AP266" s="8">
        <v>0</v>
      </c>
      <c r="AQ266" s="8">
        <v>0</v>
      </c>
      <c r="AR266" s="9">
        <v>7</v>
      </c>
      <c r="AS266" s="8">
        <v>0</v>
      </c>
      <c r="AT266" s="8">
        <v>0</v>
      </c>
      <c r="AU266" s="8">
        <v>0</v>
      </c>
      <c r="AV266" s="8">
        <v>0</v>
      </c>
      <c r="AW266" s="9">
        <v>7</v>
      </c>
      <c r="AX266" s="8"/>
      <c r="AY266" s="9" t="s">
        <v>1178</v>
      </c>
      <c r="AZ266">
        <v>2</v>
      </c>
      <c r="BA266" t="s">
        <v>1179</v>
      </c>
      <c r="BB266" t="s">
        <v>1180</v>
      </c>
      <c r="BC266" t="s">
        <v>1181</v>
      </c>
    </row>
    <row r="267" spans="1:55">
      <c r="A267" s="6">
        <v>45779</v>
      </c>
      <c r="B267" s="7" t="s">
        <v>1182</v>
      </c>
      <c r="C267" t="s">
        <v>205</v>
      </c>
      <c r="D267" t="s">
        <v>1159</v>
      </c>
      <c r="G267" t="s">
        <v>1160</v>
      </c>
      <c r="H267" s="8" t="s">
        <v>208</v>
      </c>
      <c r="I267" s="8" t="s">
        <v>208</v>
      </c>
      <c r="J267" s="8" t="s">
        <v>208</v>
      </c>
      <c r="K267" s="8" t="s">
        <v>208</v>
      </c>
      <c r="L267" s="8" t="s">
        <v>208</v>
      </c>
      <c r="M267" s="8" t="s">
        <v>208</v>
      </c>
      <c r="N267" s="8" t="s">
        <v>208</v>
      </c>
      <c r="O267" s="8" t="s">
        <v>221</v>
      </c>
      <c r="Q267" t="s">
        <v>1183</v>
      </c>
      <c r="R267" t="s">
        <v>1184</v>
      </c>
      <c r="S267" t="s">
        <v>1185</v>
      </c>
      <c r="T267" t="s">
        <v>1186</v>
      </c>
      <c r="U267" t="s">
        <v>1187</v>
      </c>
      <c r="V267" t="s">
        <v>140</v>
      </c>
      <c r="W267" t="s">
        <v>774</v>
      </c>
      <c r="Y267" t="s">
        <v>1082</v>
      </c>
      <c r="AA267" t="s">
        <v>1164</v>
      </c>
      <c r="AB267" t="s">
        <v>312</v>
      </c>
      <c r="AD267" t="s">
        <v>1165</v>
      </c>
      <c r="AG267" s="8" t="s">
        <v>218</v>
      </c>
      <c r="AI267" s="9" t="s">
        <v>218</v>
      </c>
      <c r="AJ267" s="9" t="s">
        <v>218</v>
      </c>
      <c r="AK267" t="s">
        <v>234</v>
      </c>
      <c r="AL267" s="8" t="s">
        <v>221</v>
      </c>
      <c r="AM267" s="9" t="s">
        <v>218</v>
      </c>
      <c r="AN267" s="8" t="s">
        <v>221</v>
      </c>
      <c r="AO267" s="8" t="s">
        <v>222</v>
      </c>
      <c r="AP267" s="8">
        <v>0</v>
      </c>
      <c r="AQ267" s="8">
        <v>0</v>
      </c>
      <c r="AR267" s="8">
        <v>0</v>
      </c>
      <c r="AS267" s="8">
        <v>0</v>
      </c>
      <c r="AT267" s="8">
        <v>0</v>
      </c>
      <c r="AU267" s="8">
        <v>0</v>
      </c>
      <c r="AV267" s="8">
        <v>0</v>
      </c>
      <c r="AW267" s="8">
        <v>0</v>
      </c>
      <c r="AX267" s="8"/>
      <c r="AY267" s="8"/>
      <c r="AZ267">
        <v>5</v>
      </c>
      <c r="BA267" t="s">
        <v>1188</v>
      </c>
      <c r="BC267" t="s">
        <v>1189</v>
      </c>
    </row>
    <row r="268" spans="1:55">
      <c r="A268" s="6">
        <v>45779</v>
      </c>
      <c r="B268" s="7" t="s">
        <v>1190</v>
      </c>
      <c r="C268" t="s">
        <v>205</v>
      </c>
      <c r="D268" t="s">
        <v>1159</v>
      </c>
      <c r="G268" t="s">
        <v>1160</v>
      </c>
      <c r="H268" s="8" t="s">
        <v>208</v>
      </c>
      <c r="I268" s="8" t="s">
        <v>208</v>
      </c>
      <c r="J268" s="8" t="s">
        <v>208</v>
      </c>
      <c r="K268" s="8" t="s">
        <v>208</v>
      </c>
      <c r="L268" s="8" t="s">
        <v>208</v>
      </c>
      <c r="M268" s="8" t="s">
        <v>208</v>
      </c>
      <c r="N268" s="8" t="s">
        <v>208</v>
      </c>
      <c r="O268" s="8" t="s">
        <v>221</v>
      </c>
      <c r="Q268" t="s">
        <v>1191</v>
      </c>
      <c r="R268" t="s">
        <v>1192</v>
      </c>
      <c r="S268" t="s">
        <v>1193</v>
      </c>
      <c r="T268" t="s">
        <v>1194</v>
      </c>
      <c r="U268" t="s">
        <v>1195</v>
      </c>
      <c r="V268" t="s">
        <v>140</v>
      </c>
      <c r="W268" t="s">
        <v>774</v>
      </c>
      <c r="Y268" t="s">
        <v>1082</v>
      </c>
      <c r="AA268" t="s">
        <v>1164</v>
      </c>
      <c r="AB268" t="s">
        <v>312</v>
      </c>
      <c r="AD268" t="s">
        <v>1165</v>
      </c>
      <c r="AG268" s="8" t="s">
        <v>218</v>
      </c>
      <c r="AI268" s="9" t="s">
        <v>218</v>
      </c>
      <c r="AJ268" s="9" t="s">
        <v>218</v>
      </c>
      <c r="AK268" t="s">
        <v>1196</v>
      </c>
      <c r="AL268" s="8" t="s">
        <v>221</v>
      </c>
      <c r="AM268" s="9" t="s">
        <v>218</v>
      </c>
      <c r="AN268" s="8" t="s">
        <v>221</v>
      </c>
      <c r="AO268" s="8" t="s">
        <v>222</v>
      </c>
      <c r="AP268" s="8">
        <v>0</v>
      </c>
      <c r="AQ268" s="8">
        <v>0</v>
      </c>
      <c r="AR268" s="8">
        <v>0</v>
      </c>
      <c r="AS268" s="8">
        <v>0</v>
      </c>
      <c r="AT268" s="8">
        <v>0</v>
      </c>
      <c r="AU268" s="8">
        <v>0</v>
      </c>
      <c r="AV268" s="8">
        <v>0</v>
      </c>
      <c r="AW268" s="8">
        <v>0</v>
      </c>
      <c r="AX268" s="8"/>
      <c r="AY268" s="8"/>
      <c r="AZ268">
        <v>2</v>
      </c>
      <c r="BA268" t="s">
        <v>1197</v>
      </c>
      <c r="BC268" t="s">
        <v>1198</v>
      </c>
    </row>
    <row r="269" spans="1:55">
      <c r="A269" s="6">
        <v>45779</v>
      </c>
      <c r="B269" s="7" t="s">
        <v>1199</v>
      </c>
      <c r="C269" t="s">
        <v>205</v>
      </c>
      <c r="D269" t="s">
        <v>1159</v>
      </c>
      <c r="G269" t="s">
        <v>1160</v>
      </c>
      <c r="H269" s="8" t="s">
        <v>208</v>
      </c>
      <c r="I269" s="8" t="s">
        <v>208</v>
      </c>
      <c r="J269" s="8" t="s">
        <v>208</v>
      </c>
      <c r="K269" s="8" t="s">
        <v>208</v>
      </c>
      <c r="L269" s="8" t="s">
        <v>208</v>
      </c>
      <c r="M269" s="8" t="s">
        <v>208</v>
      </c>
      <c r="N269" s="8" t="s">
        <v>208</v>
      </c>
      <c r="O269" s="8" t="s">
        <v>221</v>
      </c>
      <c r="Q269" t="s">
        <v>1200</v>
      </c>
      <c r="R269" t="s">
        <v>1201</v>
      </c>
      <c r="S269" t="s">
        <v>1202</v>
      </c>
      <c r="T269" t="s">
        <v>1203</v>
      </c>
      <c r="U269" t="s">
        <v>1204</v>
      </c>
      <c r="V269" t="s">
        <v>140</v>
      </c>
      <c r="W269" t="s">
        <v>774</v>
      </c>
      <c r="Y269" t="s">
        <v>1082</v>
      </c>
      <c r="AA269" t="s">
        <v>1164</v>
      </c>
      <c r="AB269" t="s">
        <v>312</v>
      </c>
      <c r="AD269" t="s">
        <v>1165</v>
      </c>
      <c r="AG269" s="8" t="s">
        <v>218</v>
      </c>
      <c r="AI269" s="9" t="s">
        <v>218</v>
      </c>
      <c r="AJ269" s="9" t="s">
        <v>218</v>
      </c>
      <c r="AK269" t="s">
        <v>234</v>
      </c>
      <c r="AL269" s="8" t="s">
        <v>221</v>
      </c>
      <c r="AM269" s="9" t="s">
        <v>218</v>
      </c>
      <c r="AN269" s="8" t="s">
        <v>221</v>
      </c>
      <c r="AO269" s="8" t="s">
        <v>222</v>
      </c>
      <c r="AP269" s="8">
        <v>0</v>
      </c>
      <c r="AQ269" s="8">
        <v>0</v>
      </c>
      <c r="AR269" s="8">
        <v>0</v>
      </c>
      <c r="AS269" s="8">
        <v>0</v>
      </c>
      <c r="AT269" s="8">
        <v>0</v>
      </c>
      <c r="AU269" s="8">
        <v>0</v>
      </c>
      <c r="AV269" s="8">
        <v>0</v>
      </c>
      <c r="AW269" s="8">
        <v>0</v>
      </c>
      <c r="AX269" s="8"/>
      <c r="AY269" s="8"/>
      <c r="AZ269">
        <v>2</v>
      </c>
      <c r="BA269" t="s">
        <v>1205</v>
      </c>
      <c r="BC269" t="s">
        <v>1206</v>
      </c>
    </row>
    <row r="270" spans="1:55">
      <c r="A270" s="6">
        <v>45779</v>
      </c>
      <c r="B270" s="7" t="s">
        <v>1207</v>
      </c>
      <c r="C270" t="s">
        <v>205</v>
      </c>
      <c r="D270" t="s">
        <v>1159</v>
      </c>
      <c r="G270" t="s">
        <v>1160</v>
      </c>
      <c r="H270" s="8" t="s">
        <v>208</v>
      </c>
      <c r="I270" s="8" t="s">
        <v>208</v>
      </c>
      <c r="J270" s="8" t="s">
        <v>208</v>
      </c>
      <c r="K270" s="8" t="s">
        <v>208</v>
      </c>
      <c r="L270" s="8" t="s">
        <v>208</v>
      </c>
      <c r="M270" s="8" t="s">
        <v>208</v>
      </c>
      <c r="N270" s="8" t="s">
        <v>208</v>
      </c>
      <c r="O270" s="8" t="s">
        <v>221</v>
      </c>
      <c r="Q270" t="s">
        <v>1208</v>
      </c>
      <c r="R270" t="s">
        <v>1209</v>
      </c>
      <c r="S270" t="s">
        <v>1210</v>
      </c>
      <c r="T270" t="s">
        <v>1211</v>
      </c>
      <c r="U270" t="s">
        <v>1212</v>
      </c>
      <c r="V270" t="s">
        <v>140</v>
      </c>
      <c r="W270" t="s">
        <v>774</v>
      </c>
      <c r="Y270" t="s">
        <v>1082</v>
      </c>
      <c r="AA270" t="s">
        <v>1164</v>
      </c>
      <c r="AB270" t="s">
        <v>312</v>
      </c>
      <c r="AD270" t="s">
        <v>1165</v>
      </c>
      <c r="AG270" s="8" t="s">
        <v>218</v>
      </c>
      <c r="AI270" s="9" t="s">
        <v>218</v>
      </c>
      <c r="AJ270" s="9" t="s">
        <v>218</v>
      </c>
      <c r="AK270" t="s">
        <v>1213</v>
      </c>
      <c r="AL270" s="8" t="s">
        <v>221</v>
      </c>
      <c r="AM270" s="9" t="s">
        <v>218</v>
      </c>
      <c r="AN270" s="8" t="s">
        <v>221</v>
      </c>
      <c r="AO270" s="8" t="s">
        <v>222</v>
      </c>
      <c r="AP270" s="8">
        <v>0</v>
      </c>
      <c r="AQ270" s="8">
        <v>0</v>
      </c>
      <c r="AR270" s="8">
        <v>0</v>
      </c>
      <c r="AS270" s="8">
        <v>0</v>
      </c>
      <c r="AT270" s="8">
        <v>0</v>
      </c>
      <c r="AU270" s="8">
        <v>0</v>
      </c>
      <c r="AV270" s="8">
        <v>0</v>
      </c>
      <c r="AW270" s="8">
        <v>0</v>
      </c>
      <c r="AX270" s="8"/>
      <c r="AY270" s="8"/>
      <c r="AZ270">
        <v>0</v>
      </c>
      <c r="BC270" t="s">
        <v>1214</v>
      </c>
    </row>
    <row r="271" spans="1:55">
      <c r="A271" s="6">
        <v>45779</v>
      </c>
      <c r="B271" s="7" t="s">
        <v>1215</v>
      </c>
      <c r="C271" t="s">
        <v>205</v>
      </c>
      <c r="D271" t="s">
        <v>1159</v>
      </c>
      <c r="G271" t="s">
        <v>1160</v>
      </c>
      <c r="H271" s="8" t="s">
        <v>208</v>
      </c>
      <c r="I271" s="8" t="s">
        <v>208</v>
      </c>
      <c r="J271" s="8" t="s">
        <v>208</v>
      </c>
      <c r="K271" s="8" t="s">
        <v>208</v>
      </c>
      <c r="L271" s="8" t="s">
        <v>208</v>
      </c>
      <c r="M271" s="8" t="s">
        <v>208</v>
      </c>
      <c r="N271" s="8" t="s">
        <v>208</v>
      </c>
      <c r="O271" s="8" t="s">
        <v>221</v>
      </c>
      <c r="Q271" t="s">
        <v>1216</v>
      </c>
      <c r="R271" t="s">
        <v>1217</v>
      </c>
      <c r="S271" t="s">
        <v>1218</v>
      </c>
      <c r="T271" t="s">
        <v>1219</v>
      </c>
      <c r="U271" t="s">
        <v>1220</v>
      </c>
      <c r="V271" t="s">
        <v>140</v>
      </c>
      <c r="W271" t="s">
        <v>1221</v>
      </c>
      <c r="Y271" t="s">
        <v>1082</v>
      </c>
      <c r="AA271" t="s">
        <v>1164</v>
      </c>
      <c r="AB271" t="s">
        <v>312</v>
      </c>
      <c r="AD271" t="s">
        <v>1165</v>
      </c>
      <c r="AG271" s="8" t="s">
        <v>218</v>
      </c>
      <c r="AI271" s="9" t="s">
        <v>218</v>
      </c>
      <c r="AJ271" s="9" t="s">
        <v>218</v>
      </c>
      <c r="AK271" t="s">
        <v>234</v>
      </c>
      <c r="AL271" s="8" t="s">
        <v>221</v>
      </c>
      <c r="AM271" s="9" t="s">
        <v>218</v>
      </c>
      <c r="AN271" s="8" t="s">
        <v>221</v>
      </c>
      <c r="AO271" s="8" t="s">
        <v>222</v>
      </c>
      <c r="AP271" s="8">
        <v>0</v>
      </c>
      <c r="AQ271" s="8">
        <v>0</v>
      </c>
      <c r="AR271" s="8">
        <v>0</v>
      </c>
      <c r="AS271" s="8">
        <v>0</v>
      </c>
      <c r="AT271" s="8">
        <v>0</v>
      </c>
      <c r="AU271" s="8">
        <v>0</v>
      </c>
      <c r="AV271" s="8">
        <v>0</v>
      </c>
      <c r="AW271" s="8">
        <v>0</v>
      </c>
      <c r="AX271" s="8"/>
      <c r="AY271" s="8"/>
      <c r="AZ271">
        <v>2</v>
      </c>
      <c r="BA271" t="s">
        <v>1222</v>
      </c>
      <c r="BC271" t="s">
        <v>1223</v>
      </c>
    </row>
    <row r="272" spans="1:55">
      <c r="A272" s="6">
        <v>45779</v>
      </c>
      <c r="B272" s="7" t="s">
        <v>1224</v>
      </c>
      <c r="C272" t="s">
        <v>205</v>
      </c>
      <c r="D272" t="s">
        <v>1159</v>
      </c>
      <c r="G272" t="s">
        <v>1160</v>
      </c>
      <c r="H272" s="8" t="s">
        <v>208</v>
      </c>
      <c r="I272" s="8" t="s">
        <v>208</v>
      </c>
      <c r="J272" s="8" t="s">
        <v>208</v>
      </c>
      <c r="K272" s="8" t="s">
        <v>208</v>
      </c>
      <c r="L272" s="8" t="s">
        <v>208</v>
      </c>
      <c r="M272" s="8" t="s">
        <v>208</v>
      </c>
      <c r="N272" s="8" t="s">
        <v>208</v>
      </c>
      <c r="O272" s="8" t="s">
        <v>221</v>
      </c>
      <c r="Q272" t="s">
        <v>1225</v>
      </c>
      <c r="R272" t="s">
        <v>1226</v>
      </c>
      <c r="S272" t="s">
        <v>1227</v>
      </c>
      <c r="T272" t="s">
        <v>1228</v>
      </c>
      <c r="U272" t="s">
        <v>1229</v>
      </c>
      <c r="V272" t="s">
        <v>140</v>
      </c>
      <c r="W272" t="s">
        <v>774</v>
      </c>
      <c r="Y272" t="s">
        <v>1082</v>
      </c>
      <c r="AA272" t="s">
        <v>1164</v>
      </c>
      <c r="AB272" t="s">
        <v>312</v>
      </c>
      <c r="AD272" t="s">
        <v>1165</v>
      </c>
      <c r="AG272" s="8" t="s">
        <v>218</v>
      </c>
      <c r="AI272" s="9" t="s">
        <v>218</v>
      </c>
      <c r="AJ272" s="9" t="s">
        <v>218</v>
      </c>
      <c r="AK272" t="s">
        <v>234</v>
      </c>
      <c r="AL272" s="8" t="s">
        <v>221</v>
      </c>
      <c r="AM272" s="9" t="s">
        <v>218</v>
      </c>
      <c r="AN272" s="8" t="s">
        <v>221</v>
      </c>
      <c r="AO272" s="8" t="s">
        <v>222</v>
      </c>
      <c r="AP272" s="8">
        <v>0</v>
      </c>
      <c r="AQ272" s="8">
        <v>0</v>
      </c>
      <c r="AR272" s="8">
        <v>0</v>
      </c>
      <c r="AS272" s="8">
        <v>0</v>
      </c>
      <c r="AT272" s="8">
        <v>0</v>
      </c>
      <c r="AU272" s="8">
        <v>0</v>
      </c>
      <c r="AV272" s="8">
        <v>0</v>
      </c>
      <c r="AW272" s="8">
        <v>0</v>
      </c>
      <c r="AX272" s="8"/>
      <c r="AY272" s="8"/>
      <c r="AZ272">
        <v>2</v>
      </c>
      <c r="BA272" t="s">
        <v>1230</v>
      </c>
      <c r="BC272" t="s">
        <v>1231</v>
      </c>
    </row>
    <row r="273" spans="1:55">
      <c r="A273" s="6">
        <v>45779</v>
      </c>
      <c r="B273" s="7" t="s">
        <v>1232</v>
      </c>
      <c r="C273" t="s">
        <v>205</v>
      </c>
      <c r="D273" t="s">
        <v>1159</v>
      </c>
      <c r="G273" t="s">
        <v>1160</v>
      </c>
      <c r="H273" s="8" t="s">
        <v>208</v>
      </c>
      <c r="I273" s="8" t="s">
        <v>208</v>
      </c>
      <c r="J273" s="8" t="s">
        <v>208</v>
      </c>
      <c r="K273" s="8" t="s">
        <v>208</v>
      </c>
      <c r="L273" s="8" t="s">
        <v>208</v>
      </c>
      <c r="M273" s="8" t="s">
        <v>208</v>
      </c>
      <c r="N273" s="8" t="s">
        <v>208</v>
      </c>
      <c r="O273" s="8" t="s">
        <v>221</v>
      </c>
      <c r="Q273" t="s">
        <v>1233</v>
      </c>
      <c r="R273" t="s">
        <v>1234</v>
      </c>
      <c r="S273" t="s">
        <v>1235</v>
      </c>
      <c r="T273" t="s">
        <v>1236</v>
      </c>
      <c r="U273" t="s">
        <v>1237</v>
      </c>
      <c r="V273" t="s">
        <v>140</v>
      </c>
      <c r="W273" t="s">
        <v>1221</v>
      </c>
      <c r="Y273" t="s">
        <v>1082</v>
      </c>
      <c r="AA273" t="s">
        <v>1164</v>
      </c>
      <c r="AB273" t="s">
        <v>312</v>
      </c>
      <c r="AD273" t="s">
        <v>1165</v>
      </c>
      <c r="AG273" s="8" t="s">
        <v>218</v>
      </c>
      <c r="AI273" s="9" t="s">
        <v>218</v>
      </c>
      <c r="AJ273" s="9" t="s">
        <v>218</v>
      </c>
      <c r="AK273" t="s">
        <v>234</v>
      </c>
      <c r="AL273" s="8" t="s">
        <v>221</v>
      </c>
      <c r="AM273" s="9" t="s">
        <v>218</v>
      </c>
      <c r="AN273" s="8" t="s">
        <v>221</v>
      </c>
      <c r="AO273" s="8" t="s">
        <v>222</v>
      </c>
      <c r="AP273" s="8">
        <v>0</v>
      </c>
      <c r="AQ273" s="8">
        <v>0</v>
      </c>
      <c r="AR273" s="8">
        <v>0</v>
      </c>
      <c r="AS273" s="8">
        <v>0</v>
      </c>
      <c r="AT273" s="8">
        <v>0</v>
      </c>
      <c r="AU273" s="8">
        <v>0</v>
      </c>
      <c r="AV273" s="8">
        <v>0</v>
      </c>
      <c r="AW273" s="8">
        <v>0</v>
      </c>
      <c r="AX273" s="8"/>
      <c r="AY273" s="8"/>
      <c r="AZ273">
        <v>2</v>
      </c>
      <c r="BA273" t="s">
        <v>1222</v>
      </c>
      <c r="BC273" t="s">
        <v>1238</v>
      </c>
    </row>
    <row r="274" spans="1:55">
      <c r="A274" s="6">
        <v>45779</v>
      </c>
      <c r="B274" s="7" t="s">
        <v>1239</v>
      </c>
      <c r="C274" t="s">
        <v>205</v>
      </c>
      <c r="D274" t="s">
        <v>1159</v>
      </c>
      <c r="G274" t="s">
        <v>1160</v>
      </c>
      <c r="H274" s="8" t="s">
        <v>208</v>
      </c>
      <c r="I274" s="8" t="s">
        <v>208</v>
      </c>
      <c r="J274" s="8" t="s">
        <v>208</v>
      </c>
      <c r="K274" s="8" t="s">
        <v>208</v>
      </c>
      <c r="L274" s="8" t="s">
        <v>208</v>
      </c>
      <c r="M274" s="8" t="s">
        <v>208</v>
      </c>
      <c r="N274" s="8" t="s">
        <v>208</v>
      </c>
      <c r="O274" s="8" t="s">
        <v>221</v>
      </c>
      <c r="Q274" t="s">
        <v>1240</v>
      </c>
      <c r="R274" t="s">
        <v>1241</v>
      </c>
      <c r="S274" t="s">
        <v>1242</v>
      </c>
      <c r="T274" t="s">
        <v>1243</v>
      </c>
      <c r="U274" t="s">
        <v>1244</v>
      </c>
      <c r="V274" t="s">
        <v>140</v>
      </c>
      <c r="W274" t="s">
        <v>774</v>
      </c>
      <c r="Y274" t="s">
        <v>1082</v>
      </c>
      <c r="AA274" t="s">
        <v>1164</v>
      </c>
      <c r="AB274" t="s">
        <v>312</v>
      </c>
      <c r="AD274" t="s">
        <v>1165</v>
      </c>
      <c r="AG274" s="8" t="s">
        <v>218</v>
      </c>
      <c r="AI274" s="9" t="s">
        <v>218</v>
      </c>
      <c r="AJ274" s="9" t="s">
        <v>218</v>
      </c>
      <c r="AK274" t="s">
        <v>767</v>
      </c>
      <c r="AL274" s="8" t="s">
        <v>221</v>
      </c>
      <c r="AM274" s="9" t="s">
        <v>218</v>
      </c>
      <c r="AN274" s="8" t="s">
        <v>221</v>
      </c>
      <c r="AO274" s="8" t="s">
        <v>222</v>
      </c>
      <c r="AP274" s="8">
        <v>0</v>
      </c>
      <c r="AQ274" s="8">
        <v>0</v>
      </c>
      <c r="AR274" s="8">
        <v>0</v>
      </c>
      <c r="AS274" s="8">
        <v>0</v>
      </c>
      <c r="AT274" s="8">
        <v>0</v>
      </c>
      <c r="AU274" s="8">
        <v>0</v>
      </c>
      <c r="AV274" s="8">
        <v>0</v>
      </c>
      <c r="AW274" s="8">
        <v>0</v>
      </c>
      <c r="AX274" s="8"/>
      <c r="AY274" s="8"/>
      <c r="AZ274">
        <v>0</v>
      </c>
      <c r="BC274" t="s">
        <v>1245</v>
      </c>
    </row>
    <row r="275" spans="1:55">
      <c r="A275" s="6">
        <v>45779</v>
      </c>
      <c r="B275" s="7" t="s">
        <v>1246</v>
      </c>
      <c r="C275" t="s">
        <v>205</v>
      </c>
      <c r="D275" t="s">
        <v>1159</v>
      </c>
      <c r="G275" t="s">
        <v>1160</v>
      </c>
      <c r="H275" s="8" t="s">
        <v>208</v>
      </c>
      <c r="I275" s="8" t="s">
        <v>208</v>
      </c>
      <c r="J275" s="8" t="s">
        <v>208</v>
      </c>
      <c r="K275" s="8" t="s">
        <v>208</v>
      </c>
      <c r="L275" s="8" t="s">
        <v>208</v>
      </c>
      <c r="M275" s="8" t="s">
        <v>208</v>
      </c>
      <c r="N275" s="8" t="s">
        <v>208</v>
      </c>
      <c r="O275" s="8" t="s">
        <v>221</v>
      </c>
      <c r="Q275" t="s">
        <v>1247</v>
      </c>
      <c r="R275" t="s">
        <v>1248</v>
      </c>
      <c r="S275" t="s">
        <v>1249</v>
      </c>
      <c r="T275" t="s">
        <v>1250</v>
      </c>
      <c r="U275" t="s">
        <v>1251</v>
      </c>
      <c r="V275" t="s">
        <v>140</v>
      </c>
      <c r="W275" t="s">
        <v>774</v>
      </c>
      <c r="Y275" t="s">
        <v>1082</v>
      </c>
      <c r="AA275" t="s">
        <v>1164</v>
      </c>
      <c r="AB275" t="s">
        <v>312</v>
      </c>
      <c r="AD275" t="s">
        <v>1165</v>
      </c>
      <c r="AG275" s="8" t="s">
        <v>218</v>
      </c>
      <c r="AI275" s="9" t="s">
        <v>218</v>
      </c>
      <c r="AJ275" s="9" t="s">
        <v>218</v>
      </c>
      <c r="AK275" t="s">
        <v>767</v>
      </c>
      <c r="AL275" s="8" t="s">
        <v>221</v>
      </c>
      <c r="AM275" s="9" t="s">
        <v>218</v>
      </c>
      <c r="AN275" s="8" t="s">
        <v>221</v>
      </c>
      <c r="AO275" s="8" t="s">
        <v>222</v>
      </c>
      <c r="AP275" s="8">
        <v>0</v>
      </c>
      <c r="AQ275" s="8">
        <v>0</v>
      </c>
      <c r="AR275" s="8">
        <v>0</v>
      </c>
      <c r="AS275" s="8">
        <v>0</v>
      </c>
      <c r="AT275" s="8">
        <v>0</v>
      </c>
      <c r="AU275" s="8">
        <v>0</v>
      </c>
      <c r="AV275" s="8">
        <v>0</v>
      </c>
      <c r="AW275" s="8">
        <v>0</v>
      </c>
      <c r="AX275" s="8"/>
      <c r="AY275" s="8"/>
      <c r="AZ275">
        <v>0</v>
      </c>
      <c r="BC275" t="s">
        <v>1252</v>
      </c>
    </row>
    <row r="276" spans="1:55">
      <c r="A276" s="6">
        <v>45779</v>
      </c>
      <c r="B276" s="7" t="s">
        <v>1253</v>
      </c>
      <c r="C276" t="s">
        <v>205</v>
      </c>
      <c r="D276" t="s">
        <v>1159</v>
      </c>
      <c r="G276" t="s">
        <v>1160</v>
      </c>
      <c r="H276" s="8" t="s">
        <v>208</v>
      </c>
      <c r="I276" s="8" t="s">
        <v>208</v>
      </c>
      <c r="J276" s="8" t="s">
        <v>208</v>
      </c>
      <c r="K276" s="8" t="s">
        <v>208</v>
      </c>
      <c r="L276" s="8" t="s">
        <v>208</v>
      </c>
      <c r="M276" s="8" t="s">
        <v>208</v>
      </c>
      <c r="N276" s="8" t="s">
        <v>208</v>
      </c>
      <c r="O276" s="8" t="s">
        <v>221</v>
      </c>
      <c r="Q276" t="s">
        <v>1254</v>
      </c>
      <c r="R276" t="s">
        <v>1255</v>
      </c>
      <c r="S276" t="s">
        <v>1255</v>
      </c>
      <c r="T276" t="s">
        <v>1253</v>
      </c>
      <c r="U276" t="s">
        <v>1256</v>
      </c>
      <c r="V276" t="s">
        <v>138</v>
      </c>
      <c r="W276" t="s">
        <v>212</v>
      </c>
      <c r="X276" t="s">
        <v>212</v>
      </c>
      <c r="Y276" t="s">
        <v>275</v>
      </c>
      <c r="Z276" t="s">
        <v>213</v>
      </c>
      <c r="AA276" t="s">
        <v>214</v>
      </c>
      <c r="AB276" t="s">
        <v>215</v>
      </c>
      <c r="AC276" t="s">
        <v>701</v>
      </c>
      <c r="AD276" t="s">
        <v>1112</v>
      </c>
      <c r="AE276" t="s">
        <v>217</v>
      </c>
      <c r="AG276" s="8" t="s">
        <v>218</v>
      </c>
      <c r="AH276" t="s">
        <v>219</v>
      </c>
      <c r="AI276" s="9" t="s">
        <v>218</v>
      </c>
      <c r="AJ276" s="9" t="s">
        <v>218</v>
      </c>
      <c r="AK276" t="s">
        <v>234</v>
      </c>
      <c r="AL276" s="8" t="s">
        <v>221</v>
      </c>
      <c r="AM276" s="9" t="s">
        <v>218</v>
      </c>
      <c r="AN276" s="8" t="s">
        <v>221</v>
      </c>
      <c r="AO276" s="8" t="s">
        <v>222</v>
      </c>
      <c r="AP276" s="8">
        <v>0</v>
      </c>
      <c r="AQ276" s="8">
        <v>0</v>
      </c>
      <c r="AR276" s="9">
        <v>11</v>
      </c>
      <c r="AS276" s="8">
        <v>0</v>
      </c>
      <c r="AT276" s="8">
        <v>0</v>
      </c>
      <c r="AU276" s="8">
        <v>0</v>
      </c>
      <c r="AV276" s="8">
        <v>0</v>
      </c>
      <c r="AW276" s="9">
        <v>11</v>
      </c>
      <c r="AX276" s="8"/>
      <c r="AY276" s="8"/>
      <c r="AZ276">
        <v>2</v>
      </c>
      <c r="BA276" t="s">
        <v>1257</v>
      </c>
      <c r="BB276" t="s">
        <v>1258</v>
      </c>
      <c r="BC276" t="s">
        <v>1259</v>
      </c>
    </row>
    <row r="277" spans="1:55">
      <c r="A277" s="6">
        <v>45779</v>
      </c>
      <c r="B277" s="7" t="s">
        <v>1260</v>
      </c>
      <c r="C277" t="s">
        <v>205</v>
      </c>
      <c r="D277" t="s">
        <v>1159</v>
      </c>
      <c r="G277" t="s">
        <v>1160</v>
      </c>
      <c r="H277" s="8" t="s">
        <v>208</v>
      </c>
      <c r="I277" s="8" t="s">
        <v>208</v>
      </c>
      <c r="J277" s="8" t="s">
        <v>208</v>
      </c>
      <c r="K277" s="8" t="s">
        <v>208</v>
      </c>
      <c r="L277" s="8" t="s">
        <v>208</v>
      </c>
      <c r="M277" s="8" t="s">
        <v>208</v>
      </c>
      <c r="N277" s="8" t="s">
        <v>208</v>
      </c>
      <c r="O277" s="8" t="s">
        <v>221</v>
      </c>
      <c r="Q277" t="s">
        <v>1261</v>
      </c>
      <c r="R277" t="s">
        <v>1262</v>
      </c>
      <c r="S277" t="s">
        <v>1262</v>
      </c>
      <c r="T277" t="s">
        <v>1260</v>
      </c>
      <c r="U277" t="s">
        <v>1263</v>
      </c>
      <c r="V277" t="s">
        <v>138</v>
      </c>
      <c r="W277" t="s">
        <v>212</v>
      </c>
      <c r="X277" t="s">
        <v>212</v>
      </c>
      <c r="Y277" t="s">
        <v>275</v>
      </c>
      <c r="Z277" t="s">
        <v>213</v>
      </c>
      <c r="AA277" t="s">
        <v>214</v>
      </c>
      <c r="AB277" t="s">
        <v>215</v>
      </c>
      <c r="AC277" t="s">
        <v>701</v>
      </c>
      <c r="AD277" t="s">
        <v>1112</v>
      </c>
      <c r="AE277" t="s">
        <v>217</v>
      </c>
      <c r="AG277" s="8" t="s">
        <v>218</v>
      </c>
      <c r="AH277" t="s">
        <v>219</v>
      </c>
      <c r="AI277" s="9" t="s">
        <v>218</v>
      </c>
      <c r="AJ277" s="9" t="s">
        <v>218</v>
      </c>
      <c r="AK277" t="s">
        <v>234</v>
      </c>
      <c r="AL277" s="8" t="s">
        <v>221</v>
      </c>
      <c r="AM277" s="9" t="s">
        <v>218</v>
      </c>
      <c r="AN277" s="8" t="s">
        <v>221</v>
      </c>
      <c r="AO277" s="8" t="s">
        <v>222</v>
      </c>
      <c r="AP277" s="8">
        <v>0</v>
      </c>
      <c r="AQ277" s="8">
        <v>0</v>
      </c>
      <c r="AR277" s="9">
        <v>7</v>
      </c>
      <c r="AS277" s="8">
        <v>0</v>
      </c>
      <c r="AT277" s="8">
        <v>0</v>
      </c>
      <c r="AU277" s="8">
        <v>0</v>
      </c>
      <c r="AV277" s="8">
        <v>0</v>
      </c>
      <c r="AW277" s="9">
        <v>7</v>
      </c>
      <c r="AX277" s="8"/>
      <c r="AY277" s="8"/>
      <c r="AZ277">
        <v>2</v>
      </c>
      <c r="BA277" t="s">
        <v>1264</v>
      </c>
      <c r="BB277" t="s">
        <v>1265</v>
      </c>
      <c r="BC277" t="s">
        <v>1266</v>
      </c>
    </row>
    <row r="278" spans="1:55">
      <c r="A278" s="6">
        <v>45779</v>
      </c>
      <c r="B278" s="7" t="s">
        <v>1267</v>
      </c>
      <c r="C278" t="s">
        <v>205</v>
      </c>
      <c r="D278" t="s">
        <v>1159</v>
      </c>
      <c r="G278" t="s">
        <v>1160</v>
      </c>
      <c r="H278" s="8" t="s">
        <v>208</v>
      </c>
      <c r="I278" s="8" t="s">
        <v>208</v>
      </c>
      <c r="J278" s="8" t="s">
        <v>208</v>
      </c>
      <c r="K278" s="8" t="s">
        <v>208</v>
      </c>
      <c r="L278" s="8" t="s">
        <v>208</v>
      </c>
      <c r="M278" s="8" t="s">
        <v>208</v>
      </c>
      <c r="N278" s="8" t="s">
        <v>208</v>
      </c>
      <c r="O278" s="8" t="s">
        <v>221</v>
      </c>
      <c r="Q278" t="s">
        <v>1268</v>
      </c>
      <c r="R278" t="s">
        <v>1269</v>
      </c>
      <c r="S278" t="s">
        <v>1269</v>
      </c>
      <c r="T278" t="s">
        <v>1267</v>
      </c>
      <c r="U278" t="s">
        <v>1270</v>
      </c>
      <c r="V278" t="s">
        <v>138</v>
      </c>
      <c r="W278" t="s">
        <v>212</v>
      </c>
      <c r="X278" t="s">
        <v>212</v>
      </c>
      <c r="Y278" t="s">
        <v>275</v>
      </c>
      <c r="Z278" t="s">
        <v>213</v>
      </c>
      <c r="AA278" t="s">
        <v>214</v>
      </c>
      <c r="AB278" t="s">
        <v>701</v>
      </c>
      <c r="AC278" t="s">
        <v>242</v>
      </c>
      <c r="AD278" t="s">
        <v>1112</v>
      </c>
      <c r="AE278" t="s">
        <v>11</v>
      </c>
      <c r="AG278" s="8" t="s">
        <v>218</v>
      </c>
      <c r="AH278" t="s">
        <v>219</v>
      </c>
      <c r="AI278" s="9" t="s">
        <v>218</v>
      </c>
      <c r="AJ278" s="9" t="s">
        <v>218</v>
      </c>
      <c r="AK278" t="s">
        <v>234</v>
      </c>
      <c r="AL278" s="8" t="s">
        <v>221</v>
      </c>
      <c r="AM278" s="9" t="s">
        <v>218</v>
      </c>
      <c r="AN278" s="8" t="s">
        <v>221</v>
      </c>
      <c r="AO278" s="8" t="s">
        <v>222</v>
      </c>
      <c r="AP278" s="8">
        <v>0</v>
      </c>
      <c r="AQ278" s="8">
        <v>0</v>
      </c>
      <c r="AR278" s="8">
        <v>0</v>
      </c>
      <c r="AS278" s="8">
        <v>0</v>
      </c>
      <c r="AT278" s="8">
        <v>0</v>
      </c>
      <c r="AU278" s="8">
        <v>0</v>
      </c>
      <c r="AV278" s="8">
        <v>0</v>
      </c>
      <c r="AW278" s="8">
        <v>0</v>
      </c>
      <c r="AX278" s="8"/>
      <c r="AY278" s="8"/>
      <c r="AZ278">
        <v>2</v>
      </c>
      <c r="BA278" t="s">
        <v>1271</v>
      </c>
      <c r="BB278" t="s">
        <v>1272</v>
      </c>
      <c r="BC278" t="s">
        <v>1273</v>
      </c>
    </row>
    <row r="279" spans="1:55">
      <c r="A279" s="6">
        <v>45779</v>
      </c>
      <c r="B279" s="7" t="s">
        <v>1274</v>
      </c>
      <c r="C279" t="s">
        <v>387</v>
      </c>
      <c r="D279" t="s">
        <v>1159</v>
      </c>
      <c r="E279" t="s">
        <v>1275</v>
      </c>
      <c r="F279" t="s">
        <v>1275</v>
      </c>
      <c r="G279" t="s">
        <v>1160</v>
      </c>
      <c r="H279" s="8" t="s">
        <v>208</v>
      </c>
      <c r="I279" s="8" t="s">
        <v>208</v>
      </c>
      <c r="J279" s="8" t="s">
        <v>208</v>
      </c>
      <c r="K279" s="8" t="s">
        <v>208</v>
      </c>
      <c r="L279" s="8" t="s">
        <v>208</v>
      </c>
      <c r="M279" s="8" t="s">
        <v>208</v>
      </c>
      <c r="N279" s="8" t="s">
        <v>208</v>
      </c>
      <c r="O279" s="8" t="s">
        <v>221</v>
      </c>
      <c r="Q279" t="s">
        <v>1276</v>
      </c>
      <c r="R279" t="s">
        <v>1277</v>
      </c>
      <c r="S279" t="s">
        <v>1277</v>
      </c>
      <c r="T279" t="s">
        <v>1274</v>
      </c>
      <c r="U279" t="s">
        <v>1278</v>
      </c>
      <c r="V279" t="s">
        <v>644</v>
      </c>
      <c r="W279" t="s">
        <v>298</v>
      </c>
      <c r="X279" t="s">
        <v>298</v>
      </c>
      <c r="Y279" t="s">
        <v>1103</v>
      </c>
      <c r="Z279" t="s">
        <v>299</v>
      </c>
      <c r="AA279" t="s">
        <v>645</v>
      </c>
      <c r="AB279" t="s">
        <v>417</v>
      </c>
      <c r="AC279" t="s">
        <v>603</v>
      </c>
      <c r="AD279" t="s">
        <v>1279</v>
      </c>
      <c r="AE279" t="s">
        <v>645</v>
      </c>
      <c r="AG279" s="8" t="s">
        <v>218</v>
      </c>
      <c r="AH279" t="s">
        <v>302</v>
      </c>
      <c r="AI279" s="9" t="s">
        <v>218</v>
      </c>
      <c r="AJ279" s="9" t="s">
        <v>218</v>
      </c>
      <c r="AK279" t="s">
        <v>234</v>
      </c>
      <c r="AL279" s="8" t="s">
        <v>221</v>
      </c>
      <c r="AM279" s="9" t="s">
        <v>218</v>
      </c>
      <c r="AN279" s="8" t="s">
        <v>221</v>
      </c>
      <c r="AO279" s="8" t="s">
        <v>222</v>
      </c>
      <c r="AP279" s="8">
        <v>0</v>
      </c>
      <c r="AQ279" s="8">
        <v>0</v>
      </c>
      <c r="AR279" s="9">
        <v>65</v>
      </c>
      <c r="AS279" s="8">
        <v>0</v>
      </c>
      <c r="AT279" s="8">
        <v>0</v>
      </c>
      <c r="AU279" s="8">
        <v>0</v>
      </c>
      <c r="AV279" s="8">
        <v>0</v>
      </c>
      <c r="AW279" s="9">
        <v>65</v>
      </c>
      <c r="AX279" s="9" t="s">
        <v>1280</v>
      </c>
      <c r="AY279" s="9" t="s">
        <v>1281</v>
      </c>
      <c r="AZ279">
        <v>2</v>
      </c>
      <c r="BA279" t="s">
        <v>1282</v>
      </c>
      <c r="BB279" t="s">
        <v>1283</v>
      </c>
      <c r="BC279" t="s">
        <v>1284</v>
      </c>
    </row>
    <row r="280" spans="1:55">
      <c r="A280" s="6">
        <v>45779</v>
      </c>
      <c r="B280" s="7" t="s">
        <v>1285</v>
      </c>
      <c r="C280" t="s">
        <v>387</v>
      </c>
      <c r="D280" t="s">
        <v>1159</v>
      </c>
      <c r="E280" t="s">
        <v>1275</v>
      </c>
      <c r="F280" t="s">
        <v>1275</v>
      </c>
      <c r="G280" t="s">
        <v>1160</v>
      </c>
      <c r="H280" s="8" t="s">
        <v>208</v>
      </c>
      <c r="I280" s="8" t="s">
        <v>208</v>
      </c>
      <c r="J280" s="8" t="s">
        <v>208</v>
      </c>
      <c r="K280" s="8" t="s">
        <v>208</v>
      </c>
      <c r="L280" s="8" t="s">
        <v>208</v>
      </c>
      <c r="M280" s="8" t="s">
        <v>208</v>
      </c>
      <c r="N280" s="8" t="s">
        <v>208</v>
      </c>
      <c r="O280" s="8" t="s">
        <v>221</v>
      </c>
      <c r="Q280" t="s">
        <v>1286</v>
      </c>
      <c r="R280" t="s">
        <v>1287</v>
      </c>
      <c r="S280" t="s">
        <v>1287</v>
      </c>
      <c r="T280" t="s">
        <v>1285</v>
      </c>
      <c r="U280" t="s">
        <v>1288</v>
      </c>
      <c r="V280" t="s">
        <v>662</v>
      </c>
      <c r="W280" t="s">
        <v>298</v>
      </c>
      <c r="X280" t="s">
        <v>298</v>
      </c>
      <c r="Y280" t="s">
        <v>1103</v>
      </c>
      <c r="Z280" t="s">
        <v>299</v>
      </c>
      <c r="AA280" t="s">
        <v>663</v>
      </c>
      <c r="AB280" t="s">
        <v>408</v>
      </c>
      <c r="AC280" t="s">
        <v>391</v>
      </c>
      <c r="AD280" t="s">
        <v>1279</v>
      </c>
      <c r="AE280" t="s">
        <v>663</v>
      </c>
      <c r="AG280" s="8" t="s">
        <v>218</v>
      </c>
      <c r="AH280" t="s">
        <v>302</v>
      </c>
      <c r="AI280" s="9" t="s">
        <v>218</v>
      </c>
      <c r="AJ280" s="9" t="s">
        <v>218</v>
      </c>
      <c r="AK280" t="s">
        <v>234</v>
      </c>
      <c r="AL280" s="8" t="s">
        <v>221</v>
      </c>
      <c r="AM280" s="9" t="s">
        <v>218</v>
      </c>
      <c r="AN280" s="8" t="s">
        <v>221</v>
      </c>
      <c r="AO280" s="8" t="s">
        <v>222</v>
      </c>
      <c r="AP280" s="8">
        <v>0</v>
      </c>
      <c r="AQ280" s="8">
        <v>0</v>
      </c>
      <c r="AR280" s="9">
        <v>11</v>
      </c>
      <c r="AS280" s="8">
        <v>0</v>
      </c>
      <c r="AT280" s="8">
        <v>0</v>
      </c>
      <c r="AU280" s="8">
        <v>0</v>
      </c>
      <c r="AV280" s="8">
        <v>0</v>
      </c>
      <c r="AW280" s="9">
        <v>11</v>
      </c>
      <c r="AX280" s="8"/>
      <c r="AY280" s="8"/>
      <c r="AZ280">
        <v>2</v>
      </c>
      <c r="BA280" t="s">
        <v>1289</v>
      </c>
      <c r="BB280" t="s">
        <v>1290</v>
      </c>
      <c r="BC280" t="s">
        <v>1291</v>
      </c>
    </row>
    <row r="281" spans="1:55">
      <c r="A281" s="6">
        <v>45779</v>
      </c>
      <c r="B281" s="7" t="s">
        <v>1292</v>
      </c>
      <c r="C281" t="s">
        <v>205</v>
      </c>
      <c r="D281" t="s">
        <v>1159</v>
      </c>
      <c r="G281" t="s">
        <v>1160</v>
      </c>
      <c r="H281" s="8" t="s">
        <v>208</v>
      </c>
      <c r="I281" s="8" t="s">
        <v>208</v>
      </c>
      <c r="J281" s="8" t="s">
        <v>208</v>
      </c>
      <c r="K281" s="8" t="s">
        <v>208</v>
      </c>
      <c r="L281" s="8" t="s">
        <v>208</v>
      </c>
      <c r="M281" s="8" t="s">
        <v>208</v>
      </c>
      <c r="N281" s="8" t="s">
        <v>208</v>
      </c>
      <c r="O281" s="8" t="s">
        <v>221</v>
      </c>
      <c r="Q281" t="s">
        <v>1293</v>
      </c>
      <c r="R281" t="s">
        <v>1294</v>
      </c>
      <c r="S281" t="s">
        <v>1294</v>
      </c>
      <c r="T281" t="s">
        <v>1292</v>
      </c>
      <c r="U281" t="s">
        <v>1295</v>
      </c>
      <c r="V281" t="s">
        <v>138</v>
      </c>
      <c r="W281" t="s">
        <v>212</v>
      </c>
      <c r="X281" t="s">
        <v>212</v>
      </c>
      <c r="Y281" t="s">
        <v>275</v>
      </c>
      <c r="Z281" t="s">
        <v>213</v>
      </c>
      <c r="AA281" t="s">
        <v>214</v>
      </c>
      <c r="AB281" t="s">
        <v>215</v>
      </c>
      <c r="AC281" t="s">
        <v>701</v>
      </c>
      <c r="AD281" t="s">
        <v>1112</v>
      </c>
      <c r="AE281" t="s">
        <v>1296</v>
      </c>
      <c r="AG281" s="8" t="s">
        <v>218</v>
      </c>
      <c r="AH281" t="s">
        <v>219</v>
      </c>
      <c r="AI281" s="9" t="s">
        <v>218</v>
      </c>
      <c r="AJ281" s="9" t="s">
        <v>218</v>
      </c>
      <c r="AK281" t="s">
        <v>234</v>
      </c>
      <c r="AL281" s="8" t="s">
        <v>221</v>
      </c>
      <c r="AM281" s="9" t="s">
        <v>218</v>
      </c>
      <c r="AN281" s="8" t="s">
        <v>221</v>
      </c>
      <c r="AO281" s="8" t="s">
        <v>222</v>
      </c>
      <c r="AP281" s="8">
        <v>0</v>
      </c>
      <c r="AQ281" s="8">
        <v>0</v>
      </c>
      <c r="AR281" s="9">
        <v>19</v>
      </c>
      <c r="AS281" s="8">
        <v>0</v>
      </c>
      <c r="AT281" s="8">
        <v>0</v>
      </c>
      <c r="AU281" s="8">
        <v>0</v>
      </c>
      <c r="AV281" s="8">
        <v>0</v>
      </c>
      <c r="AW281" s="9">
        <v>19</v>
      </c>
      <c r="AX281" s="8"/>
      <c r="AY281" s="8"/>
      <c r="AZ281">
        <v>2</v>
      </c>
      <c r="BA281" t="s">
        <v>1264</v>
      </c>
      <c r="BB281" t="s">
        <v>1297</v>
      </c>
      <c r="BC281" t="s">
        <v>1298</v>
      </c>
    </row>
    <row r="282" spans="1:55">
      <c r="A282" s="6">
        <v>45779</v>
      </c>
      <c r="B282" s="7" t="s">
        <v>1299</v>
      </c>
      <c r="C282" t="s">
        <v>205</v>
      </c>
      <c r="D282" t="s">
        <v>1159</v>
      </c>
      <c r="G282" t="s">
        <v>1160</v>
      </c>
      <c r="H282" s="8" t="s">
        <v>208</v>
      </c>
      <c r="I282" s="8" t="s">
        <v>208</v>
      </c>
      <c r="J282" s="8" t="s">
        <v>208</v>
      </c>
      <c r="K282" s="8" t="s">
        <v>208</v>
      </c>
      <c r="L282" s="8" t="s">
        <v>208</v>
      </c>
      <c r="M282" s="8" t="s">
        <v>208</v>
      </c>
      <c r="N282" s="8" t="s">
        <v>208</v>
      </c>
      <c r="O282" s="8" t="s">
        <v>221</v>
      </c>
      <c r="Q282" t="s">
        <v>1300</v>
      </c>
      <c r="R282" t="s">
        <v>1301</v>
      </c>
      <c r="S282" t="s">
        <v>1301</v>
      </c>
      <c r="T282" t="s">
        <v>1299</v>
      </c>
      <c r="U282" t="s">
        <v>1302</v>
      </c>
      <c r="V282" t="s">
        <v>138</v>
      </c>
      <c r="W282" t="s">
        <v>212</v>
      </c>
      <c r="X282" t="s">
        <v>212</v>
      </c>
      <c r="Y282" t="s">
        <v>213</v>
      </c>
      <c r="Z282" t="s">
        <v>213</v>
      </c>
      <c r="AA282" t="s">
        <v>214</v>
      </c>
      <c r="AB282" t="s">
        <v>701</v>
      </c>
      <c r="AC282" t="s">
        <v>701</v>
      </c>
      <c r="AD282" t="s">
        <v>1112</v>
      </c>
      <c r="AE282" t="s">
        <v>11</v>
      </c>
      <c r="AG282" s="8" t="s">
        <v>218</v>
      </c>
      <c r="AH282" t="s">
        <v>219</v>
      </c>
      <c r="AI282" s="9" t="s">
        <v>218</v>
      </c>
      <c r="AJ282" s="9" t="s">
        <v>218</v>
      </c>
      <c r="AK282" t="s">
        <v>234</v>
      </c>
      <c r="AL282" s="9" t="s">
        <v>218</v>
      </c>
      <c r="AM282" s="8" t="s">
        <v>221</v>
      </c>
      <c r="AN282" s="8" t="s">
        <v>221</v>
      </c>
      <c r="AO282" s="8" t="s">
        <v>222</v>
      </c>
      <c r="AP282" s="8">
        <v>0</v>
      </c>
      <c r="AQ282" s="8">
        <v>0</v>
      </c>
      <c r="AR282" s="9">
        <v>8</v>
      </c>
      <c r="AS282" s="8">
        <v>0</v>
      </c>
      <c r="AT282" s="8">
        <v>0</v>
      </c>
      <c r="AU282" s="8">
        <v>0</v>
      </c>
      <c r="AV282" s="8">
        <v>0</v>
      </c>
      <c r="AW282" s="9">
        <v>8</v>
      </c>
      <c r="AX282" s="8"/>
      <c r="AY282" s="8"/>
      <c r="AZ282">
        <v>0</v>
      </c>
      <c r="BB282" t="s">
        <v>1303</v>
      </c>
      <c r="BC282" t="s">
        <v>1304</v>
      </c>
    </row>
    <row r="283" spans="1:55">
      <c r="A283" s="6">
        <v>45779</v>
      </c>
      <c r="B283" s="7" t="s">
        <v>1305</v>
      </c>
      <c r="C283" t="s">
        <v>205</v>
      </c>
      <c r="D283" t="s">
        <v>1159</v>
      </c>
      <c r="G283" t="s">
        <v>1160</v>
      </c>
      <c r="H283" s="8" t="s">
        <v>208</v>
      </c>
      <c r="I283" s="8" t="s">
        <v>208</v>
      </c>
      <c r="J283" s="8" t="s">
        <v>208</v>
      </c>
      <c r="K283" s="8" t="s">
        <v>208</v>
      </c>
      <c r="L283" s="8" t="s">
        <v>208</v>
      </c>
      <c r="M283" s="8" t="s">
        <v>208</v>
      </c>
      <c r="N283" s="8" t="s">
        <v>208</v>
      </c>
      <c r="O283" s="8" t="s">
        <v>221</v>
      </c>
      <c r="Q283" t="s">
        <v>1306</v>
      </c>
      <c r="R283" t="s">
        <v>1307</v>
      </c>
      <c r="S283" t="s">
        <v>1307</v>
      </c>
      <c r="T283" t="s">
        <v>1305</v>
      </c>
      <c r="U283" t="s">
        <v>1308</v>
      </c>
      <c r="V283" t="s">
        <v>137</v>
      </c>
      <c r="W283" t="s">
        <v>774</v>
      </c>
      <c r="X283" t="s">
        <v>774</v>
      </c>
      <c r="Y283" t="s">
        <v>1082</v>
      </c>
      <c r="Z283" t="s">
        <v>775</v>
      </c>
      <c r="AA283" t="s">
        <v>1309</v>
      </c>
      <c r="AB283" t="s">
        <v>391</v>
      </c>
      <c r="AC283" t="s">
        <v>425</v>
      </c>
      <c r="AD283" t="s">
        <v>1165</v>
      </c>
      <c r="AE283" t="s">
        <v>1309</v>
      </c>
      <c r="AG283" s="8" t="s">
        <v>218</v>
      </c>
      <c r="AH283" t="s">
        <v>219</v>
      </c>
      <c r="AI283" s="9" t="s">
        <v>218</v>
      </c>
      <c r="AJ283" s="9" t="s">
        <v>218</v>
      </c>
      <c r="AK283" t="s">
        <v>234</v>
      </c>
      <c r="AL283" s="8" t="s">
        <v>221</v>
      </c>
      <c r="AM283" s="9" t="s">
        <v>218</v>
      </c>
      <c r="AN283" s="8" t="s">
        <v>221</v>
      </c>
      <c r="AO283" s="8" t="s">
        <v>222</v>
      </c>
      <c r="AP283" s="8">
        <v>0</v>
      </c>
      <c r="AQ283" s="8">
        <v>0</v>
      </c>
      <c r="AR283" s="9">
        <v>10</v>
      </c>
      <c r="AS283" s="8">
        <v>0</v>
      </c>
      <c r="AT283" s="8">
        <v>0</v>
      </c>
      <c r="AU283" s="8">
        <v>0</v>
      </c>
      <c r="AV283" s="8">
        <v>0</v>
      </c>
      <c r="AW283" s="9">
        <v>10</v>
      </c>
      <c r="AX283" s="8"/>
      <c r="AY283" s="9" t="s">
        <v>1310</v>
      </c>
      <c r="AZ283">
        <v>2</v>
      </c>
      <c r="BA283" t="s">
        <v>1311</v>
      </c>
      <c r="BB283" t="s">
        <v>1312</v>
      </c>
      <c r="BC283" t="s">
        <v>1313</v>
      </c>
    </row>
    <row r="284" spans="1:55">
      <c r="A284" s="6">
        <v>45779</v>
      </c>
      <c r="B284" s="7" t="s">
        <v>1314</v>
      </c>
      <c r="C284" t="s">
        <v>205</v>
      </c>
      <c r="D284" t="s">
        <v>1159</v>
      </c>
      <c r="G284" t="s">
        <v>1160</v>
      </c>
      <c r="H284" s="8" t="s">
        <v>208</v>
      </c>
      <c r="I284" s="8" t="s">
        <v>208</v>
      </c>
      <c r="J284" s="8" t="s">
        <v>208</v>
      </c>
      <c r="K284" s="8" t="s">
        <v>208</v>
      </c>
      <c r="L284" s="8" t="s">
        <v>208</v>
      </c>
      <c r="M284" s="8" t="s">
        <v>208</v>
      </c>
      <c r="N284" s="8" t="s">
        <v>208</v>
      </c>
      <c r="O284" s="8" t="s">
        <v>221</v>
      </c>
      <c r="Q284" t="s">
        <v>1315</v>
      </c>
      <c r="R284" t="s">
        <v>1316</v>
      </c>
      <c r="S284" t="s">
        <v>1316</v>
      </c>
      <c r="T284" t="s">
        <v>1314</v>
      </c>
      <c r="U284" t="s">
        <v>1317</v>
      </c>
      <c r="V284" t="s">
        <v>137</v>
      </c>
      <c r="W284" t="s">
        <v>774</v>
      </c>
      <c r="X284" t="s">
        <v>774</v>
      </c>
      <c r="Y284" t="s">
        <v>1082</v>
      </c>
      <c r="Z284" t="s">
        <v>775</v>
      </c>
      <c r="AA284" t="s">
        <v>1309</v>
      </c>
      <c r="AB284" t="s">
        <v>391</v>
      </c>
      <c r="AC284" t="s">
        <v>425</v>
      </c>
      <c r="AD284" t="s">
        <v>1318</v>
      </c>
      <c r="AE284" t="s">
        <v>1309</v>
      </c>
      <c r="AG284" s="8" t="s">
        <v>218</v>
      </c>
      <c r="AH284" t="s">
        <v>219</v>
      </c>
      <c r="AI284" s="9" t="s">
        <v>218</v>
      </c>
      <c r="AJ284" s="9" t="s">
        <v>218</v>
      </c>
      <c r="AK284" t="s">
        <v>234</v>
      </c>
      <c r="AL284" s="8" t="s">
        <v>221</v>
      </c>
      <c r="AM284" s="9" t="s">
        <v>218</v>
      </c>
      <c r="AN284" s="8" t="s">
        <v>221</v>
      </c>
      <c r="AO284" s="8" t="s">
        <v>222</v>
      </c>
      <c r="AP284" s="8">
        <v>0</v>
      </c>
      <c r="AQ284" s="8">
        <v>0</v>
      </c>
      <c r="AR284" s="9">
        <v>36</v>
      </c>
      <c r="AS284" s="8">
        <v>0</v>
      </c>
      <c r="AT284" s="8">
        <v>0</v>
      </c>
      <c r="AU284" s="8">
        <v>0</v>
      </c>
      <c r="AV284" s="8">
        <v>0</v>
      </c>
      <c r="AW284" s="9">
        <v>36</v>
      </c>
      <c r="AX284" s="8"/>
      <c r="AY284" s="8"/>
      <c r="AZ284">
        <v>3</v>
      </c>
      <c r="BA284" t="s">
        <v>1319</v>
      </c>
      <c r="BB284" t="s">
        <v>1320</v>
      </c>
      <c r="BC284" t="s">
        <v>1321</v>
      </c>
    </row>
    <row r="285" spans="1:55">
      <c r="A285" s="6">
        <v>45779</v>
      </c>
      <c r="B285" s="7" t="s">
        <v>1322</v>
      </c>
      <c r="C285" t="s">
        <v>205</v>
      </c>
      <c r="D285" t="s">
        <v>1159</v>
      </c>
      <c r="G285" t="s">
        <v>1160</v>
      </c>
      <c r="H285" s="8" t="s">
        <v>208</v>
      </c>
      <c r="I285" s="8" t="s">
        <v>208</v>
      </c>
      <c r="J285" s="8" t="s">
        <v>208</v>
      </c>
      <c r="K285" s="8" t="s">
        <v>208</v>
      </c>
      <c r="L285" s="8" t="s">
        <v>208</v>
      </c>
      <c r="M285" s="8" t="s">
        <v>208</v>
      </c>
      <c r="N285" s="8" t="s">
        <v>208</v>
      </c>
      <c r="O285" s="8" t="s">
        <v>221</v>
      </c>
      <c r="Q285" t="s">
        <v>1323</v>
      </c>
      <c r="R285" t="s">
        <v>1324</v>
      </c>
      <c r="S285" t="s">
        <v>1324</v>
      </c>
      <c r="T285" t="s">
        <v>1322</v>
      </c>
      <c r="U285" t="s">
        <v>1325</v>
      </c>
      <c r="V285" t="s">
        <v>140</v>
      </c>
      <c r="W285" t="s">
        <v>774</v>
      </c>
      <c r="X285" t="s">
        <v>774</v>
      </c>
      <c r="Y285" t="s">
        <v>1082</v>
      </c>
      <c r="Z285" t="s">
        <v>775</v>
      </c>
      <c r="AA285" t="s">
        <v>1164</v>
      </c>
      <c r="AB285" t="s">
        <v>1326</v>
      </c>
      <c r="AC285" t="s">
        <v>1327</v>
      </c>
      <c r="AD285" t="s">
        <v>1165</v>
      </c>
      <c r="AE285" t="s">
        <v>1166</v>
      </c>
      <c r="AG285" s="8" t="s">
        <v>218</v>
      </c>
      <c r="AH285" t="s">
        <v>219</v>
      </c>
      <c r="AI285" s="9" t="s">
        <v>218</v>
      </c>
      <c r="AJ285" s="9" t="s">
        <v>218</v>
      </c>
      <c r="AK285" t="s">
        <v>234</v>
      </c>
      <c r="AL285" s="8" t="s">
        <v>221</v>
      </c>
      <c r="AM285" s="9" t="s">
        <v>218</v>
      </c>
      <c r="AN285" s="8" t="s">
        <v>221</v>
      </c>
      <c r="AO285" s="8" t="s">
        <v>222</v>
      </c>
      <c r="AP285" s="8">
        <v>0</v>
      </c>
      <c r="AQ285" s="8">
        <v>0</v>
      </c>
      <c r="AR285" s="9">
        <v>175</v>
      </c>
      <c r="AS285" s="8">
        <v>0</v>
      </c>
      <c r="AT285" s="8">
        <v>0</v>
      </c>
      <c r="AU285" s="8">
        <v>0</v>
      </c>
      <c r="AV285" s="8">
        <v>0</v>
      </c>
      <c r="AW285" s="9">
        <v>175</v>
      </c>
      <c r="AX285" s="8"/>
      <c r="AY285" s="8"/>
      <c r="AZ285">
        <v>2</v>
      </c>
      <c r="BA285" t="s">
        <v>1328</v>
      </c>
      <c r="BB285" t="s">
        <v>1329</v>
      </c>
      <c r="BC285" t="s">
        <v>1330</v>
      </c>
    </row>
    <row r="286" spans="1:55">
      <c r="A286" s="6">
        <v>45779</v>
      </c>
      <c r="B286" s="7" t="s">
        <v>1331</v>
      </c>
      <c r="C286" t="s">
        <v>205</v>
      </c>
      <c r="D286" t="s">
        <v>1159</v>
      </c>
      <c r="G286" t="s">
        <v>1160</v>
      </c>
      <c r="H286" s="8" t="s">
        <v>208</v>
      </c>
      <c r="I286" s="8" t="s">
        <v>208</v>
      </c>
      <c r="J286" s="8" t="s">
        <v>208</v>
      </c>
      <c r="K286" s="8" t="s">
        <v>208</v>
      </c>
      <c r="L286" s="8" t="s">
        <v>208</v>
      </c>
      <c r="M286" s="8" t="s">
        <v>208</v>
      </c>
      <c r="N286" s="8" t="s">
        <v>208</v>
      </c>
      <c r="O286" s="8" t="s">
        <v>221</v>
      </c>
      <c r="Q286" t="s">
        <v>1332</v>
      </c>
      <c r="R286" t="s">
        <v>1333</v>
      </c>
      <c r="S286" t="s">
        <v>1333</v>
      </c>
      <c r="T286" t="s">
        <v>1331</v>
      </c>
      <c r="U286" t="s">
        <v>1334</v>
      </c>
      <c r="V286" t="s">
        <v>14</v>
      </c>
      <c r="W286" t="s">
        <v>212</v>
      </c>
      <c r="X286" t="s">
        <v>212</v>
      </c>
      <c r="Y286" t="s">
        <v>275</v>
      </c>
      <c r="Z286" t="s">
        <v>213</v>
      </c>
      <c r="AA286" t="s">
        <v>214</v>
      </c>
      <c r="AB286" t="s">
        <v>1335</v>
      </c>
      <c r="AC286" t="s">
        <v>1336</v>
      </c>
      <c r="AD286" t="s">
        <v>1112</v>
      </c>
      <c r="AE286" t="s">
        <v>217</v>
      </c>
      <c r="AG286" s="8" t="s">
        <v>218</v>
      </c>
      <c r="AH286" t="s">
        <v>219</v>
      </c>
      <c r="AI286" s="9" t="s">
        <v>218</v>
      </c>
      <c r="AJ286" s="9" t="s">
        <v>218</v>
      </c>
      <c r="AK286" t="s">
        <v>234</v>
      </c>
      <c r="AL286" s="8" t="s">
        <v>221</v>
      </c>
      <c r="AM286" s="9" t="s">
        <v>218</v>
      </c>
      <c r="AN286" s="8" t="s">
        <v>221</v>
      </c>
      <c r="AO286" s="8" t="s">
        <v>222</v>
      </c>
      <c r="AP286" s="8">
        <v>0</v>
      </c>
      <c r="AQ286" s="8">
        <v>0</v>
      </c>
      <c r="AR286" s="9">
        <v>52</v>
      </c>
      <c r="AS286" s="8">
        <v>0</v>
      </c>
      <c r="AT286" s="8">
        <v>0</v>
      </c>
      <c r="AU286" s="8">
        <v>0</v>
      </c>
      <c r="AV286" s="8">
        <v>0</v>
      </c>
      <c r="AW286" s="9">
        <v>52</v>
      </c>
      <c r="AX286" s="8"/>
      <c r="AY286" s="8"/>
      <c r="AZ286">
        <v>3</v>
      </c>
      <c r="BA286" t="s">
        <v>1337</v>
      </c>
      <c r="BB286" t="s">
        <v>1338</v>
      </c>
      <c r="BC286" t="s">
        <v>1339</v>
      </c>
    </row>
    <row r="287" spans="1:55">
      <c r="A287" s="6">
        <v>45779</v>
      </c>
      <c r="B287" s="7" t="s">
        <v>1340</v>
      </c>
      <c r="C287" t="s">
        <v>205</v>
      </c>
      <c r="D287" t="s">
        <v>1159</v>
      </c>
      <c r="G287" t="s">
        <v>1160</v>
      </c>
      <c r="H287" s="8" t="s">
        <v>208</v>
      </c>
      <c r="I287" s="8" t="s">
        <v>208</v>
      </c>
      <c r="J287" s="8" t="s">
        <v>208</v>
      </c>
      <c r="K287" s="8" t="s">
        <v>208</v>
      </c>
      <c r="L287" s="8" t="s">
        <v>208</v>
      </c>
      <c r="M287" s="8" t="s">
        <v>208</v>
      </c>
      <c r="N287" s="8" t="s">
        <v>208</v>
      </c>
      <c r="O287" s="8" t="s">
        <v>221</v>
      </c>
      <c r="Q287" t="s">
        <v>1341</v>
      </c>
      <c r="R287" t="s">
        <v>1342</v>
      </c>
      <c r="S287" t="s">
        <v>1342</v>
      </c>
      <c r="T287" t="s">
        <v>1340</v>
      </c>
      <c r="U287" t="s">
        <v>1343</v>
      </c>
      <c r="V287" t="s">
        <v>140</v>
      </c>
      <c r="W287" t="s">
        <v>212</v>
      </c>
      <c r="X287" t="s">
        <v>212</v>
      </c>
      <c r="Y287" t="s">
        <v>275</v>
      </c>
      <c r="Z287" t="s">
        <v>213</v>
      </c>
      <c r="AA287" t="s">
        <v>214</v>
      </c>
      <c r="AB287" t="s">
        <v>215</v>
      </c>
      <c r="AC287" t="s">
        <v>701</v>
      </c>
      <c r="AD287" t="s">
        <v>1112</v>
      </c>
      <c r="AE287" t="s">
        <v>11</v>
      </c>
      <c r="AG287" s="8" t="s">
        <v>218</v>
      </c>
      <c r="AH287" t="s">
        <v>219</v>
      </c>
      <c r="AI287" s="9" t="s">
        <v>218</v>
      </c>
      <c r="AJ287" s="9" t="s">
        <v>218</v>
      </c>
      <c r="AK287" t="s">
        <v>1344</v>
      </c>
      <c r="AL287" s="8" t="s">
        <v>221</v>
      </c>
      <c r="AM287" s="9" t="s">
        <v>218</v>
      </c>
      <c r="AN287" s="8" t="s">
        <v>221</v>
      </c>
      <c r="AO287" s="8" t="s">
        <v>222</v>
      </c>
      <c r="AP287" s="8">
        <v>0</v>
      </c>
      <c r="AQ287" s="8">
        <v>0</v>
      </c>
      <c r="AR287" s="8">
        <v>0</v>
      </c>
      <c r="AS287" s="8">
        <v>0</v>
      </c>
      <c r="AT287" s="8">
        <v>0</v>
      </c>
      <c r="AU287" s="8">
        <v>0</v>
      </c>
      <c r="AV287" s="8">
        <v>0</v>
      </c>
      <c r="AW287" s="8">
        <v>0</v>
      </c>
      <c r="AX287" s="8"/>
      <c r="AY287" s="8"/>
      <c r="AZ287">
        <v>2</v>
      </c>
      <c r="BA287" t="s">
        <v>1345</v>
      </c>
      <c r="BB287" t="s">
        <v>1346</v>
      </c>
      <c r="BC287" t="s">
        <v>1347</v>
      </c>
    </row>
    <row r="288" spans="1:55">
      <c r="A288" s="6">
        <v>45779</v>
      </c>
      <c r="B288" s="7" t="s">
        <v>281</v>
      </c>
      <c r="C288" t="s">
        <v>205</v>
      </c>
      <c r="D288" t="s">
        <v>1159</v>
      </c>
      <c r="G288" t="s">
        <v>1160</v>
      </c>
      <c r="H288" s="8" t="s">
        <v>208</v>
      </c>
      <c r="I288" s="8" t="s">
        <v>208</v>
      </c>
      <c r="J288" s="8" t="s">
        <v>208</v>
      </c>
      <c r="K288" s="8" t="s">
        <v>208</v>
      </c>
      <c r="L288" s="8" t="s">
        <v>208</v>
      </c>
      <c r="M288" s="8" t="s">
        <v>208</v>
      </c>
      <c r="N288" s="8" t="s">
        <v>208</v>
      </c>
      <c r="O288" s="8" t="s">
        <v>221</v>
      </c>
      <c r="Q288" t="s">
        <v>282</v>
      </c>
      <c r="R288" t="s">
        <v>283</v>
      </c>
      <c r="S288" t="s">
        <v>283</v>
      </c>
      <c r="T288" t="s">
        <v>281</v>
      </c>
      <c r="U288" t="s">
        <v>284</v>
      </c>
      <c r="V288" t="s">
        <v>140</v>
      </c>
      <c r="W288" t="s">
        <v>212</v>
      </c>
      <c r="X288" t="s">
        <v>212</v>
      </c>
      <c r="Y288" t="s">
        <v>275</v>
      </c>
      <c r="Z288" t="s">
        <v>213</v>
      </c>
      <c r="AA288" t="s">
        <v>214</v>
      </c>
      <c r="AB288" t="s">
        <v>758</v>
      </c>
      <c r="AC288" t="s">
        <v>285</v>
      </c>
      <c r="AD288" t="s">
        <v>1112</v>
      </c>
      <c r="AE288" t="s">
        <v>217</v>
      </c>
      <c r="AG288" s="8" t="s">
        <v>218</v>
      </c>
      <c r="AH288" t="s">
        <v>219</v>
      </c>
      <c r="AI288" s="9" t="s">
        <v>218</v>
      </c>
      <c r="AJ288" s="9" t="s">
        <v>218</v>
      </c>
      <c r="AK288" t="s">
        <v>234</v>
      </c>
      <c r="AL288" s="8" t="s">
        <v>221</v>
      </c>
      <c r="AM288" s="9" t="s">
        <v>218</v>
      </c>
      <c r="AN288" s="8" t="s">
        <v>221</v>
      </c>
      <c r="AO288" s="8" t="s">
        <v>222</v>
      </c>
      <c r="AP288" s="8">
        <v>0</v>
      </c>
      <c r="AQ288" s="8">
        <v>0</v>
      </c>
      <c r="AR288" s="9">
        <v>19</v>
      </c>
      <c r="AS288" s="8">
        <v>0</v>
      </c>
      <c r="AT288" s="8">
        <v>0</v>
      </c>
      <c r="AU288" s="8">
        <v>0</v>
      </c>
      <c r="AV288" s="8">
        <v>0</v>
      </c>
      <c r="AW288" s="9">
        <v>19</v>
      </c>
      <c r="AX288" s="8"/>
      <c r="AY288" s="9" t="s">
        <v>286</v>
      </c>
      <c r="AZ288">
        <v>2</v>
      </c>
      <c r="BA288" t="s">
        <v>1348</v>
      </c>
      <c r="BB288" t="s">
        <v>288</v>
      </c>
      <c r="BC288" t="s">
        <v>289</v>
      </c>
    </row>
    <row r="289" spans="1:55">
      <c r="A289" s="6">
        <v>45779</v>
      </c>
      <c r="B289" s="7" t="s">
        <v>813</v>
      </c>
      <c r="C289" t="s">
        <v>205</v>
      </c>
      <c r="D289" t="s">
        <v>1159</v>
      </c>
      <c r="G289" t="s">
        <v>1160</v>
      </c>
      <c r="H289" s="8" t="s">
        <v>208</v>
      </c>
      <c r="I289" s="8" t="s">
        <v>208</v>
      </c>
      <c r="J289" s="8" t="s">
        <v>208</v>
      </c>
      <c r="K289" s="8" t="s">
        <v>208</v>
      </c>
      <c r="L289" s="8" t="s">
        <v>208</v>
      </c>
      <c r="M289" s="8" t="s">
        <v>208</v>
      </c>
      <c r="N289" s="8" t="s">
        <v>208</v>
      </c>
      <c r="O289" s="8" t="s">
        <v>221</v>
      </c>
      <c r="Q289" t="s">
        <v>815</v>
      </c>
      <c r="R289" t="s">
        <v>816</v>
      </c>
      <c r="S289" t="s">
        <v>816</v>
      </c>
      <c r="T289" t="s">
        <v>813</v>
      </c>
      <c r="U289" t="s">
        <v>817</v>
      </c>
      <c r="V289" t="s">
        <v>140</v>
      </c>
      <c r="W289" t="s">
        <v>212</v>
      </c>
      <c r="X289" t="s">
        <v>212</v>
      </c>
      <c r="Y289" t="s">
        <v>275</v>
      </c>
      <c r="Z289" t="s">
        <v>275</v>
      </c>
      <c r="AA289" t="s">
        <v>214</v>
      </c>
      <c r="AB289" t="s">
        <v>681</v>
      </c>
      <c r="AC289" t="s">
        <v>681</v>
      </c>
      <c r="AD289" t="s">
        <v>1112</v>
      </c>
      <c r="AE289" t="s">
        <v>217</v>
      </c>
      <c r="AG289" s="8" t="s">
        <v>218</v>
      </c>
      <c r="AH289" t="s">
        <v>219</v>
      </c>
      <c r="AI289" s="9" t="s">
        <v>218</v>
      </c>
      <c r="AJ289" s="9" t="s">
        <v>218</v>
      </c>
      <c r="AK289" t="s">
        <v>234</v>
      </c>
      <c r="AL289" s="8" t="s">
        <v>221</v>
      </c>
      <c r="AM289" s="9" t="s">
        <v>218</v>
      </c>
      <c r="AN289" s="9" t="s">
        <v>218</v>
      </c>
      <c r="AO289" s="8" t="s">
        <v>222</v>
      </c>
      <c r="AP289" s="8">
        <v>0</v>
      </c>
      <c r="AQ289" s="8">
        <v>0</v>
      </c>
      <c r="AR289" s="9">
        <v>35</v>
      </c>
      <c r="AS289" s="8">
        <v>0</v>
      </c>
      <c r="AT289" s="8">
        <v>0</v>
      </c>
      <c r="AU289" s="8">
        <v>0</v>
      </c>
      <c r="AV289" s="8">
        <v>0</v>
      </c>
      <c r="AW289" s="9">
        <v>35</v>
      </c>
      <c r="AX289" s="8"/>
      <c r="AY289" s="9" t="s">
        <v>818</v>
      </c>
      <c r="AZ289">
        <v>1</v>
      </c>
      <c r="BA289" t="s">
        <v>1349</v>
      </c>
      <c r="BB289" t="s">
        <v>819</v>
      </c>
      <c r="BC289" t="s">
        <v>820</v>
      </c>
    </row>
    <row r="290" spans="1:55">
      <c r="A290" s="6">
        <v>45779</v>
      </c>
      <c r="B290" s="7" t="s">
        <v>1350</v>
      </c>
      <c r="C290" t="s">
        <v>205</v>
      </c>
      <c r="D290" t="s">
        <v>1159</v>
      </c>
      <c r="G290" t="s">
        <v>1160</v>
      </c>
      <c r="H290" s="8" t="s">
        <v>208</v>
      </c>
      <c r="I290" s="8" t="s">
        <v>208</v>
      </c>
      <c r="J290" s="8" t="s">
        <v>208</v>
      </c>
      <c r="K290" s="8" t="s">
        <v>208</v>
      </c>
      <c r="L290" s="8" t="s">
        <v>208</v>
      </c>
      <c r="M290" s="8" t="s">
        <v>208</v>
      </c>
      <c r="N290" s="8" t="s">
        <v>208</v>
      </c>
      <c r="O290" s="8" t="s">
        <v>221</v>
      </c>
      <c r="Q290" t="s">
        <v>1351</v>
      </c>
      <c r="R290" t="s">
        <v>1352</v>
      </c>
      <c r="S290" t="s">
        <v>1352</v>
      </c>
      <c r="T290" t="s">
        <v>1350</v>
      </c>
      <c r="U290" t="s">
        <v>1353</v>
      </c>
      <c r="V290" t="s">
        <v>140</v>
      </c>
      <c r="W290" t="s">
        <v>774</v>
      </c>
      <c r="X290" t="s">
        <v>774</v>
      </c>
      <c r="Y290" t="s">
        <v>1082</v>
      </c>
      <c r="Z290" t="s">
        <v>775</v>
      </c>
      <c r="AA290" t="s">
        <v>1164</v>
      </c>
      <c r="AB290" t="s">
        <v>425</v>
      </c>
      <c r="AC290" t="s">
        <v>465</v>
      </c>
      <c r="AD290" t="s">
        <v>1165</v>
      </c>
      <c r="AE290" t="s">
        <v>1166</v>
      </c>
      <c r="AG290" s="8" t="s">
        <v>218</v>
      </c>
      <c r="AH290" t="s">
        <v>219</v>
      </c>
      <c r="AI290" s="9" t="s">
        <v>218</v>
      </c>
      <c r="AJ290" s="9" t="s">
        <v>218</v>
      </c>
      <c r="AK290" t="s">
        <v>234</v>
      </c>
      <c r="AL290" s="8" t="s">
        <v>221</v>
      </c>
      <c r="AM290" s="9" t="s">
        <v>218</v>
      </c>
      <c r="AN290" s="8" t="s">
        <v>221</v>
      </c>
      <c r="AO290" s="8" t="s">
        <v>222</v>
      </c>
      <c r="AP290" s="8">
        <v>0</v>
      </c>
      <c r="AQ290" s="8">
        <v>0</v>
      </c>
      <c r="AR290" s="8">
        <v>0</v>
      </c>
      <c r="AS290" s="8">
        <v>0</v>
      </c>
      <c r="AT290" s="8">
        <v>0</v>
      </c>
      <c r="AU290" s="8">
        <v>0</v>
      </c>
      <c r="AV290" s="8">
        <v>0</v>
      </c>
      <c r="AW290" s="8">
        <v>0</v>
      </c>
      <c r="AX290" s="8"/>
      <c r="AY290" s="8"/>
      <c r="AZ290">
        <v>2</v>
      </c>
      <c r="BA290" t="s">
        <v>1354</v>
      </c>
      <c r="BB290" t="s">
        <v>1355</v>
      </c>
      <c r="BC290" t="s">
        <v>1356</v>
      </c>
    </row>
    <row r="291" spans="1:55">
      <c r="A291" s="6">
        <v>45779</v>
      </c>
      <c r="B291" s="7" t="s">
        <v>1357</v>
      </c>
      <c r="C291" t="s">
        <v>205</v>
      </c>
      <c r="D291" t="s">
        <v>1159</v>
      </c>
      <c r="G291" t="s">
        <v>1160</v>
      </c>
      <c r="H291" s="8" t="s">
        <v>208</v>
      </c>
      <c r="I291" s="8" t="s">
        <v>208</v>
      </c>
      <c r="J291" s="8" t="s">
        <v>208</v>
      </c>
      <c r="K291" s="8" t="s">
        <v>208</v>
      </c>
      <c r="L291" s="8" t="s">
        <v>208</v>
      </c>
      <c r="M291" s="8" t="s">
        <v>208</v>
      </c>
      <c r="N291" s="8" t="s">
        <v>208</v>
      </c>
      <c r="O291" s="8" t="s">
        <v>221</v>
      </c>
      <c r="Q291" t="s">
        <v>1358</v>
      </c>
      <c r="R291" t="s">
        <v>1359</v>
      </c>
      <c r="S291" t="s">
        <v>1359</v>
      </c>
      <c r="T291" t="s">
        <v>1357</v>
      </c>
      <c r="U291" t="s">
        <v>1360</v>
      </c>
      <c r="V291" t="s">
        <v>138</v>
      </c>
      <c r="W291" t="s">
        <v>212</v>
      </c>
      <c r="X291" t="s">
        <v>212</v>
      </c>
      <c r="Y291" t="s">
        <v>275</v>
      </c>
      <c r="Z291" t="s">
        <v>213</v>
      </c>
      <c r="AA291" t="s">
        <v>214</v>
      </c>
      <c r="AB291" t="s">
        <v>215</v>
      </c>
      <c r="AC291" t="s">
        <v>701</v>
      </c>
      <c r="AD291" t="s">
        <v>1112</v>
      </c>
      <c r="AE291" t="s">
        <v>217</v>
      </c>
      <c r="AG291" s="8" t="s">
        <v>218</v>
      </c>
      <c r="AH291" t="s">
        <v>219</v>
      </c>
      <c r="AI291" s="9" t="s">
        <v>218</v>
      </c>
      <c r="AJ291" s="9" t="s">
        <v>218</v>
      </c>
      <c r="AK291" t="s">
        <v>234</v>
      </c>
      <c r="AL291" s="8" t="s">
        <v>221</v>
      </c>
      <c r="AM291" s="9" t="s">
        <v>218</v>
      </c>
      <c r="AN291" s="8" t="s">
        <v>221</v>
      </c>
      <c r="AO291" s="8" t="s">
        <v>222</v>
      </c>
      <c r="AP291" s="8">
        <v>0</v>
      </c>
      <c r="AQ291" s="8">
        <v>0</v>
      </c>
      <c r="AR291" s="9">
        <v>6</v>
      </c>
      <c r="AS291" s="8">
        <v>0</v>
      </c>
      <c r="AT291" s="8">
        <v>0</v>
      </c>
      <c r="AU291" s="8">
        <v>0</v>
      </c>
      <c r="AV291" s="8">
        <v>0</v>
      </c>
      <c r="AW291" s="9">
        <v>6</v>
      </c>
      <c r="AX291" s="8"/>
      <c r="AY291" s="8"/>
      <c r="AZ291">
        <v>3</v>
      </c>
      <c r="BA291" t="s">
        <v>1361</v>
      </c>
      <c r="BB291" t="s">
        <v>1362</v>
      </c>
      <c r="BC291" t="s">
        <v>1363</v>
      </c>
    </row>
    <row r="292" spans="1:55">
      <c r="A292" s="6">
        <v>45779</v>
      </c>
      <c r="B292" s="7" t="s">
        <v>1364</v>
      </c>
      <c r="C292" t="s">
        <v>205</v>
      </c>
      <c r="D292" t="s">
        <v>1159</v>
      </c>
      <c r="G292" t="s">
        <v>1160</v>
      </c>
      <c r="H292" s="8" t="s">
        <v>208</v>
      </c>
      <c r="I292" s="8" t="s">
        <v>208</v>
      </c>
      <c r="J292" s="8" t="s">
        <v>208</v>
      </c>
      <c r="K292" s="8" t="s">
        <v>208</v>
      </c>
      <c r="L292" s="8" t="s">
        <v>208</v>
      </c>
      <c r="M292" s="8" t="s">
        <v>208</v>
      </c>
      <c r="N292" s="8" t="s">
        <v>208</v>
      </c>
      <c r="O292" s="8" t="s">
        <v>221</v>
      </c>
      <c r="Q292" t="s">
        <v>1365</v>
      </c>
      <c r="R292" t="s">
        <v>1366</v>
      </c>
      <c r="S292" t="s">
        <v>1366</v>
      </c>
      <c r="T292" t="s">
        <v>1364</v>
      </c>
      <c r="U292" t="s">
        <v>1367</v>
      </c>
      <c r="V292" t="s">
        <v>138</v>
      </c>
      <c r="W292" t="s">
        <v>212</v>
      </c>
      <c r="X292" t="s">
        <v>212</v>
      </c>
      <c r="Y292" t="s">
        <v>275</v>
      </c>
      <c r="Z292" t="s">
        <v>213</v>
      </c>
      <c r="AA292" t="s">
        <v>214</v>
      </c>
      <c r="AB292" t="s">
        <v>701</v>
      </c>
      <c r="AC292" t="s">
        <v>242</v>
      </c>
      <c r="AD292" t="s">
        <v>1112</v>
      </c>
      <c r="AE292" t="s">
        <v>217</v>
      </c>
      <c r="AG292" s="8" t="s">
        <v>218</v>
      </c>
      <c r="AH292" t="s">
        <v>219</v>
      </c>
      <c r="AI292" s="9" t="s">
        <v>218</v>
      </c>
      <c r="AJ292" s="9" t="s">
        <v>218</v>
      </c>
      <c r="AK292" t="s">
        <v>234</v>
      </c>
      <c r="AL292" s="8" t="s">
        <v>221</v>
      </c>
      <c r="AM292" s="9" t="s">
        <v>218</v>
      </c>
      <c r="AN292" s="8" t="s">
        <v>221</v>
      </c>
      <c r="AO292" s="8" t="s">
        <v>222</v>
      </c>
      <c r="AP292" s="8">
        <v>0</v>
      </c>
      <c r="AQ292" s="8">
        <v>0</v>
      </c>
      <c r="AR292" s="8">
        <v>0</v>
      </c>
      <c r="AS292" s="8">
        <v>0</v>
      </c>
      <c r="AT292" s="8">
        <v>0</v>
      </c>
      <c r="AU292" s="8">
        <v>0</v>
      </c>
      <c r="AV292" s="8">
        <v>0</v>
      </c>
      <c r="AW292" s="8">
        <v>0</v>
      </c>
      <c r="AX292" s="8"/>
      <c r="AY292" s="8"/>
      <c r="AZ292">
        <v>2</v>
      </c>
      <c r="BA292" t="s">
        <v>1368</v>
      </c>
      <c r="BB292" t="s">
        <v>1369</v>
      </c>
      <c r="BC292" t="s">
        <v>1370</v>
      </c>
    </row>
    <row r="293" spans="1:55">
      <c r="A293" s="6">
        <v>45779</v>
      </c>
      <c r="B293" s="7" t="s">
        <v>1371</v>
      </c>
      <c r="C293" t="s">
        <v>205</v>
      </c>
      <c r="D293" t="s">
        <v>1159</v>
      </c>
      <c r="G293" t="s">
        <v>1160</v>
      </c>
      <c r="H293" s="8" t="s">
        <v>208</v>
      </c>
      <c r="I293" s="8" t="s">
        <v>208</v>
      </c>
      <c r="J293" s="8" t="s">
        <v>208</v>
      </c>
      <c r="K293" s="8" t="s">
        <v>208</v>
      </c>
      <c r="L293" s="8" t="s">
        <v>208</v>
      </c>
      <c r="M293" s="8" t="s">
        <v>208</v>
      </c>
      <c r="N293" s="8" t="s">
        <v>208</v>
      </c>
      <c r="O293" s="8" t="s">
        <v>221</v>
      </c>
      <c r="Q293" t="s">
        <v>1372</v>
      </c>
      <c r="R293" t="s">
        <v>1373</v>
      </c>
      <c r="S293" t="s">
        <v>1373</v>
      </c>
      <c r="T293" t="s">
        <v>1371</v>
      </c>
      <c r="U293" t="s">
        <v>1374</v>
      </c>
      <c r="V293" t="s">
        <v>138</v>
      </c>
      <c r="W293" t="s">
        <v>212</v>
      </c>
      <c r="X293" t="s">
        <v>212</v>
      </c>
      <c r="Y293" t="s">
        <v>275</v>
      </c>
      <c r="Z293" t="s">
        <v>213</v>
      </c>
      <c r="AA293" t="s">
        <v>214</v>
      </c>
      <c r="AB293" t="s">
        <v>701</v>
      </c>
      <c r="AC293" t="s">
        <v>242</v>
      </c>
      <c r="AD293" t="s">
        <v>1112</v>
      </c>
      <c r="AE293" t="s">
        <v>217</v>
      </c>
      <c r="AG293" s="8" t="s">
        <v>218</v>
      </c>
      <c r="AH293" t="s">
        <v>219</v>
      </c>
      <c r="AI293" s="9" t="s">
        <v>218</v>
      </c>
      <c r="AJ293" s="9" t="s">
        <v>218</v>
      </c>
      <c r="AK293" t="s">
        <v>234</v>
      </c>
      <c r="AL293" s="8" t="s">
        <v>221</v>
      </c>
      <c r="AM293" s="9" t="s">
        <v>218</v>
      </c>
      <c r="AN293" s="8" t="s">
        <v>221</v>
      </c>
      <c r="AO293" s="8" t="s">
        <v>222</v>
      </c>
      <c r="AP293" s="8">
        <v>0</v>
      </c>
      <c r="AQ293" s="8">
        <v>0</v>
      </c>
      <c r="AR293" s="8">
        <v>0</v>
      </c>
      <c r="AS293" s="8">
        <v>0</v>
      </c>
      <c r="AT293" s="8">
        <v>0</v>
      </c>
      <c r="AU293" s="8">
        <v>0</v>
      </c>
      <c r="AV293" s="8">
        <v>0</v>
      </c>
      <c r="AW293" s="8">
        <v>0</v>
      </c>
      <c r="AX293" s="8"/>
      <c r="AY293" s="8"/>
      <c r="AZ293">
        <v>2</v>
      </c>
      <c r="BA293" t="s">
        <v>1375</v>
      </c>
      <c r="BB293" t="s">
        <v>1376</v>
      </c>
      <c r="BC293" t="s">
        <v>1377</v>
      </c>
    </row>
    <row r="294" spans="1:55">
      <c r="A294" s="6">
        <v>45779</v>
      </c>
      <c r="B294" s="7" t="s">
        <v>1378</v>
      </c>
      <c r="C294" t="s">
        <v>205</v>
      </c>
      <c r="D294" t="s">
        <v>1159</v>
      </c>
      <c r="G294" t="s">
        <v>1160</v>
      </c>
      <c r="H294" s="8" t="s">
        <v>208</v>
      </c>
      <c r="I294" s="8" t="s">
        <v>208</v>
      </c>
      <c r="J294" s="8" t="s">
        <v>208</v>
      </c>
      <c r="K294" s="8" t="s">
        <v>208</v>
      </c>
      <c r="L294" s="8" t="s">
        <v>208</v>
      </c>
      <c r="M294" s="8" t="s">
        <v>208</v>
      </c>
      <c r="N294" s="8" t="s">
        <v>208</v>
      </c>
      <c r="O294" s="8" t="s">
        <v>221</v>
      </c>
      <c r="Q294" t="s">
        <v>1379</v>
      </c>
      <c r="R294" t="s">
        <v>1380</v>
      </c>
      <c r="S294" t="s">
        <v>1380</v>
      </c>
      <c r="T294" t="s">
        <v>1378</v>
      </c>
      <c r="U294" t="s">
        <v>1381</v>
      </c>
      <c r="V294" t="s">
        <v>140</v>
      </c>
      <c r="W294" t="s">
        <v>212</v>
      </c>
      <c r="X294" t="s">
        <v>212</v>
      </c>
      <c r="Y294" t="s">
        <v>275</v>
      </c>
      <c r="Z294" t="s">
        <v>213</v>
      </c>
      <c r="AA294" t="s">
        <v>214</v>
      </c>
      <c r="AB294" t="s">
        <v>701</v>
      </c>
      <c r="AC294" t="s">
        <v>242</v>
      </c>
      <c r="AD294" t="s">
        <v>1112</v>
      </c>
      <c r="AE294" t="s">
        <v>11</v>
      </c>
      <c r="AG294" s="8" t="s">
        <v>218</v>
      </c>
      <c r="AH294" t="s">
        <v>219</v>
      </c>
      <c r="AI294" s="9" t="s">
        <v>218</v>
      </c>
      <c r="AJ294" s="9" t="s">
        <v>218</v>
      </c>
      <c r="AK294" t="s">
        <v>234</v>
      </c>
      <c r="AL294" s="8" t="s">
        <v>221</v>
      </c>
      <c r="AM294" s="9" t="s">
        <v>218</v>
      </c>
      <c r="AN294" s="8" t="s">
        <v>221</v>
      </c>
      <c r="AO294" s="8" t="s">
        <v>222</v>
      </c>
      <c r="AP294" s="8">
        <v>0</v>
      </c>
      <c r="AQ294" s="8">
        <v>0</v>
      </c>
      <c r="AR294" s="8">
        <v>0</v>
      </c>
      <c r="AS294" s="8">
        <v>0</v>
      </c>
      <c r="AT294" s="8">
        <v>0</v>
      </c>
      <c r="AU294" s="8">
        <v>0</v>
      </c>
      <c r="AV294" s="8">
        <v>0</v>
      </c>
      <c r="AW294" s="8">
        <v>0</v>
      </c>
      <c r="AX294" s="8"/>
      <c r="AY294" s="8"/>
      <c r="AZ294">
        <v>2</v>
      </c>
      <c r="BA294" t="s">
        <v>1382</v>
      </c>
      <c r="BB294" t="s">
        <v>1383</v>
      </c>
      <c r="BC294" t="s">
        <v>1384</v>
      </c>
    </row>
    <row r="295" spans="1:55">
      <c r="A295" s="6">
        <v>45779</v>
      </c>
      <c r="B295" s="7" t="s">
        <v>1385</v>
      </c>
      <c r="C295" t="s">
        <v>205</v>
      </c>
      <c r="D295" t="s">
        <v>1159</v>
      </c>
      <c r="G295" t="s">
        <v>1160</v>
      </c>
      <c r="H295" s="8" t="s">
        <v>208</v>
      </c>
      <c r="I295" s="8" t="s">
        <v>208</v>
      </c>
      <c r="J295" s="8" t="s">
        <v>208</v>
      </c>
      <c r="K295" s="8" t="s">
        <v>208</v>
      </c>
      <c r="L295" s="8" t="s">
        <v>208</v>
      </c>
      <c r="M295" s="8" t="s">
        <v>208</v>
      </c>
      <c r="N295" s="8" t="s">
        <v>208</v>
      </c>
      <c r="O295" s="8" t="s">
        <v>221</v>
      </c>
      <c r="Q295" t="s">
        <v>1386</v>
      </c>
      <c r="R295" t="s">
        <v>1387</v>
      </c>
      <c r="S295" t="s">
        <v>1387</v>
      </c>
      <c r="T295" t="s">
        <v>1385</v>
      </c>
      <c r="U295" t="s">
        <v>1388</v>
      </c>
      <c r="V295" t="s">
        <v>138</v>
      </c>
      <c r="W295" t="s">
        <v>212</v>
      </c>
      <c r="X295" t="s">
        <v>212</v>
      </c>
      <c r="Y295" t="s">
        <v>275</v>
      </c>
      <c r="Z295" t="s">
        <v>213</v>
      </c>
      <c r="AA295" t="s">
        <v>214</v>
      </c>
      <c r="AB295" t="s">
        <v>701</v>
      </c>
      <c r="AC295" t="s">
        <v>242</v>
      </c>
      <c r="AD295" t="s">
        <v>1112</v>
      </c>
      <c r="AE295" t="s">
        <v>11</v>
      </c>
      <c r="AG295" s="8" t="s">
        <v>218</v>
      </c>
      <c r="AH295" t="s">
        <v>219</v>
      </c>
      <c r="AI295" s="9" t="s">
        <v>218</v>
      </c>
      <c r="AJ295" s="9" t="s">
        <v>218</v>
      </c>
      <c r="AK295" t="s">
        <v>234</v>
      </c>
      <c r="AL295" s="8" t="s">
        <v>221</v>
      </c>
      <c r="AM295" s="9" t="s">
        <v>218</v>
      </c>
      <c r="AN295" s="8" t="s">
        <v>221</v>
      </c>
      <c r="AO295" s="8" t="s">
        <v>222</v>
      </c>
      <c r="AP295" s="8">
        <v>0</v>
      </c>
      <c r="AQ295" s="8">
        <v>0</v>
      </c>
      <c r="AR295" s="8">
        <v>0</v>
      </c>
      <c r="AS295" s="8">
        <v>0</v>
      </c>
      <c r="AT295" s="8">
        <v>0</v>
      </c>
      <c r="AU295" s="8">
        <v>0</v>
      </c>
      <c r="AV295" s="8">
        <v>0</v>
      </c>
      <c r="AW295" s="8">
        <v>0</v>
      </c>
      <c r="AX295" s="8"/>
      <c r="AY295" s="8"/>
      <c r="AZ295">
        <v>4</v>
      </c>
      <c r="BA295" t="s">
        <v>1389</v>
      </c>
      <c r="BB295" t="s">
        <v>1390</v>
      </c>
      <c r="BC295" t="s">
        <v>1391</v>
      </c>
    </row>
    <row r="296" spans="1:55">
      <c r="A296" s="6">
        <v>45779</v>
      </c>
      <c r="B296" s="7" t="s">
        <v>1392</v>
      </c>
      <c r="C296" t="s">
        <v>205</v>
      </c>
      <c r="D296" t="s">
        <v>1159</v>
      </c>
      <c r="G296" t="s">
        <v>1160</v>
      </c>
      <c r="H296" s="8" t="s">
        <v>208</v>
      </c>
      <c r="I296" s="8" t="s">
        <v>208</v>
      </c>
      <c r="J296" s="8" t="s">
        <v>208</v>
      </c>
      <c r="K296" s="8" t="s">
        <v>208</v>
      </c>
      <c r="L296" s="8" t="s">
        <v>208</v>
      </c>
      <c r="M296" s="8" t="s">
        <v>208</v>
      </c>
      <c r="N296" s="8" t="s">
        <v>208</v>
      </c>
      <c r="O296" s="8" t="s">
        <v>221</v>
      </c>
      <c r="Q296" t="s">
        <v>1393</v>
      </c>
      <c r="R296" t="s">
        <v>1394</v>
      </c>
      <c r="S296" t="s">
        <v>1394</v>
      </c>
      <c r="T296" t="s">
        <v>1392</v>
      </c>
      <c r="U296" t="s">
        <v>1395</v>
      </c>
      <c r="V296" t="s">
        <v>140</v>
      </c>
      <c r="W296" t="s">
        <v>212</v>
      </c>
      <c r="Y296" t="s">
        <v>275</v>
      </c>
      <c r="AA296" t="s">
        <v>11</v>
      </c>
      <c r="AB296" t="s">
        <v>242</v>
      </c>
      <c r="AD296" t="s">
        <v>1112</v>
      </c>
      <c r="AG296" s="8" t="s">
        <v>218</v>
      </c>
      <c r="AI296" s="9" t="s">
        <v>218</v>
      </c>
      <c r="AJ296" s="9" t="s">
        <v>218</v>
      </c>
      <c r="AK296" t="s">
        <v>1396</v>
      </c>
      <c r="AL296" s="8" t="s">
        <v>221</v>
      </c>
      <c r="AM296" s="9" t="s">
        <v>218</v>
      </c>
      <c r="AN296" s="8" t="s">
        <v>221</v>
      </c>
      <c r="AO296" s="8" t="s">
        <v>222</v>
      </c>
      <c r="AP296" s="8">
        <v>0</v>
      </c>
      <c r="AQ296" s="8">
        <v>0</v>
      </c>
      <c r="AR296" s="8">
        <v>0</v>
      </c>
      <c r="AS296" s="8">
        <v>0</v>
      </c>
      <c r="AT296" s="8">
        <v>0</v>
      </c>
      <c r="AU296" s="8">
        <v>0</v>
      </c>
      <c r="AV296" s="8">
        <v>0</v>
      </c>
      <c r="AW296" s="8">
        <v>0</v>
      </c>
      <c r="AX296" s="8"/>
      <c r="AY296" s="8"/>
      <c r="AZ296">
        <v>0</v>
      </c>
      <c r="BC296" t="s">
        <v>1397</v>
      </c>
    </row>
    <row r="297" spans="1:55">
      <c r="A297" s="6">
        <v>45779</v>
      </c>
      <c r="B297" s="7" t="s">
        <v>1398</v>
      </c>
      <c r="C297" t="s">
        <v>205</v>
      </c>
      <c r="D297" t="s">
        <v>1159</v>
      </c>
      <c r="G297" t="s">
        <v>1160</v>
      </c>
      <c r="H297" s="8" t="s">
        <v>208</v>
      </c>
      <c r="I297" s="8" t="s">
        <v>208</v>
      </c>
      <c r="J297" s="8" t="s">
        <v>208</v>
      </c>
      <c r="K297" s="8" t="s">
        <v>208</v>
      </c>
      <c r="L297" s="8" t="s">
        <v>208</v>
      </c>
      <c r="M297" s="8" t="s">
        <v>208</v>
      </c>
      <c r="N297" s="8" t="s">
        <v>208</v>
      </c>
      <c r="O297" s="8" t="s">
        <v>221</v>
      </c>
      <c r="Q297" t="s">
        <v>1399</v>
      </c>
      <c r="R297" t="s">
        <v>1400</v>
      </c>
      <c r="S297" t="s">
        <v>1400</v>
      </c>
      <c r="T297" t="s">
        <v>1398</v>
      </c>
      <c r="U297" t="s">
        <v>1401</v>
      </c>
      <c r="V297" t="s">
        <v>14</v>
      </c>
      <c r="W297" t="s">
        <v>212</v>
      </c>
      <c r="X297" t="s">
        <v>212</v>
      </c>
      <c r="Y297" t="s">
        <v>275</v>
      </c>
      <c r="Z297" t="s">
        <v>213</v>
      </c>
      <c r="AA297" t="s">
        <v>214</v>
      </c>
      <c r="AB297" t="s">
        <v>1335</v>
      </c>
      <c r="AC297" t="s">
        <v>1336</v>
      </c>
      <c r="AD297" t="s">
        <v>1112</v>
      </c>
      <c r="AE297" t="s">
        <v>11</v>
      </c>
      <c r="AG297" s="8" t="s">
        <v>218</v>
      </c>
      <c r="AH297" t="s">
        <v>219</v>
      </c>
      <c r="AI297" s="9" t="s">
        <v>218</v>
      </c>
      <c r="AJ297" s="9" t="s">
        <v>218</v>
      </c>
      <c r="AK297" t="s">
        <v>234</v>
      </c>
      <c r="AL297" s="8" t="s">
        <v>221</v>
      </c>
      <c r="AM297" s="9" t="s">
        <v>218</v>
      </c>
      <c r="AN297" s="8" t="s">
        <v>221</v>
      </c>
      <c r="AO297" s="8" t="s">
        <v>222</v>
      </c>
      <c r="AP297" s="8">
        <v>0</v>
      </c>
      <c r="AQ297" s="8">
        <v>0</v>
      </c>
      <c r="AR297" s="8">
        <v>0</v>
      </c>
      <c r="AS297" s="8">
        <v>0</v>
      </c>
      <c r="AT297" s="8">
        <v>0</v>
      </c>
      <c r="AU297" s="8">
        <v>0</v>
      </c>
      <c r="AV297" s="8">
        <v>0</v>
      </c>
      <c r="AW297" s="8">
        <v>0</v>
      </c>
      <c r="AX297" s="8"/>
      <c r="AY297" s="8"/>
      <c r="AZ297">
        <v>3</v>
      </c>
      <c r="BA297" t="s">
        <v>1402</v>
      </c>
      <c r="BB297" t="s">
        <v>1403</v>
      </c>
      <c r="BC297" t="s">
        <v>1404</v>
      </c>
    </row>
    <row r="298" spans="1:55">
      <c r="A298" s="6">
        <v>45779</v>
      </c>
      <c r="B298" s="7" t="s">
        <v>1405</v>
      </c>
      <c r="C298" t="s">
        <v>387</v>
      </c>
      <c r="D298" t="s">
        <v>1159</v>
      </c>
      <c r="E298" t="s">
        <v>1275</v>
      </c>
      <c r="F298" t="s">
        <v>1275</v>
      </c>
      <c r="G298" t="s">
        <v>1160</v>
      </c>
      <c r="H298" s="8" t="s">
        <v>208</v>
      </c>
      <c r="I298" s="8" t="s">
        <v>208</v>
      </c>
      <c r="J298" s="8" t="s">
        <v>208</v>
      </c>
      <c r="K298" s="8" t="s">
        <v>208</v>
      </c>
      <c r="L298" s="8" t="s">
        <v>208</v>
      </c>
      <c r="M298" s="8" t="s">
        <v>208</v>
      </c>
      <c r="N298" s="8" t="s">
        <v>208</v>
      </c>
      <c r="O298" s="8" t="s">
        <v>221</v>
      </c>
      <c r="Q298" t="s">
        <v>1406</v>
      </c>
      <c r="R298" t="s">
        <v>1407</v>
      </c>
      <c r="S298" t="s">
        <v>1407</v>
      </c>
      <c r="T298" t="s">
        <v>1405</v>
      </c>
      <c r="U298" t="s">
        <v>1408</v>
      </c>
      <c r="V298" t="s">
        <v>1409</v>
      </c>
      <c r="W298" t="s">
        <v>298</v>
      </c>
      <c r="X298" t="s">
        <v>298</v>
      </c>
      <c r="Y298" t="s">
        <v>1103</v>
      </c>
      <c r="Z298" t="s">
        <v>299</v>
      </c>
      <c r="AA298" t="s">
        <v>1410</v>
      </c>
      <c r="AB298" t="s">
        <v>465</v>
      </c>
      <c r="AC298" t="s">
        <v>301</v>
      </c>
      <c r="AD298" t="s">
        <v>1279</v>
      </c>
      <c r="AE298" t="s">
        <v>1410</v>
      </c>
      <c r="AG298" s="8" t="s">
        <v>218</v>
      </c>
      <c r="AH298" t="s">
        <v>302</v>
      </c>
      <c r="AI298" s="9" t="s">
        <v>218</v>
      </c>
      <c r="AJ298" s="9" t="s">
        <v>218</v>
      </c>
      <c r="AK298" t="s">
        <v>1411</v>
      </c>
      <c r="AL298" s="8" t="s">
        <v>221</v>
      </c>
      <c r="AM298" s="9" t="s">
        <v>218</v>
      </c>
      <c r="AN298" s="8" t="s">
        <v>221</v>
      </c>
      <c r="AO298" s="8" t="s">
        <v>222</v>
      </c>
      <c r="AP298" s="8">
        <v>0</v>
      </c>
      <c r="AQ298" s="8">
        <v>0</v>
      </c>
      <c r="AR298" s="9">
        <v>17</v>
      </c>
      <c r="AS298" s="8">
        <v>0</v>
      </c>
      <c r="AT298" s="8">
        <v>0</v>
      </c>
      <c r="AU298" s="8">
        <v>0</v>
      </c>
      <c r="AV298" s="8">
        <v>0</v>
      </c>
      <c r="AW298" s="9">
        <v>17</v>
      </c>
      <c r="AX298" s="8"/>
      <c r="AY298" s="8"/>
      <c r="AZ298">
        <v>2</v>
      </c>
      <c r="BA298" t="s">
        <v>1412</v>
      </c>
      <c r="BB298" t="s">
        <v>1413</v>
      </c>
      <c r="BC298" t="s">
        <v>1414</v>
      </c>
    </row>
    <row r="299" spans="1:55">
      <c r="A299" s="6">
        <v>45779</v>
      </c>
      <c r="B299" s="7" t="s">
        <v>1415</v>
      </c>
      <c r="C299" t="s">
        <v>387</v>
      </c>
      <c r="D299" t="s">
        <v>1159</v>
      </c>
      <c r="E299" t="s">
        <v>1275</v>
      </c>
      <c r="F299" t="s">
        <v>1275</v>
      </c>
      <c r="G299" t="s">
        <v>1160</v>
      </c>
      <c r="H299" s="8" t="s">
        <v>208</v>
      </c>
      <c r="I299" s="8" t="s">
        <v>208</v>
      </c>
      <c r="J299" s="8" t="s">
        <v>208</v>
      </c>
      <c r="K299" s="8" t="s">
        <v>208</v>
      </c>
      <c r="L299" s="8" t="s">
        <v>208</v>
      </c>
      <c r="M299" s="8" t="s">
        <v>208</v>
      </c>
      <c r="N299" s="8" t="s">
        <v>208</v>
      </c>
      <c r="O299" s="8" t="s">
        <v>221</v>
      </c>
      <c r="Q299" t="s">
        <v>1416</v>
      </c>
      <c r="R299" t="s">
        <v>1417</v>
      </c>
      <c r="S299" t="s">
        <v>1417</v>
      </c>
      <c r="T299" t="s">
        <v>1415</v>
      </c>
      <c r="U299" t="s">
        <v>1418</v>
      </c>
      <c r="V299" t="s">
        <v>1409</v>
      </c>
      <c r="W299" t="s">
        <v>298</v>
      </c>
      <c r="X299" t="s">
        <v>298</v>
      </c>
      <c r="Y299" t="s">
        <v>1103</v>
      </c>
      <c r="Z299" t="s">
        <v>299</v>
      </c>
      <c r="AA299" t="s">
        <v>1410</v>
      </c>
      <c r="AB299" t="s">
        <v>465</v>
      </c>
      <c r="AC299" t="s">
        <v>312</v>
      </c>
      <c r="AD299" t="s">
        <v>1279</v>
      </c>
      <c r="AE299" t="s">
        <v>1410</v>
      </c>
      <c r="AG299" s="8" t="s">
        <v>218</v>
      </c>
      <c r="AH299" t="s">
        <v>302</v>
      </c>
      <c r="AI299" s="9" t="s">
        <v>218</v>
      </c>
      <c r="AJ299" s="9" t="s">
        <v>218</v>
      </c>
      <c r="AK299" t="s">
        <v>1411</v>
      </c>
      <c r="AL299" s="8" t="s">
        <v>221</v>
      </c>
      <c r="AM299" s="9" t="s">
        <v>218</v>
      </c>
      <c r="AN299" s="8" t="s">
        <v>221</v>
      </c>
      <c r="AO299" s="8" t="s">
        <v>222</v>
      </c>
      <c r="AP299" s="8">
        <v>0</v>
      </c>
      <c r="AQ299" s="8">
        <v>0</v>
      </c>
      <c r="AR299" s="8">
        <v>0</v>
      </c>
      <c r="AS299" s="8">
        <v>0</v>
      </c>
      <c r="AT299" s="8">
        <v>0</v>
      </c>
      <c r="AU299" s="8">
        <v>0</v>
      </c>
      <c r="AV299" s="8">
        <v>0</v>
      </c>
      <c r="AW299" s="8">
        <v>0</v>
      </c>
      <c r="AX299" s="8"/>
      <c r="AY299" s="8"/>
      <c r="AZ299">
        <v>3</v>
      </c>
      <c r="BA299" t="s">
        <v>1419</v>
      </c>
      <c r="BB299" t="s">
        <v>1420</v>
      </c>
      <c r="BC299" t="s">
        <v>1421</v>
      </c>
    </row>
    <row r="300" spans="1:55">
      <c r="A300" s="6">
        <v>45779</v>
      </c>
      <c r="B300" s="7" t="s">
        <v>1422</v>
      </c>
      <c r="C300" t="s">
        <v>205</v>
      </c>
      <c r="D300" t="s">
        <v>1159</v>
      </c>
      <c r="G300" t="s">
        <v>1160</v>
      </c>
      <c r="H300" s="8" t="s">
        <v>208</v>
      </c>
      <c r="I300" s="8" t="s">
        <v>208</v>
      </c>
      <c r="J300" s="8" t="s">
        <v>208</v>
      </c>
      <c r="K300" s="8" t="s">
        <v>208</v>
      </c>
      <c r="L300" s="8" t="s">
        <v>208</v>
      </c>
      <c r="M300" s="8" t="s">
        <v>208</v>
      </c>
      <c r="N300" s="8" t="s">
        <v>208</v>
      </c>
      <c r="O300" s="8" t="s">
        <v>221</v>
      </c>
      <c r="Q300" t="s">
        <v>1423</v>
      </c>
      <c r="R300" t="s">
        <v>1424</v>
      </c>
      <c r="S300" t="s">
        <v>1424</v>
      </c>
      <c r="T300" t="s">
        <v>1422</v>
      </c>
      <c r="U300" t="s">
        <v>1425</v>
      </c>
      <c r="V300" t="s">
        <v>140</v>
      </c>
      <c r="W300" t="s">
        <v>212</v>
      </c>
      <c r="X300" t="s">
        <v>212</v>
      </c>
      <c r="Y300" t="s">
        <v>275</v>
      </c>
      <c r="Z300" t="s">
        <v>213</v>
      </c>
      <c r="AA300" t="s">
        <v>214</v>
      </c>
      <c r="AB300" t="s">
        <v>276</v>
      </c>
      <c r="AC300" t="s">
        <v>277</v>
      </c>
      <c r="AD300" t="s">
        <v>1112</v>
      </c>
      <c r="AE300" t="s">
        <v>11</v>
      </c>
      <c r="AF300" s="9" t="s">
        <v>1154</v>
      </c>
      <c r="AG300" s="9" t="s">
        <v>221</v>
      </c>
      <c r="AH300" t="s">
        <v>219</v>
      </c>
      <c r="AI300" s="9" t="s">
        <v>218</v>
      </c>
      <c r="AJ300" s="9" t="s">
        <v>218</v>
      </c>
      <c r="AK300" t="s">
        <v>234</v>
      </c>
      <c r="AL300" s="8" t="s">
        <v>221</v>
      </c>
      <c r="AM300" s="9" t="s">
        <v>218</v>
      </c>
      <c r="AN300" s="8" t="s">
        <v>221</v>
      </c>
      <c r="AO300" s="8" t="s">
        <v>222</v>
      </c>
      <c r="AP300" s="8">
        <v>0</v>
      </c>
      <c r="AQ300" s="8">
        <v>0</v>
      </c>
      <c r="AR300" s="9">
        <v>150</v>
      </c>
      <c r="AS300" s="8">
        <v>0</v>
      </c>
      <c r="AT300" s="8">
        <v>0</v>
      </c>
      <c r="AU300" s="8">
        <v>0</v>
      </c>
      <c r="AV300" s="8">
        <v>0</v>
      </c>
      <c r="AW300" s="9">
        <v>150</v>
      </c>
      <c r="AX300" s="8"/>
      <c r="AY300" s="9" t="s">
        <v>1426</v>
      </c>
      <c r="AZ300">
        <v>3</v>
      </c>
      <c r="BA300" t="s">
        <v>1427</v>
      </c>
      <c r="BB300" t="s">
        <v>1428</v>
      </c>
      <c r="BC300" t="s">
        <v>1429</v>
      </c>
    </row>
    <row r="301" spans="1:55">
      <c r="A301" s="6">
        <v>45779</v>
      </c>
      <c r="B301" s="7" t="s">
        <v>271</v>
      </c>
      <c r="C301" t="s">
        <v>205</v>
      </c>
      <c r="D301" t="s">
        <v>1159</v>
      </c>
      <c r="G301" t="s">
        <v>1160</v>
      </c>
      <c r="H301" s="8" t="s">
        <v>208</v>
      </c>
      <c r="I301" s="8" t="s">
        <v>208</v>
      </c>
      <c r="J301" s="8" t="s">
        <v>208</v>
      </c>
      <c r="K301" s="8" t="s">
        <v>208</v>
      </c>
      <c r="L301" s="8" t="s">
        <v>208</v>
      </c>
      <c r="M301" s="8" t="s">
        <v>208</v>
      </c>
      <c r="N301" s="8" t="s">
        <v>208</v>
      </c>
      <c r="O301" s="8" t="s">
        <v>221</v>
      </c>
      <c r="Q301" t="s">
        <v>272</v>
      </c>
      <c r="R301" t="s">
        <v>273</v>
      </c>
      <c r="S301" t="s">
        <v>273</v>
      </c>
      <c r="T301" t="s">
        <v>271</v>
      </c>
      <c r="U301" t="s">
        <v>274</v>
      </c>
      <c r="V301" t="s">
        <v>140</v>
      </c>
      <c r="W301" t="s">
        <v>212</v>
      </c>
      <c r="X301" t="s">
        <v>212</v>
      </c>
      <c r="Y301" t="s">
        <v>275</v>
      </c>
      <c r="Z301" t="s">
        <v>213</v>
      </c>
      <c r="AA301" t="s">
        <v>214</v>
      </c>
      <c r="AB301" t="s">
        <v>276</v>
      </c>
      <c r="AC301" t="s">
        <v>277</v>
      </c>
      <c r="AD301" t="s">
        <v>1112</v>
      </c>
      <c r="AE301" t="s">
        <v>217</v>
      </c>
      <c r="AF301" s="9" t="s">
        <v>1154</v>
      </c>
      <c r="AG301" s="9" t="s">
        <v>221</v>
      </c>
      <c r="AH301" t="s">
        <v>219</v>
      </c>
      <c r="AI301" s="9" t="s">
        <v>218</v>
      </c>
      <c r="AJ301" s="9" t="s">
        <v>218</v>
      </c>
      <c r="AK301" t="s">
        <v>234</v>
      </c>
      <c r="AL301" s="8" t="s">
        <v>221</v>
      </c>
      <c r="AM301" s="9" t="s">
        <v>218</v>
      </c>
      <c r="AN301" s="8" t="s">
        <v>221</v>
      </c>
      <c r="AO301" s="8" t="s">
        <v>222</v>
      </c>
      <c r="AP301" s="8">
        <v>0</v>
      </c>
      <c r="AQ301" s="8">
        <v>0</v>
      </c>
      <c r="AR301" s="9">
        <v>73</v>
      </c>
      <c r="AS301" s="8">
        <v>0</v>
      </c>
      <c r="AT301" s="8">
        <v>0</v>
      </c>
      <c r="AU301" s="8">
        <v>0</v>
      </c>
      <c r="AV301" s="8">
        <v>0</v>
      </c>
      <c r="AW301" s="9">
        <v>73</v>
      </c>
      <c r="AX301" s="9" t="s">
        <v>278</v>
      </c>
      <c r="AY301" s="8"/>
      <c r="AZ301">
        <v>3</v>
      </c>
      <c r="BA301" t="s">
        <v>1157</v>
      </c>
      <c r="BB301" t="s">
        <v>279</v>
      </c>
      <c r="BC301" t="s">
        <v>280</v>
      </c>
    </row>
    <row r="302" spans="1:55">
      <c r="A302" s="6">
        <v>45779</v>
      </c>
      <c r="B302" s="7" t="s">
        <v>686</v>
      </c>
      <c r="C302" t="s">
        <v>205</v>
      </c>
      <c r="D302" t="s">
        <v>1159</v>
      </c>
      <c r="G302" t="s">
        <v>1160</v>
      </c>
      <c r="H302" s="8" t="s">
        <v>208</v>
      </c>
      <c r="I302" s="8" t="s">
        <v>208</v>
      </c>
      <c r="J302" s="8" t="s">
        <v>208</v>
      </c>
      <c r="K302" s="8" t="s">
        <v>208</v>
      </c>
      <c r="L302" s="8" t="s">
        <v>208</v>
      </c>
      <c r="M302" s="8" t="s">
        <v>208</v>
      </c>
      <c r="N302" s="8" t="s">
        <v>208</v>
      </c>
      <c r="O302" s="8" t="s">
        <v>221</v>
      </c>
      <c r="Q302" t="s">
        <v>688</v>
      </c>
      <c r="R302" t="s">
        <v>689</v>
      </c>
      <c r="S302" t="s">
        <v>689</v>
      </c>
      <c r="T302" t="s">
        <v>686</v>
      </c>
      <c r="U302" t="s">
        <v>690</v>
      </c>
      <c r="V302" t="s">
        <v>662</v>
      </c>
      <c r="W302" t="s">
        <v>232</v>
      </c>
      <c r="X302" t="s">
        <v>232</v>
      </c>
      <c r="Y302" t="s">
        <v>275</v>
      </c>
      <c r="Z302" t="s">
        <v>233</v>
      </c>
      <c r="AA302" t="s">
        <v>663</v>
      </c>
      <c r="AB302" t="s">
        <v>1430</v>
      </c>
      <c r="AC302" t="s">
        <v>691</v>
      </c>
      <c r="AD302" t="s">
        <v>1112</v>
      </c>
      <c r="AE302" t="s">
        <v>217</v>
      </c>
      <c r="AF302" s="9" t="s">
        <v>1154</v>
      </c>
      <c r="AG302" s="9" t="s">
        <v>221</v>
      </c>
      <c r="AH302" t="s">
        <v>219</v>
      </c>
      <c r="AI302" s="9" t="s">
        <v>218</v>
      </c>
      <c r="AJ302" s="9" t="s">
        <v>218</v>
      </c>
      <c r="AK302" t="s">
        <v>234</v>
      </c>
      <c r="AL302" s="8" t="s">
        <v>221</v>
      </c>
      <c r="AM302" s="9" t="s">
        <v>218</v>
      </c>
      <c r="AN302" s="8" t="s">
        <v>221</v>
      </c>
      <c r="AO302" s="8" t="s">
        <v>222</v>
      </c>
      <c r="AP302" s="8">
        <v>0</v>
      </c>
      <c r="AQ302" s="8">
        <v>0</v>
      </c>
      <c r="AR302" s="9">
        <v>682</v>
      </c>
      <c r="AS302" s="8">
        <v>0</v>
      </c>
      <c r="AT302" s="8">
        <v>0</v>
      </c>
      <c r="AU302" s="8">
        <v>0</v>
      </c>
      <c r="AV302" s="8">
        <v>0</v>
      </c>
      <c r="AW302" s="9">
        <v>682</v>
      </c>
      <c r="AX302" s="9" t="s">
        <v>692</v>
      </c>
      <c r="AY302" s="8"/>
      <c r="AZ302">
        <v>3</v>
      </c>
      <c r="BA302" t="s">
        <v>1431</v>
      </c>
      <c r="BB302" t="s">
        <v>694</v>
      </c>
      <c r="BC302" t="s">
        <v>695</v>
      </c>
    </row>
    <row r="303" spans="1:55">
      <c r="A303" s="6">
        <v>45779</v>
      </c>
      <c r="B303" s="7" t="s">
        <v>1432</v>
      </c>
      <c r="C303" t="s">
        <v>205</v>
      </c>
      <c r="D303" t="s">
        <v>1159</v>
      </c>
      <c r="G303" t="s">
        <v>1160</v>
      </c>
      <c r="H303" s="8" t="s">
        <v>208</v>
      </c>
      <c r="I303" s="8" t="s">
        <v>208</v>
      </c>
      <c r="J303" s="8" t="s">
        <v>208</v>
      </c>
      <c r="K303" s="8" t="s">
        <v>208</v>
      </c>
      <c r="L303" s="8" t="s">
        <v>208</v>
      </c>
      <c r="M303" s="8" t="s">
        <v>208</v>
      </c>
      <c r="N303" s="8" t="s">
        <v>208</v>
      </c>
      <c r="O303" s="8" t="s">
        <v>221</v>
      </c>
      <c r="Q303" t="s">
        <v>1433</v>
      </c>
      <c r="R303" t="s">
        <v>1434</v>
      </c>
      <c r="S303" t="s">
        <v>1434</v>
      </c>
      <c r="T303" t="s">
        <v>1432</v>
      </c>
      <c r="U303" t="s">
        <v>1435</v>
      </c>
      <c r="V303" t="s">
        <v>137</v>
      </c>
      <c r="W303" t="s">
        <v>212</v>
      </c>
      <c r="X303" t="s">
        <v>212</v>
      </c>
      <c r="Y303" t="s">
        <v>275</v>
      </c>
      <c r="Z303" t="s">
        <v>213</v>
      </c>
      <c r="AA303" t="s">
        <v>214</v>
      </c>
      <c r="AB303" t="s">
        <v>701</v>
      </c>
      <c r="AC303" t="s">
        <v>242</v>
      </c>
      <c r="AD303" t="s">
        <v>1112</v>
      </c>
      <c r="AE303" t="s">
        <v>11</v>
      </c>
      <c r="AG303" s="8" t="s">
        <v>218</v>
      </c>
      <c r="AH303" t="s">
        <v>219</v>
      </c>
      <c r="AI303" s="9" t="s">
        <v>218</v>
      </c>
      <c r="AJ303" s="9" t="s">
        <v>218</v>
      </c>
      <c r="AK303" t="s">
        <v>234</v>
      </c>
      <c r="AL303" s="8" t="s">
        <v>221</v>
      </c>
      <c r="AM303" s="9" t="s">
        <v>218</v>
      </c>
      <c r="AN303" s="8" t="s">
        <v>221</v>
      </c>
      <c r="AO303" s="8" t="s">
        <v>222</v>
      </c>
      <c r="AP303" s="8">
        <v>0</v>
      </c>
      <c r="AQ303" s="8">
        <v>0</v>
      </c>
      <c r="AR303" s="8">
        <v>0</v>
      </c>
      <c r="AS303" s="8">
        <v>0</v>
      </c>
      <c r="AT303" s="8">
        <v>0</v>
      </c>
      <c r="AU303" s="8">
        <v>0</v>
      </c>
      <c r="AV303" s="8">
        <v>0</v>
      </c>
      <c r="AW303" s="8">
        <v>0</v>
      </c>
      <c r="AX303" s="8"/>
      <c r="AY303" s="8"/>
      <c r="AZ303">
        <v>2</v>
      </c>
      <c r="BA303" t="s">
        <v>1436</v>
      </c>
      <c r="BB303" t="s">
        <v>1437</v>
      </c>
      <c r="BC303" t="s">
        <v>1438</v>
      </c>
    </row>
    <row r="304" spans="1:55">
      <c r="A304" s="6">
        <v>45779</v>
      </c>
      <c r="B304" s="7" t="s">
        <v>1439</v>
      </c>
      <c r="C304" t="s">
        <v>205</v>
      </c>
      <c r="D304" t="s">
        <v>1440</v>
      </c>
      <c r="G304" t="s">
        <v>1160</v>
      </c>
      <c r="H304" s="8" t="s">
        <v>208</v>
      </c>
      <c r="I304" s="8" t="s">
        <v>208</v>
      </c>
      <c r="J304" s="8" t="s">
        <v>208</v>
      </c>
      <c r="K304" s="8" t="s">
        <v>208</v>
      </c>
      <c r="L304" s="8" t="s">
        <v>208</v>
      </c>
      <c r="M304" s="8" t="s">
        <v>208</v>
      </c>
      <c r="N304" s="8" t="s">
        <v>208</v>
      </c>
      <c r="O304" s="8" t="s">
        <v>221</v>
      </c>
      <c r="Q304" t="s">
        <v>1441</v>
      </c>
      <c r="R304" t="s">
        <v>1442</v>
      </c>
      <c r="S304" t="s">
        <v>1442</v>
      </c>
      <c r="T304" t="s">
        <v>1439</v>
      </c>
      <c r="U304" t="s">
        <v>1443</v>
      </c>
      <c r="V304" t="s">
        <v>644</v>
      </c>
      <c r="W304" t="s">
        <v>212</v>
      </c>
      <c r="X304" t="s">
        <v>212</v>
      </c>
      <c r="Y304" t="s">
        <v>275</v>
      </c>
      <c r="Z304" t="s">
        <v>213</v>
      </c>
      <c r="AA304" t="s">
        <v>645</v>
      </c>
      <c r="AB304" t="s">
        <v>215</v>
      </c>
      <c r="AC304" t="s">
        <v>701</v>
      </c>
      <c r="AD304" t="s">
        <v>1444</v>
      </c>
      <c r="AE304" t="s">
        <v>11</v>
      </c>
      <c r="AG304" s="8" t="s">
        <v>218</v>
      </c>
      <c r="AH304" t="s">
        <v>1445</v>
      </c>
      <c r="AI304" s="8" t="s">
        <v>221</v>
      </c>
      <c r="AJ304" s="9" t="s">
        <v>218</v>
      </c>
      <c r="AK304" t="s">
        <v>234</v>
      </c>
      <c r="AL304" s="8" t="s">
        <v>221</v>
      </c>
      <c r="AM304" s="9" t="s">
        <v>218</v>
      </c>
      <c r="AN304" s="8" t="s">
        <v>221</v>
      </c>
      <c r="AO304" s="8" t="s">
        <v>222</v>
      </c>
      <c r="AP304" s="8">
        <v>0</v>
      </c>
      <c r="AQ304" s="8">
        <v>0</v>
      </c>
      <c r="AR304" s="9">
        <v>17</v>
      </c>
      <c r="AS304" s="8">
        <v>0</v>
      </c>
      <c r="AT304" s="8">
        <v>0</v>
      </c>
      <c r="AU304" s="8">
        <v>0</v>
      </c>
      <c r="AV304" s="8">
        <v>0</v>
      </c>
      <c r="AW304" s="9">
        <v>17</v>
      </c>
      <c r="AX304" s="8"/>
      <c r="AY304" s="9" t="s">
        <v>1446</v>
      </c>
      <c r="AZ304">
        <v>2</v>
      </c>
      <c r="BA304" t="s">
        <v>1447</v>
      </c>
      <c r="BB304" t="s">
        <v>1448</v>
      </c>
      <c r="BC304" t="s">
        <v>1449</v>
      </c>
    </row>
    <row r="305" spans="1:55">
      <c r="A305" s="6">
        <v>45779</v>
      </c>
      <c r="B305" s="7" t="s">
        <v>1450</v>
      </c>
      <c r="C305" t="s">
        <v>205</v>
      </c>
      <c r="D305" t="s">
        <v>1440</v>
      </c>
      <c r="G305" t="s">
        <v>1160</v>
      </c>
      <c r="H305" s="8" t="s">
        <v>208</v>
      </c>
      <c r="I305" s="8" t="s">
        <v>208</v>
      </c>
      <c r="J305" s="8" t="s">
        <v>208</v>
      </c>
      <c r="K305" s="8" t="s">
        <v>208</v>
      </c>
      <c r="L305" s="8" t="s">
        <v>208</v>
      </c>
      <c r="M305" s="8" t="s">
        <v>208</v>
      </c>
      <c r="N305" s="8" t="s">
        <v>208</v>
      </c>
      <c r="O305" s="8" t="s">
        <v>221</v>
      </c>
      <c r="Q305" t="s">
        <v>1451</v>
      </c>
      <c r="R305" t="s">
        <v>1452</v>
      </c>
      <c r="S305" t="s">
        <v>1452</v>
      </c>
      <c r="T305" t="s">
        <v>1450</v>
      </c>
      <c r="U305" t="s">
        <v>1453</v>
      </c>
      <c r="V305" t="s">
        <v>138</v>
      </c>
      <c r="W305" t="s">
        <v>212</v>
      </c>
      <c r="X305" t="s">
        <v>212</v>
      </c>
      <c r="Y305" t="s">
        <v>275</v>
      </c>
      <c r="Z305" t="s">
        <v>213</v>
      </c>
      <c r="AA305" t="s">
        <v>214</v>
      </c>
      <c r="AB305" t="s">
        <v>215</v>
      </c>
      <c r="AC305" t="s">
        <v>701</v>
      </c>
      <c r="AD305" t="s">
        <v>1112</v>
      </c>
      <c r="AE305" t="s">
        <v>673</v>
      </c>
      <c r="AG305" s="8" t="s">
        <v>218</v>
      </c>
      <c r="AH305" t="s">
        <v>219</v>
      </c>
      <c r="AI305" s="9" t="s">
        <v>218</v>
      </c>
      <c r="AJ305" s="9" t="s">
        <v>218</v>
      </c>
      <c r="AK305" t="s">
        <v>1454</v>
      </c>
      <c r="AL305" s="8" t="s">
        <v>221</v>
      </c>
      <c r="AM305" s="9" t="s">
        <v>218</v>
      </c>
      <c r="AN305" s="8" t="s">
        <v>221</v>
      </c>
      <c r="AO305" s="8" t="s">
        <v>222</v>
      </c>
      <c r="AP305" s="8">
        <v>0</v>
      </c>
      <c r="AQ305" s="8">
        <v>0</v>
      </c>
      <c r="AR305" s="9">
        <v>12</v>
      </c>
      <c r="AS305" s="8">
        <v>0</v>
      </c>
      <c r="AT305" s="8">
        <v>0</v>
      </c>
      <c r="AU305" s="8">
        <v>0</v>
      </c>
      <c r="AV305" s="8">
        <v>0</v>
      </c>
      <c r="AW305" s="9">
        <v>12</v>
      </c>
      <c r="AX305" s="8"/>
      <c r="AY305" s="9" t="s">
        <v>1455</v>
      </c>
      <c r="AZ305">
        <v>2</v>
      </c>
      <c r="BA305" t="s">
        <v>1456</v>
      </c>
      <c r="BB305" t="s">
        <v>1457</v>
      </c>
      <c r="BC305" t="s">
        <v>1458</v>
      </c>
    </row>
    <row r="306" spans="1:55">
      <c r="A306" s="6">
        <v>45779</v>
      </c>
      <c r="B306" s="7" t="s">
        <v>1459</v>
      </c>
      <c r="C306" t="s">
        <v>205</v>
      </c>
      <c r="D306" t="s">
        <v>1440</v>
      </c>
      <c r="G306" t="s">
        <v>1160</v>
      </c>
      <c r="H306" s="8" t="s">
        <v>208</v>
      </c>
      <c r="I306" s="8" t="s">
        <v>208</v>
      </c>
      <c r="J306" s="8" t="s">
        <v>208</v>
      </c>
      <c r="K306" s="8" t="s">
        <v>208</v>
      </c>
      <c r="L306" s="8" t="s">
        <v>208</v>
      </c>
      <c r="M306" s="8" t="s">
        <v>208</v>
      </c>
      <c r="N306" s="8" t="s">
        <v>208</v>
      </c>
      <c r="O306" s="8" t="s">
        <v>221</v>
      </c>
      <c r="Q306" t="s">
        <v>1460</v>
      </c>
      <c r="R306" t="s">
        <v>1461</v>
      </c>
      <c r="S306" t="s">
        <v>1461</v>
      </c>
      <c r="T306" t="s">
        <v>1459</v>
      </c>
      <c r="U306" t="s">
        <v>1462</v>
      </c>
      <c r="V306" t="s">
        <v>138</v>
      </c>
      <c r="W306" t="s">
        <v>212</v>
      </c>
      <c r="X306" t="s">
        <v>212</v>
      </c>
      <c r="Y306" t="s">
        <v>275</v>
      </c>
      <c r="Z306" t="s">
        <v>213</v>
      </c>
      <c r="AA306" t="s">
        <v>214</v>
      </c>
      <c r="AB306" t="s">
        <v>1336</v>
      </c>
      <c r="AC306" t="s">
        <v>758</v>
      </c>
      <c r="AD306" t="s">
        <v>1112</v>
      </c>
      <c r="AE306" t="s">
        <v>1296</v>
      </c>
      <c r="AG306" s="8" t="s">
        <v>218</v>
      </c>
      <c r="AH306" t="s">
        <v>219</v>
      </c>
      <c r="AI306" s="9" t="s">
        <v>218</v>
      </c>
      <c r="AJ306" s="9" t="s">
        <v>218</v>
      </c>
      <c r="AK306" t="s">
        <v>234</v>
      </c>
      <c r="AL306" s="8" t="s">
        <v>221</v>
      </c>
      <c r="AM306" s="9" t="s">
        <v>218</v>
      </c>
      <c r="AN306" s="8" t="s">
        <v>221</v>
      </c>
      <c r="AO306" s="8" t="s">
        <v>222</v>
      </c>
      <c r="AP306" s="8">
        <v>0</v>
      </c>
      <c r="AQ306" s="8">
        <v>0</v>
      </c>
      <c r="AR306" s="9">
        <v>21</v>
      </c>
      <c r="AS306" s="8">
        <v>0</v>
      </c>
      <c r="AT306" s="8">
        <v>0</v>
      </c>
      <c r="AU306" s="8">
        <v>0</v>
      </c>
      <c r="AV306" s="8">
        <v>0</v>
      </c>
      <c r="AW306" s="9">
        <v>21</v>
      </c>
      <c r="AX306" s="8"/>
      <c r="AY306" s="9" t="s">
        <v>1463</v>
      </c>
      <c r="AZ306">
        <v>2</v>
      </c>
      <c r="BA306" t="s">
        <v>1464</v>
      </c>
      <c r="BB306" t="s">
        <v>1465</v>
      </c>
      <c r="BC306" t="s">
        <v>1466</v>
      </c>
    </row>
    <row r="307" spans="1:55">
      <c r="A307" s="6">
        <v>45779</v>
      </c>
      <c r="B307" s="7" t="s">
        <v>1467</v>
      </c>
      <c r="C307" t="s">
        <v>205</v>
      </c>
      <c r="D307" t="s">
        <v>1440</v>
      </c>
      <c r="G307" t="s">
        <v>1160</v>
      </c>
      <c r="H307" s="8" t="s">
        <v>208</v>
      </c>
      <c r="I307" s="8" t="s">
        <v>208</v>
      </c>
      <c r="J307" s="8" t="s">
        <v>208</v>
      </c>
      <c r="K307" s="8" t="s">
        <v>208</v>
      </c>
      <c r="L307" s="8" t="s">
        <v>208</v>
      </c>
      <c r="M307" s="8" t="s">
        <v>208</v>
      </c>
      <c r="N307" s="8" t="s">
        <v>208</v>
      </c>
      <c r="O307" s="8" t="s">
        <v>221</v>
      </c>
      <c r="Q307" t="s">
        <v>1468</v>
      </c>
      <c r="R307" t="s">
        <v>1469</v>
      </c>
      <c r="S307" t="s">
        <v>1469</v>
      </c>
      <c r="T307" t="s">
        <v>1467</v>
      </c>
      <c r="U307" t="s">
        <v>1470</v>
      </c>
      <c r="V307" t="s">
        <v>140</v>
      </c>
      <c r="W307" t="s">
        <v>774</v>
      </c>
      <c r="X307" t="s">
        <v>774</v>
      </c>
      <c r="Y307" t="s">
        <v>1082</v>
      </c>
      <c r="Z307" t="s">
        <v>775</v>
      </c>
      <c r="AA307" t="s">
        <v>1164</v>
      </c>
      <c r="AB307" t="s">
        <v>465</v>
      </c>
      <c r="AC307" t="s">
        <v>301</v>
      </c>
      <c r="AD307" t="s">
        <v>1165</v>
      </c>
      <c r="AE307" t="s">
        <v>1166</v>
      </c>
      <c r="AG307" s="8" t="s">
        <v>218</v>
      </c>
      <c r="AH307" t="s">
        <v>219</v>
      </c>
      <c r="AI307" s="9" t="s">
        <v>218</v>
      </c>
      <c r="AJ307" s="9" t="s">
        <v>218</v>
      </c>
      <c r="AK307" t="s">
        <v>1471</v>
      </c>
      <c r="AL307" s="8" t="s">
        <v>221</v>
      </c>
      <c r="AM307" s="9" t="s">
        <v>218</v>
      </c>
      <c r="AN307" s="8" t="s">
        <v>221</v>
      </c>
      <c r="AO307" s="8" t="s">
        <v>222</v>
      </c>
      <c r="AP307" s="8">
        <v>0</v>
      </c>
      <c r="AQ307" s="8">
        <v>0</v>
      </c>
      <c r="AR307" s="9">
        <v>3</v>
      </c>
      <c r="AS307" s="8">
        <v>0</v>
      </c>
      <c r="AT307" s="8">
        <v>0</v>
      </c>
      <c r="AU307" s="8">
        <v>0</v>
      </c>
      <c r="AV307" s="8">
        <v>0</v>
      </c>
      <c r="AW307" s="9">
        <v>3</v>
      </c>
      <c r="AX307" s="8"/>
      <c r="AY307" s="9" t="s">
        <v>1472</v>
      </c>
      <c r="AZ307">
        <v>2</v>
      </c>
      <c r="BA307" t="s">
        <v>1473</v>
      </c>
      <c r="BB307" t="s">
        <v>1474</v>
      </c>
      <c r="BC307" t="s">
        <v>1475</v>
      </c>
    </row>
    <row r="308" spans="1:55">
      <c r="A308" s="6">
        <v>45779</v>
      </c>
      <c r="B308" s="7" t="s">
        <v>1476</v>
      </c>
      <c r="C308" t="s">
        <v>205</v>
      </c>
      <c r="D308" t="s">
        <v>1440</v>
      </c>
      <c r="G308" t="s">
        <v>1160</v>
      </c>
      <c r="H308" s="8" t="s">
        <v>208</v>
      </c>
      <c r="I308" s="8" t="s">
        <v>208</v>
      </c>
      <c r="J308" s="8" t="s">
        <v>208</v>
      </c>
      <c r="K308" s="8" t="s">
        <v>208</v>
      </c>
      <c r="L308" s="8" t="s">
        <v>208</v>
      </c>
      <c r="M308" s="8" t="s">
        <v>208</v>
      </c>
      <c r="N308" s="8" t="s">
        <v>208</v>
      </c>
      <c r="O308" s="8" t="s">
        <v>221</v>
      </c>
      <c r="Q308" t="s">
        <v>1477</v>
      </c>
      <c r="R308" t="s">
        <v>1478</v>
      </c>
      <c r="S308" t="s">
        <v>1478</v>
      </c>
      <c r="T308" t="s">
        <v>1476</v>
      </c>
      <c r="U308" t="s">
        <v>1479</v>
      </c>
      <c r="V308" t="s">
        <v>140</v>
      </c>
      <c r="W308" t="s">
        <v>774</v>
      </c>
      <c r="X308" t="s">
        <v>774</v>
      </c>
      <c r="Y308" t="s">
        <v>1082</v>
      </c>
      <c r="Z308" t="s">
        <v>775</v>
      </c>
      <c r="AA308" t="s">
        <v>1164</v>
      </c>
      <c r="AB308" t="s">
        <v>1480</v>
      </c>
      <c r="AC308" t="s">
        <v>538</v>
      </c>
      <c r="AD308" t="s">
        <v>1165</v>
      </c>
      <c r="AE308" t="s">
        <v>1166</v>
      </c>
      <c r="AG308" s="8" t="s">
        <v>218</v>
      </c>
      <c r="AH308" t="s">
        <v>219</v>
      </c>
      <c r="AI308" s="9" t="s">
        <v>218</v>
      </c>
      <c r="AJ308" s="9" t="s">
        <v>218</v>
      </c>
      <c r="AK308" t="s">
        <v>1481</v>
      </c>
      <c r="AL308" s="8" t="s">
        <v>221</v>
      </c>
      <c r="AM308" s="9" t="s">
        <v>218</v>
      </c>
      <c r="AN308" s="8" t="s">
        <v>221</v>
      </c>
      <c r="AO308" s="8" t="s">
        <v>222</v>
      </c>
      <c r="AP308" s="8">
        <v>0</v>
      </c>
      <c r="AQ308" s="8">
        <v>0</v>
      </c>
      <c r="AR308" s="9">
        <v>12</v>
      </c>
      <c r="AS308" s="8">
        <v>0</v>
      </c>
      <c r="AT308" s="8">
        <v>0</v>
      </c>
      <c r="AU308" s="8">
        <v>0</v>
      </c>
      <c r="AV308" s="8">
        <v>0</v>
      </c>
      <c r="AW308" s="9">
        <v>12</v>
      </c>
      <c r="AX308" s="8"/>
      <c r="AY308" s="9" t="s">
        <v>1482</v>
      </c>
      <c r="AZ308">
        <v>2</v>
      </c>
      <c r="BA308" t="s">
        <v>1483</v>
      </c>
      <c r="BB308" t="s">
        <v>1484</v>
      </c>
      <c r="BC308" t="s">
        <v>1485</v>
      </c>
    </row>
    <row r="309" spans="1:55">
      <c r="A309" s="6">
        <v>45779</v>
      </c>
      <c r="B309" s="7" t="s">
        <v>1486</v>
      </c>
      <c r="C309" t="s">
        <v>205</v>
      </c>
      <c r="D309" t="s">
        <v>1440</v>
      </c>
      <c r="G309" t="s">
        <v>1160</v>
      </c>
      <c r="H309" s="8" t="s">
        <v>208</v>
      </c>
      <c r="I309" s="8" t="s">
        <v>208</v>
      </c>
      <c r="J309" s="8" t="s">
        <v>208</v>
      </c>
      <c r="K309" s="8" t="s">
        <v>208</v>
      </c>
      <c r="L309" s="8" t="s">
        <v>208</v>
      </c>
      <c r="M309" s="8" t="s">
        <v>208</v>
      </c>
      <c r="N309" s="8" t="s">
        <v>208</v>
      </c>
      <c r="O309" s="8" t="s">
        <v>221</v>
      </c>
      <c r="Q309" t="s">
        <v>1487</v>
      </c>
      <c r="R309" t="s">
        <v>1488</v>
      </c>
      <c r="S309" t="s">
        <v>1488</v>
      </c>
      <c r="T309" t="s">
        <v>1486</v>
      </c>
      <c r="U309" t="s">
        <v>1489</v>
      </c>
      <c r="V309" t="s">
        <v>138</v>
      </c>
      <c r="W309" t="s">
        <v>212</v>
      </c>
      <c r="X309" t="s">
        <v>212</v>
      </c>
      <c r="Y309" t="s">
        <v>275</v>
      </c>
      <c r="Z309" t="s">
        <v>213</v>
      </c>
      <c r="AA309" t="s">
        <v>214</v>
      </c>
      <c r="AB309" t="s">
        <v>701</v>
      </c>
      <c r="AC309" t="s">
        <v>242</v>
      </c>
      <c r="AD309" t="s">
        <v>1112</v>
      </c>
      <c r="AE309" t="s">
        <v>217</v>
      </c>
      <c r="AG309" s="8" t="s">
        <v>218</v>
      </c>
      <c r="AH309" t="s">
        <v>219</v>
      </c>
      <c r="AI309" s="9" t="s">
        <v>218</v>
      </c>
      <c r="AJ309" s="9" t="s">
        <v>218</v>
      </c>
      <c r="AK309" t="s">
        <v>234</v>
      </c>
      <c r="AL309" s="8" t="s">
        <v>221</v>
      </c>
      <c r="AM309" s="9" t="s">
        <v>218</v>
      </c>
      <c r="AN309" s="8" t="s">
        <v>221</v>
      </c>
      <c r="AO309" s="8" t="s">
        <v>222</v>
      </c>
      <c r="AP309" s="8">
        <v>0</v>
      </c>
      <c r="AQ309" s="8">
        <v>0</v>
      </c>
      <c r="AR309" s="8">
        <v>0</v>
      </c>
      <c r="AS309" s="8">
        <v>0</v>
      </c>
      <c r="AT309" s="8">
        <v>0</v>
      </c>
      <c r="AU309" s="8">
        <v>0</v>
      </c>
      <c r="AV309" s="8">
        <v>0</v>
      </c>
      <c r="AW309" s="8">
        <v>0</v>
      </c>
      <c r="AX309" s="8"/>
      <c r="AY309" s="9" t="s">
        <v>1490</v>
      </c>
      <c r="AZ309">
        <v>2</v>
      </c>
      <c r="BA309" t="s">
        <v>1491</v>
      </c>
      <c r="BB309" t="s">
        <v>1492</v>
      </c>
      <c r="BC309" t="s">
        <v>1493</v>
      </c>
    </row>
    <row r="310" spans="1:55">
      <c r="A310" s="6">
        <v>45779</v>
      </c>
      <c r="B310" s="7" t="s">
        <v>1494</v>
      </c>
      <c r="C310" t="s">
        <v>205</v>
      </c>
      <c r="D310" t="s">
        <v>1440</v>
      </c>
      <c r="G310" t="s">
        <v>1160</v>
      </c>
      <c r="H310" s="8" t="s">
        <v>208</v>
      </c>
      <c r="I310" s="8" t="s">
        <v>208</v>
      </c>
      <c r="J310" s="8" t="s">
        <v>208</v>
      </c>
      <c r="K310" s="8" t="s">
        <v>208</v>
      </c>
      <c r="L310" s="8" t="s">
        <v>208</v>
      </c>
      <c r="M310" s="8" t="s">
        <v>208</v>
      </c>
      <c r="N310" s="8" t="s">
        <v>208</v>
      </c>
      <c r="O310" s="8" t="s">
        <v>221</v>
      </c>
      <c r="Q310" t="s">
        <v>1495</v>
      </c>
      <c r="R310" t="s">
        <v>1496</v>
      </c>
      <c r="S310" t="s">
        <v>1496</v>
      </c>
      <c r="T310" t="s">
        <v>1494</v>
      </c>
      <c r="U310" t="s">
        <v>1497</v>
      </c>
      <c r="V310" t="s">
        <v>140</v>
      </c>
      <c r="W310" t="s">
        <v>774</v>
      </c>
      <c r="X310" t="s">
        <v>774</v>
      </c>
      <c r="Y310" t="s">
        <v>1082</v>
      </c>
      <c r="Z310" t="s">
        <v>775</v>
      </c>
      <c r="AA310" t="s">
        <v>1164</v>
      </c>
      <c r="AB310" t="s">
        <v>425</v>
      </c>
      <c r="AC310" t="s">
        <v>465</v>
      </c>
      <c r="AD310" t="s">
        <v>1165</v>
      </c>
      <c r="AE310" t="s">
        <v>1166</v>
      </c>
      <c r="AG310" s="8" t="s">
        <v>218</v>
      </c>
      <c r="AH310" t="s">
        <v>219</v>
      </c>
      <c r="AI310" s="9" t="s">
        <v>218</v>
      </c>
      <c r="AJ310" s="9" t="s">
        <v>218</v>
      </c>
      <c r="AK310" t="s">
        <v>1498</v>
      </c>
      <c r="AL310" s="8" t="s">
        <v>221</v>
      </c>
      <c r="AM310" s="9" t="s">
        <v>218</v>
      </c>
      <c r="AN310" s="8" t="s">
        <v>221</v>
      </c>
      <c r="AO310" s="8" t="s">
        <v>222</v>
      </c>
      <c r="AP310" s="8">
        <v>0</v>
      </c>
      <c r="AQ310" s="8">
        <v>0</v>
      </c>
      <c r="AR310" s="8">
        <v>0</v>
      </c>
      <c r="AS310" s="8">
        <v>0</v>
      </c>
      <c r="AT310" s="8">
        <v>0</v>
      </c>
      <c r="AU310" s="8">
        <v>0</v>
      </c>
      <c r="AV310" s="8">
        <v>0</v>
      </c>
      <c r="AW310" s="8">
        <v>0</v>
      </c>
      <c r="AX310" s="8"/>
      <c r="AY310" s="9" t="s">
        <v>1499</v>
      </c>
      <c r="AZ310">
        <v>2</v>
      </c>
      <c r="BA310" t="s">
        <v>1500</v>
      </c>
      <c r="BB310" t="s">
        <v>1501</v>
      </c>
      <c r="BC310" t="s">
        <v>1502</v>
      </c>
    </row>
    <row r="311" spans="1:55">
      <c r="A311" s="6">
        <v>45779</v>
      </c>
      <c r="B311" s="7" t="s">
        <v>1503</v>
      </c>
      <c r="C311" t="s">
        <v>205</v>
      </c>
      <c r="D311" t="s">
        <v>1440</v>
      </c>
      <c r="G311" t="s">
        <v>1160</v>
      </c>
      <c r="H311" s="8" t="s">
        <v>208</v>
      </c>
      <c r="I311" s="8" t="s">
        <v>208</v>
      </c>
      <c r="J311" s="8" t="s">
        <v>208</v>
      </c>
      <c r="K311" s="8" t="s">
        <v>208</v>
      </c>
      <c r="L311" s="8" t="s">
        <v>208</v>
      </c>
      <c r="M311" s="8" t="s">
        <v>208</v>
      </c>
      <c r="N311" s="8" t="s">
        <v>208</v>
      </c>
      <c r="O311" s="8" t="s">
        <v>221</v>
      </c>
      <c r="Q311" t="s">
        <v>1504</v>
      </c>
      <c r="R311" t="s">
        <v>1505</v>
      </c>
      <c r="U311" t="s">
        <v>1506</v>
      </c>
      <c r="V311" t="s">
        <v>140</v>
      </c>
      <c r="W311" t="s">
        <v>774</v>
      </c>
      <c r="X311" t="s">
        <v>774</v>
      </c>
      <c r="Y311" t="s">
        <v>1082</v>
      </c>
      <c r="Z311" t="s">
        <v>775</v>
      </c>
      <c r="AA311" t="s">
        <v>1164</v>
      </c>
      <c r="AB311" t="s">
        <v>301</v>
      </c>
      <c r="AC311" t="s">
        <v>312</v>
      </c>
      <c r="AD311" t="s">
        <v>1165</v>
      </c>
      <c r="AE311" t="s">
        <v>1166</v>
      </c>
      <c r="AG311" s="8" t="s">
        <v>218</v>
      </c>
      <c r="AH311" t="s">
        <v>219</v>
      </c>
      <c r="AI311" s="9" t="s">
        <v>218</v>
      </c>
      <c r="AJ311" s="9" t="s">
        <v>218</v>
      </c>
      <c r="AK311" t="s">
        <v>234</v>
      </c>
      <c r="AL311" s="8" t="s">
        <v>221</v>
      </c>
      <c r="AM311" s="9" t="s">
        <v>218</v>
      </c>
      <c r="AN311" s="8" t="s">
        <v>221</v>
      </c>
      <c r="AO311" s="8" t="s">
        <v>222</v>
      </c>
      <c r="AP311" s="8">
        <v>0</v>
      </c>
      <c r="AQ311" s="8">
        <v>0</v>
      </c>
      <c r="AR311" s="8">
        <v>0</v>
      </c>
      <c r="AS311" s="8">
        <v>0</v>
      </c>
      <c r="AT311" s="8">
        <v>0</v>
      </c>
      <c r="AU311" s="8">
        <v>0</v>
      </c>
      <c r="AV311" s="8">
        <v>0</v>
      </c>
      <c r="AW311" s="8">
        <v>0</v>
      </c>
      <c r="AX311" s="8"/>
      <c r="AY311" s="9" t="s">
        <v>1507</v>
      </c>
      <c r="AZ311">
        <v>2</v>
      </c>
      <c r="BA311" t="s">
        <v>1508</v>
      </c>
      <c r="BB311" t="s">
        <v>1509</v>
      </c>
      <c r="BC311" t="s">
        <v>1510</v>
      </c>
    </row>
    <row r="312" spans="1:55">
      <c r="A312" s="6">
        <v>45779</v>
      </c>
      <c r="B312" s="7" t="s">
        <v>1511</v>
      </c>
      <c r="C312" t="s">
        <v>205</v>
      </c>
      <c r="D312" t="s">
        <v>1440</v>
      </c>
      <c r="G312" t="s">
        <v>1160</v>
      </c>
      <c r="H312" s="8" t="s">
        <v>208</v>
      </c>
      <c r="I312" s="8" t="s">
        <v>208</v>
      </c>
      <c r="J312" s="8" t="s">
        <v>208</v>
      </c>
      <c r="K312" s="8" t="s">
        <v>208</v>
      </c>
      <c r="L312" s="8" t="s">
        <v>208</v>
      </c>
      <c r="M312" s="8" t="s">
        <v>208</v>
      </c>
      <c r="N312" s="8" t="s">
        <v>208</v>
      </c>
      <c r="O312" s="8" t="s">
        <v>221</v>
      </c>
      <c r="Q312" t="s">
        <v>1512</v>
      </c>
      <c r="R312" t="s">
        <v>1513</v>
      </c>
      <c r="S312" t="s">
        <v>1513</v>
      </c>
      <c r="T312" t="s">
        <v>1511</v>
      </c>
      <c r="U312" t="s">
        <v>1514</v>
      </c>
      <c r="V312" t="s">
        <v>137</v>
      </c>
      <c r="W312" t="s">
        <v>774</v>
      </c>
      <c r="X312" t="s">
        <v>774</v>
      </c>
      <c r="Y312" t="s">
        <v>1082</v>
      </c>
      <c r="Z312" t="s">
        <v>775</v>
      </c>
      <c r="AA312" t="s">
        <v>1309</v>
      </c>
      <c r="AB312" t="s">
        <v>465</v>
      </c>
      <c r="AC312" t="s">
        <v>301</v>
      </c>
      <c r="AD312" t="s">
        <v>1165</v>
      </c>
      <c r="AE312" t="s">
        <v>1309</v>
      </c>
      <c r="AG312" s="8" t="s">
        <v>218</v>
      </c>
      <c r="AH312" t="s">
        <v>219</v>
      </c>
      <c r="AI312" s="9" t="s">
        <v>218</v>
      </c>
      <c r="AJ312" s="9" t="s">
        <v>218</v>
      </c>
      <c r="AK312" t="s">
        <v>234</v>
      </c>
      <c r="AL312" s="8" t="s">
        <v>221</v>
      </c>
      <c r="AM312" s="9" t="s">
        <v>218</v>
      </c>
      <c r="AN312" s="8" t="s">
        <v>221</v>
      </c>
      <c r="AO312" s="8" t="s">
        <v>222</v>
      </c>
      <c r="AP312" s="8">
        <v>0</v>
      </c>
      <c r="AQ312" s="8">
        <v>0</v>
      </c>
      <c r="AR312" s="8">
        <v>0</v>
      </c>
      <c r="AS312" s="8">
        <v>0</v>
      </c>
      <c r="AT312" s="8">
        <v>0</v>
      </c>
      <c r="AU312" s="8">
        <v>0</v>
      </c>
      <c r="AV312" s="8">
        <v>0</v>
      </c>
      <c r="AW312" s="8">
        <v>0</v>
      </c>
      <c r="AX312" s="8"/>
      <c r="AY312" s="9" t="s">
        <v>1515</v>
      </c>
      <c r="AZ312">
        <v>2</v>
      </c>
      <c r="BA312" t="s">
        <v>1516</v>
      </c>
      <c r="BB312" t="s">
        <v>1517</v>
      </c>
      <c r="BC312" t="s">
        <v>1518</v>
      </c>
    </row>
    <row r="313" spans="1:55">
      <c r="A313" s="6">
        <v>45779</v>
      </c>
      <c r="B313" s="7" t="s">
        <v>1519</v>
      </c>
      <c r="C313" t="s">
        <v>205</v>
      </c>
      <c r="D313" t="s">
        <v>1440</v>
      </c>
      <c r="G313" t="s">
        <v>1160</v>
      </c>
      <c r="H313" s="8" t="s">
        <v>208</v>
      </c>
      <c r="I313" s="8" t="s">
        <v>208</v>
      </c>
      <c r="J313" s="8" t="s">
        <v>208</v>
      </c>
      <c r="K313" s="8" t="s">
        <v>208</v>
      </c>
      <c r="L313" s="8" t="s">
        <v>208</v>
      </c>
      <c r="M313" s="8" t="s">
        <v>208</v>
      </c>
      <c r="N313" s="8" t="s">
        <v>208</v>
      </c>
      <c r="O313" s="8" t="s">
        <v>221</v>
      </c>
      <c r="Q313" t="s">
        <v>1520</v>
      </c>
      <c r="R313" t="s">
        <v>1521</v>
      </c>
      <c r="S313" t="s">
        <v>1521</v>
      </c>
      <c r="T313" t="s">
        <v>1519</v>
      </c>
      <c r="U313" t="s">
        <v>1522</v>
      </c>
      <c r="V313" t="s">
        <v>140</v>
      </c>
      <c r="W313" t="s">
        <v>774</v>
      </c>
      <c r="X313" t="s">
        <v>774</v>
      </c>
      <c r="Y313" t="s">
        <v>1082</v>
      </c>
      <c r="Z313" t="s">
        <v>775</v>
      </c>
      <c r="AA313" t="s">
        <v>1164</v>
      </c>
      <c r="AB313" t="s">
        <v>465</v>
      </c>
      <c r="AC313" t="s">
        <v>301</v>
      </c>
      <c r="AD313" t="s">
        <v>1165</v>
      </c>
      <c r="AE313" t="s">
        <v>1166</v>
      </c>
      <c r="AG313" s="8" t="s">
        <v>218</v>
      </c>
      <c r="AH313" t="s">
        <v>219</v>
      </c>
      <c r="AI313" s="9" t="s">
        <v>218</v>
      </c>
      <c r="AJ313" s="9" t="s">
        <v>218</v>
      </c>
      <c r="AK313" t="s">
        <v>234</v>
      </c>
      <c r="AL313" s="8" t="s">
        <v>221</v>
      </c>
      <c r="AM313" s="9" t="s">
        <v>218</v>
      </c>
      <c r="AN313" s="8" t="s">
        <v>221</v>
      </c>
      <c r="AO313" s="8" t="s">
        <v>222</v>
      </c>
      <c r="AP313" s="8">
        <v>0</v>
      </c>
      <c r="AQ313" s="8">
        <v>0</v>
      </c>
      <c r="AR313" s="8">
        <v>0</v>
      </c>
      <c r="AS313" s="8">
        <v>0</v>
      </c>
      <c r="AT313" s="8">
        <v>0</v>
      </c>
      <c r="AU313" s="8">
        <v>0</v>
      </c>
      <c r="AV313" s="8">
        <v>0</v>
      </c>
      <c r="AW313" s="8">
        <v>0</v>
      </c>
      <c r="AX313" s="8"/>
      <c r="AY313" s="9" t="s">
        <v>1523</v>
      </c>
      <c r="AZ313">
        <v>2</v>
      </c>
      <c r="BA313" t="s">
        <v>1524</v>
      </c>
      <c r="BB313" t="s">
        <v>1525</v>
      </c>
      <c r="BC313" t="s">
        <v>1526</v>
      </c>
    </row>
    <row r="314" spans="1:55">
      <c r="A314" s="6">
        <v>45779</v>
      </c>
      <c r="B314" s="7" t="s">
        <v>1527</v>
      </c>
      <c r="C314" t="s">
        <v>205</v>
      </c>
      <c r="D314" t="s">
        <v>1440</v>
      </c>
      <c r="G314" t="s">
        <v>1160</v>
      </c>
      <c r="H314" s="8" t="s">
        <v>208</v>
      </c>
      <c r="I314" s="8" t="s">
        <v>208</v>
      </c>
      <c r="J314" s="8" t="s">
        <v>208</v>
      </c>
      <c r="K314" s="8" t="s">
        <v>208</v>
      </c>
      <c r="L314" s="8" t="s">
        <v>208</v>
      </c>
      <c r="M314" s="8" t="s">
        <v>208</v>
      </c>
      <c r="N314" s="8" t="s">
        <v>208</v>
      </c>
      <c r="O314" s="8" t="s">
        <v>221</v>
      </c>
      <c r="Q314" t="s">
        <v>1528</v>
      </c>
      <c r="R314" t="s">
        <v>1529</v>
      </c>
      <c r="S314" t="s">
        <v>1529</v>
      </c>
      <c r="T314" t="s">
        <v>1527</v>
      </c>
      <c r="U314" t="s">
        <v>1530</v>
      </c>
      <c r="V314" t="s">
        <v>140</v>
      </c>
      <c r="W314" t="s">
        <v>774</v>
      </c>
      <c r="X314" t="s">
        <v>774</v>
      </c>
      <c r="Y314" t="s">
        <v>1082</v>
      </c>
      <c r="Z314" t="s">
        <v>775</v>
      </c>
      <c r="AA314" t="s">
        <v>1164</v>
      </c>
      <c r="AB314" t="s">
        <v>465</v>
      </c>
      <c r="AC314" t="s">
        <v>301</v>
      </c>
      <c r="AD314" t="s">
        <v>1165</v>
      </c>
      <c r="AE314" t="s">
        <v>1166</v>
      </c>
      <c r="AG314" s="8" t="s">
        <v>218</v>
      </c>
      <c r="AH314" t="s">
        <v>219</v>
      </c>
      <c r="AI314" s="9" t="s">
        <v>218</v>
      </c>
      <c r="AJ314" s="9" t="s">
        <v>218</v>
      </c>
      <c r="AK314" t="s">
        <v>1531</v>
      </c>
      <c r="AL314" s="8" t="s">
        <v>221</v>
      </c>
      <c r="AM314" s="9" t="s">
        <v>218</v>
      </c>
      <c r="AN314" s="8" t="s">
        <v>221</v>
      </c>
      <c r="AO314" s="8" t="s">
        <v>222</v>
      </c>
      <c r="AP314" s="8">
        <v>0</v>
      </c>
      <c r="AQ314" s="8">
        <v>0</v>
      </c>
      <c r="AR314" s="9">
        <v>7</v>
      </c>
      <c r="AS314" s="8">
        <v>0</v>
      </c>
      <c r="AT314" s="8">
        <v>0</v>
      </c>
      <c r="AU314" s="8">
        <v>0</v>
      </c>
      <c r="AV314" s="8">
        <v>0</v>
      </c>
      <c r="AW314" s="9">
        <v>7</v>
      </c>
      <c r="AX314" s="8"/>
      <c r="AY314" s="9" t="s">
        <v>1532</v>
      </c>
      <c r="AZ314">
        <v>2</v>
      </c>
      <c r="BA314" t="s">
        <v>1533</v>
      </c>
      <c r="BB314" t="s">
        <v>1534</v>
      </c>
      <c r="BC314" t="s">
        <v>1535</v>
      </c>
    </row>
    <row r="315" spans="1:55">
      <c r="A315" s="6">
        <v>45779</v>
      </c>
      <c r="B315" s="7" t="s">
        <v>1536</v>
      </c>
      <c r="C315" t="s">
        <v>205</v>
      </c>
      <c r="D315" t="s">
        <v>1440</v>
      </c>
      <c r="G315" t="s">
        <v>1160</v>
      </c>
      <c r="H315" s="8" t="s">
        <v>208</v>
      </c>
      <c r="I315" s="8" t="s">
        <v>208</v>
      </c>
      <c r="J315" s="8" t="s">
        <v>208</v>
      </c>
      <c r="K315" s="8" t="s">
        <v>208</v>
      </c>
      <c r="L315" s="8" t="s">
        <v>208</v>
      </c>
      <c r="M315" s="8" t="s">
        <v>208</v>
      </c>
      <c r="N315" s="8" t="s">
        <v>208</v>
      </c>
      <c r="O315" s="8" t="s">
        <v>221</v>
      </c>
      <c r="Q315" t="s">
        <v>1537</v>
      </c>
      <c r="R315" t="s">
        <v>1538</v>
      </c>
      <c r="S315" t="s">
        <v>1538</v>
      </c>
      <c r="T315" t="s">
        <v>1536</v>
      </c>
      <c r="U315" t="s">
        <v>1539</v>
      </c>
      <c r="V315" t="s">
        <v>140</v>
      </c>
      <c r="W315" t="s">
        <v>774</v>
      </c>
      <c r="X315" t="s">
        <v>774</v>
      </c>
      <c r="Y315" t="s">
        <v>1082</v>
      </c>
      <c r="Z315" t="s">
        <v>775</v>
      </c>
      <c r="AA315" t="s">
        <v>1164</v>
      </c>
      <c r="AB315" t="s">
        <v>301</v>
      </c>
      <c r="AC315" t="s">
        <v>312</v>
      </c>
      <c r="AD315" t="s">
        <v>1165</v>
      </c>
      <c r="AE315" t="s">
        <v>11</v>
      </c>
      <c r="AG315" s="8" t="s">
        <v>218</v>
      </c>
      <c r="AH315" t="s">
        <v>219</v>
      </c>
      <c r="AI315" s="9" t="s">
        <v>218</v>
      </c>
      <c r="AJ315" s="9" t="s">
        <v>218</v>
      </c>
      <c r="AK315" t="s">
        <v>1540</v>
      </c>
      <c r="AL315" s="8" t="s">
        <v>221</v>
      </c>
      <c r="AM315" s="9" t="s">
        <v>218</v>
      </c>
      <c r="AN315" s="8" t="s">
        <v>221</v>
      </c>
      <c r="AO315" s="8" t="s">
        <v>222</v>
      </c>
      <c r="AP315" s="8">
        <v>0</v>
      </c>
      <c r="AQ315" s="8">
        <v>0</v>
      </c>
      <c r="AR315" s="8">
        <v>0</v>
      </c>
      <c r="AS315" s="8">
        <v>0</v>
      </c>
      <c r="AT315" s="8">
        <v>0</v>
      </c>
      <c r="AU315" s="8">
        <v>0</v>
      </c>
      <c r="AV315" s="8">
        <v>0</v>
      </c>
      <c r="AW315" s="8">
        <v>0</v>
      </c>
      <c r="AX315" s="8"/>
      <c r="AY315" s="9" t="s">
        <v>1541</v>
      </c>
      <c r="AZ315">
        <v>2</v>
      </c>
      <c r="BA315" t="s">
        <v>1542</v>
      </c>
      <c r="BB315" t="s">
        <v>1543</v>
      </c>
      <c r="BC315" t="s">
        <v>1544</v>
      </c>
    </row>
    <row r="316" spans="1:55">
      <c r="A316" s="6">
        <v>45779</v>
      </c>
      <c r="B316" s="7" t="s">
        <v>1545</v>
      </c>
      <c r="C316" t="s">
        <v>205</v>
      </c>
      <c r="D316" t="s">
        <v>1440</v>
      </c>
      <c r="G316" t="s">
        <v>1160</v>
      </c>
      <c r="H316" s="8" t="s">
        <v>208</v>
      </c>
      <c r="I316" s="8" t="s">
        <v>208</v>
      </c>
      <c r="J316" s="8" t="s">
        <v>208</v>
      </c>
      <c r="K316" s="8" t="s">
        <v>208</v>
      </c>
      <c r="L316" s="8" t="s">
        <v>208</v>
      </c>
      <c r="M316" s="8" t="s">
        <v>208</v>
      </c>
      <c r="N316" s="8" t="s">
        <v>208</v>
      </c>
      <c r="O316" s="8" t="s">
        <v>221</v>
      </c>
      <c r="Q316" t="s">
        <v>1546</v>
      </c>
      <c r="R316" t="s">
        <v>1547</v>
      </c>
      <c r="S316" t="s">
        <v>1547</v>
      </c>
      <c r="T316" t="s">
        <v>1545</v>
      </c>
      <c r="U316" t="s">
        <v>1548</v>
      </c>
      <c r="V316" t="s">
        <v>140</v>
      </c>
      <c r="W316" t="s">
        <v>212</v>
      </c>
      <c r="X316" t="s">
        <v>212</v>
      </c>
      <c r="Y316" t="s">
        <v>275</v>
      </c>
      <c r="Z316" t="s">
        <v>213</v>
      </c>
      <c r="AA316" t="s">
        <v>214</v>
      </c>
      <c r="AB316" t="s">
        <v>215</v>
      </c>
      <c r="AC316" t="s">
        <v>701</v>
      </c>
      <c r="AD316" t="s">
        <v>1112</v>
      </c>
      <c r="AE316" t="s">
        <v>217</v>
      </c>
      <c r="AG316" s="8" t="s">
        <v>218</v>
      </c>
      <c r="AH316" t="s">
        <v>219</v>
      </c>
      <c r="AI316" s="9" t="s">
        <v>218</v>
      </c>
      <c r="AJ316" s="9" t="s">
        <v>218</v>
      </c>
      <c r="AK316" t="s">
        <v>234</v>
      </c>
      <c r="AL316" s="8" t="s">
        <v>221</v>
      </c>
      <c r="AM316" s="9" t="s">
        <v>218</v>
      </c>
      <c r="AN316" s="8" t="s">
        <v>221</v>
      </c>
      <c r="AO316" s="8" t="s">
        <v>222</v>
      </c>
      <c r="AP316" s="8">
        <v>0</v>
      </c>
      <c r="AQ316" s="8">
        <v>0</v>
      </c>
      <c r="AR316" s="9">
        <v>2</v>
      </c>
      <c r="AS316" s="8">
        <v>0</v>
      </c>
      <c r="AT316" s="8">
        <v>0</v>
      </c>
      <c r="AU316" s="8">
        <v>0</v>
      </c>
      <c r="AV316" s="8">
        <v>0</v>
      </c>
      <c r="AW316" s="9">
        <v>2</v>
      </c>
      <c r="AX316" s="8"/>
      <c r="AY316" s="9" t="s">
        <v>1549</v>
      </c>
      <c r="AZ316">
        <v>2</v>
      </c>
      <c r="BA316" t="s">
        <v>1550</v>
      </c>
      <c r="BB316" t="s">
        <v>1551</v>
      </c>
      <c r="BC316" t="s">
        <v>1552</v>
      </c>
    </row>
    <row r="317" spans="1:55">
      <c r="A317" s="6">
        <v>45779</v>
      </c>
      <c r="B317" s="7" t="s">
        <v>1553</v>
      </c>
      <c r="C317" t="s">
        <v>205</v>
      </c>
      <c r="D317" t="s">
        <v>1440</v>
      </c>
      <c r="G317" t="s">
        <v>1160</v>
      </c>
      <c r="H317" s="8" t="s">
        <v>208</v>
      </c>
      <c r="I317" s="8" t="s">
        <v>208</v>
      </c>
      <c r="J317" s="8" t="s">
        <v>208</v>
      </c>
      <c r="K317" s="8" t="s">
        <v>208</v>
      </c>
      <c r="L317" s="8" t="s">
        <v>208</v>
      </c>
      <c r="M317" s="8" t="s">
        <v>208</v>
      </c>
      <c r="N317" s="8" t="s">
        <v>208</v>
      </c>
      <c r="O317" s="8" t="s">
        <v>221</v>
      </c>
      <c r="Q317" t="s">
        <v>1554</v>
      </c>
      <c r="R317" t="s">
        <v>1555</v>
      </c>
      <c r="S317" t="s">
        <v>1555</v>
      </c>
      <c r="T317" t="s">
        <v>1553</v>
      </c>
      <c r="U317" t="s">
        <v>1556</v>
      </c>
      <c r="V317" t="s">
        <v>138</v>
      </c>
      <c r="W317" t="s">
        <v>212</v>
      </c>
      <c r="X317" t="s">
        <v>212</v>
      </c>
      <c r="Y317" t="s">
        <v>275</v>
      </c>
      <c r="Z317" t="s">
        <v>213</v>
      </c>
      <c r="AA317" t="s">
        <v>214</v>
      </c>
      <c r="AB317" t="s">
        <v>285</v>
      </c>
      <c r="AC317" t="s">
        <v>215</v>
      </c>
      <c r="AD317" t="s">
        <v>1112</v>
      </c>
      <c r="AE317" t="s">
        <v>217</v>
      </c>
      <c r="AG317" s="8" t="s">
        <v>218</v>
      </c>
      <c r="AH317" t="s">
        <v>219</v>
      </c>
      <c r="AI317" s="9" t="s">
        <v>218</v>
      </c>
      <c r="AJ317" s="9" t="s">
        <v>218</v>
      </c>
      <c r="AK317" t="s">
        <v>234</v>
      </c>
      <c r="AL317" s="8" t="s">
        <v>221</v>
      </c>
      <c r="AM317" s="9" t="s">
        <v>218</v>
      </c>
      <c r="AN317" s="8" t="s">
        <v>221</v>
      </c>
      <c r="AO317" s="8" t="s">
        <v>222</v>
      </c>
      <c r="AP317" s="8">
        <v>0</v>
      </c>
      <c r="AQ317" s="8">
        <v>0</v>
      </c>
      <c r="AR317" s="9">
        <v>3</v>
      </c>
      <c r="AS317" s="8">
        <v>0</v>
      </c>
      <c r="AT317" s="8">
        <v>0</v>
      </c>
      <c r="AU317" s="8">
        <v>0</v>
      </c>
      <c r="AV317" s="8">
        <v>0</v>
      </c>
      <c r="AW317" s="9">
        <v>3</v>
      </c>
      <c r="AX317" s="8"/>
      <c r="AY317" s="9" t="s">
        <v>1557</v>
      </c>
      <c r="AZ317">
        <v>2</v>
      </c>
      <c r="BA317" t="s">
        <v>1558</v>
      </c>
      <c r="BB317" t="s">
        <v>1559</v>
      </c>
      <c r="BC317" t="s">
        <v>1560</v>
      </c>
    </row>
    <row r="318" spans="1:55">
      <c r="A318" s="6">
        <v>45779</v>
      </c>
      <c r="B318" s="7" t="s">
        <v>1561</v>
      </c>
      <c r="C318" t="s">
        <v>205</v>
      </c>
      <c r="D318" t="s">
        <v>1440</v>
      </c>
      <c r="G318" t="s">
        <v>1160</v>
      </c>
      <c r="H318" s="8" t="s">
        <v>208</v>
      </c>
      <c r="I318" s="8" t="s">
        <v>208</v>
      </c>
      <c r="J318" s="8" t="s">
        <v>208</v>
      </c>
      <c r="K318" s="8" t="s">
        <v>208</v>
      </c>
      <c r="L318" s="8" t="s">
        <v>208</v>
      </c>
      <c r="M318" s="8" t="s">
        <v>208</v>
      </c>
      <c r="N318" s="8" t="s">
        <v>208</v>
      </c>
      <c r="O318" s="8" t="s">
        <v>221</v>
      </c>
      <c r="Q318" t="s">
        <v>1562</v>
      </c>
      <c r="R318" t="s">
        <v>1563</v>
      </c>
      <c r="S318" t="s">
        <v>1564</v>
      </c>
      <c r="T318" t="s">
        <v>1565</v>
      </c>
      <c r="U318" t="s">
        <v>1566</v>
      </c>
      <c r="V318" t="s">
        <v>140</v>
      </c>
      <c r="W318" t="s">
        <v>212</v>
      </c>
      <c r="X318" t="s">
        <v>212</v>
      </c>
      <c r="Y318" t="s">
        <v>275</v>
      </c>
      <c r="Z318" t="s">
        <v>213</v>
      </c>
      <c r="AA318" t="s">
        <v>214</v>
      </c>
      <c r="AB318" t="s">
        <v>285</v>
      </c>
      <c r="AC318" t="s">
        <v>215</v>
      </c>
      <c r="AD318" t="s">
        <v>1112</v>
      </c>
      <c r="AE318" t="s">
        <v>217</v>
      </c>
      <c r="AG318" s="8" t="s">
        <v>218</v>
      </c>
      <c r="AH318" t="s">
        <v>219</v>
      </c>
      <c r="AI318" s="9" t="s">
        <v>218</v>
      </c>
      <c r="AJ318" s="9" t="s">
        <v>218</v>
      </c>
      <c r="AK318" t="s">
        <v>234</v>
      </c>
      <c r="AL318" s="8" t="s">
        <v>221</v>
      </c>
      <c r="AM318" s="9" t="s">
        <v>218</v>
      </c>
      <c r="AN318" s="8" t="s">
        <v>221</v>
      </c>
      <c r="AO318" s="8" t="s">
        <v>222</v>
      </c>
      <c r="AP318" s="8">
        <v>0</v>
      </c>
      <c r="AQ318" s="8">
        <v>0</v>
      </c>
      <c r="AR318" s="9">
        <v>9</v>
      </c>
      <c r="AS318" s="8">
        <v>0</v>
      </c>
      <c r="AT318" s="8">
        <v>0</v>
      </c>
      <c r="AU318" s="8">
        <v>0</v>
      </c>
      <c r="AV318" s="8">
        <v>0</v>
      </c>
      <c r="AW318" s="9">
        <v>9</v>
      </c>
      <c r="AX318" s="8"/>
      <c r="AY318" s="9" t="s">
        <v>1567</v>
      </c>
      <c r="AZ318">
        <v>3</v>
      </c>
      <c r="BA318" t="s">
        <v>1568</v>
      </c>
      <c r="BB318" t="s">
        <v>1569</v>
      </c>
      <c r="BC318" t="s">
        <v>1570</v>
      </c>
    </row>
    <row r="319" spans="1:55">
      <c r="A319" s="6">
        <v>45779</v>
      </c>
      <c r="B319" s="7" t="s">
        <v>1571</v>
      </c>
      <c r="C319" t="s">
        <v>205</v>
      </c>
      <c r="D319" t="s">
        <v>1440</v>
      </c>
      <c r="G319" t="s">
        <v>1160</v>
      </c>
      <c r="H319" s="8" t="s">
        <v>208</v>
      </c>
      <c r="I319" s="8" t="s">
        <v>208</v>
      </c>
      <c r="J319" s="8" t="s">
        <v>208</v>
      </c>
      <c r="K319" s="8" t="s">
        <v>208</v>
      </c>
      <c r="L319" s="8" t="s">
        <v>208</v>
      </c>
      <c r="M319" s="8" t="s">
        <v>208</v>
      </c>
      <c r="N319" s="8" t="s">
        <v>208</v>
      </c>
      <c r="O319" s="8" t="s">
        <v>221</v>
      </c>
      <c r="Q319" t="s">
        <v>1572</v>
      </c>
      <c r="R319" t="s">
        <v>1573</v>
      </c>
      <c r="S319" t="s">
        <v>1573</v>
      </c>
      <c r="T319" t="s">
        <v>1571</v>
      </c>
      <c r="U319" t="s">
        <v>1574</v>
      </c>
      <c r="V319" t="s">
        <v>138</v>
      </c>
      <c r="W319" t="s">
        <v>212</v>
      </c>
      <c r="X319" t="s">
        <v>212</v>
      </c>
      <c r="Y319" t="s">
        <v>275</v>
      </c>
      <c r="Z319" t="s">
        <v>213</v>
      </c>
      <c r="AA319" t="s">
        <v>214</v>
      </c>
      <c r="AB319" t="s">
        <v>285</v>
      </c>
      <c r="AC319" t="s">
        <v>215</v>
      </c>
      <c r="AD319" t="s">
        <v>1112</v>
      </c>
      <c r="AE319" t="s">
        <v>11</v>
      </c>
      <c r="AG319" s="8" t="s">
        <v>218</v>
      </c>
      <c r="AH319" t="s">
        <v>1445</v>
      </c>
      <c r="AI319" s="8" t="s">
        <v>221</v>
      </c>
      <c r="AJ319" s="9" t="s">
        <v>218</v>
      </c>
      <c r="AK319" t="s">
        <v>234</v>
      </c>
      <c r="AL319" s="8" t="s">
        <v>221</v>
      </c>
      <c r="AM319" s="9" t="s">
        <v>218</v>
      </c>
      <c r="AN319" s="8" t="s">
        <v>221</v>
      </c>
      <c r="AO319" s="8" t="s">
        <v>222</v>
      </c>
      <c r="AP319" s="8">
        <v>0</v>
      </c>
      <c r="AQ319" s="8">
        <v>0</v>
      </c>
      <c r="AR319" s="9">
        <v>17</v>
      </c>
      <c r="AS319" s="8">
        <v>0</v>
      </c>
      <c r="AT319" s="8">
        <v>0</v>
      </c>
      <c r="AU319" s="8">
        <v>0</v>
      </c>
      <c r="AV319" s="8">
        <v>0</v>
      </c>
      <c r="AW319" s="9">
        <v>17</v>
      </c>
      <c r="AX319" s="8"/>
      <c r="AY319" s="8"/>
      <c r="AZ319">
        <v>2</v>
      </c>
      <c r="BA319" t="s">
        <v>1575</v>
      </c>
      <c r="BB319" t="s">
        <v>1576</v>
      </c>
      <c r="BC319" t="s">
        <v>1577</v>
      </c>
    </row>
    <row r="320" spans="1:55">
      <c r="A320" s="6">
        <v>45779</v>
      </c>
      <c r="B320" s="7" t="s">
        <v>1578</v>
      </c>
      <c r="C320" t="s">
        <v>205</v>
      </c>
      <c r="D320" t="s">
        <v>1440</v>
      </c>
      <c r="G320" t="s">
        <v>1160</v>
      </c>
      <c r="H320" s="8" t="s">
        <v>208</v>
      </c>
      <c r="I320" s="8" t="s">
        <v>208</v>
      </c>
      <c r="J320" s="8" t="s">
        <v>208</v>
      </c>
      <c r="K320" s="8" t="s">
        <v>208</v>
      </c>
      <c r="L320" s="8" t="s">
        <v>208</v>
      </c>
      <c r="M320" s="8" t="s">
        <v>208</v>
      </c>
      <c r="N320" s="8" t="s">
        <v>208</v>
      </c>
      <c r="O320" s="8" t="s">
        <v>221</v>
      </c>
      <c r="Q320" t="s">
        <v>1579</v>
      </c>
      <c r="R320" t="s">
        <v>1580</v>
      </c>
      <c r="S320" t="s">
        <v>1580</v>
      </c>
      <c r="T320" t="s">
        <v>1578</v>
      </c>
      <c r="U320" t="s">
        <v>1581</v>
      </c>
      <c r="V320" t="s">
        <v>140</v>
      </c>
      <c r="W320" t="s">
        <v>774</v>
      </c>
      <c r="X320" t="s">
        <v>774</v>
      </c>
      <c r="Y320" t="s">
        <v>1082</v>
      </c>
      <c r="Z320" t="s">
        <v>775</v>
      </c>
      <c r="AA320" t="s">
        <v>1164</v>
      </c>
      <c r="AB320" t="s">
        <v>408</v>
      </c>
      <c r="AC320" t="s">
        <v>391</v>
      </c>
      <c r="AD320" t="s">
        <v>1165</v>
      </c>
      <c r="AE320" t="s">
        <v>1166</v>
      </c>
      <c r="AG320" s="8" t="s">
        <v>218</v>
      </c>
      <c r="AH320" t="s">
        <v>219</v>
      </c>
      <c r="AI320" s="9" t="s">
        <v>218</v>
      </c>
      <c r="AJ320" s="9" t="s">
        <v>218</v>
      </c>
      <c r="AK320" t="s">
        <v>234</v>
      </c>
      <c r="AL320" s="8" t="s">
        <v>221</v>
      </c>
      <c r="AM320" s="9" t="s">
        <v>218</v>
      </c>
      <c r="AN320" s="8" t="s">
        <v>221</v>
      </c>
      <c r="AO320" s="8" t="s">
        <v>222</v>
      </c>
      <c r="AP320" s="8">
        <v>0</v>
      </c>
      <c r="AQ320" s="8">
        <v>0</v>
      </c>
      <c r="AR320" s="9">
        <v>4</v>
      </c>
      <c r="AS320" s="8">
        <v>0</v>
      </c>
      <c r="AT320" s="8">
        <v>0</v>
      </c>
      <c r="AU320" s="8">
        <v>0</v>
      </c>
      <c r="AV320" s="8">
        <v>0</v>
      </c>
      <c r="AW320" s="9">
        <v>4</v>
      </c>
      <c r="AX320" s="8"/>
      <c r="AY320" s="9" t="s">
        <v>1582</v>
      </c>
      <c r="AZ320">
        <v>3</v>
      </c>
      <c r="BA320" t="s">
        <v>1583</v>
      </c>
      <c r="BB320" t="s">
        <v>1584</v>
      </c>
      <c r="BC320" t="s">
        <v>1585</v>
      </c>
    </row>
    <row r="321" spans="1:55">
      <c r="A321" s="6">
        <v>45779</v>
      </c>
      <c r="B321" s="7" t="s">
        <v>1586</v>
      </c>
      <c r="C321" t="s">
        <v>205</v>
      </c>
      <c r="D321" t="s">
        <v>1440</v>
      </c>
      <c r="G321" t="s">
        <v>1160</v>
      </c>
      <c r="H321" s="8" t="s">
        <v>208</v>
      </c>
      <c r="I321" s="8" t="s">
        <v>208</v>
      </c>
      <c r="J321" s="8" t="s">
        <v>208</v>
      </c>
      <c r="K321" s="8" t="s">
        <v>208</v>
      </c>
      <c r="L321" s="8" t="s">
        <v>208</v>
      </c>
      <c r="M321" s="8" t="s">
        <v>208</v>
      </c>
      <c r="N321" s="8" t="s">
        <v>208</v>
      </c>
      <c r="O321" s="8" t="s">
        <v>221</v>
      </c>
      <c r="Q321" t="s">
        <v>1587</v>
      </c>
      <c r="R321" t="s">
        <v>1588</v>
      </c>
      <c r="S321" t="s">
        <v>1588</v>
      </c>
      <c r="T321" t="s">
        <v>1586</v>
      </c>
      <c r="U321" t="s">
        <v>1589</v>
      </c>
      <c r="V321" t="s">
        <v>140</v>
      </c>
      <c r="W321" t="s">
        <v>774</v>
      </c>
      <c r="X321" t="s">
        <v>774</v>
      </c>
      <c r="Y321" t="s">
        <v>1082</v>
      </c>
      <c r="Z321" t="s">
        <v>775</v>
      </c>
      <c r="AA321" t="s">
        <v>1164</v>
      </c>
      <c r="AB321" t="s">
        <v>425</v>
      </c>
      <c r="AC321" t="s">
        <v>465</v>
      </c>
      <c r="AD321" t="s">
        <v>1165</v>
      </c>
      <c r="AE321" t="s">
        <v>1166</v>
      </c>
      <c r="AG321" s="8" t="s">
        <v>218</v>
      </c>
      <c r="AH321" t="s">
        <v>219</v>
      </c>
      <c r="AI321" s="9" t="s">
        <v>218</v>
      </c>
      <c r="AJ321" s="9" t="s">
        <v>218</v>
      </c>
      <c r="AK321" t="s">
        <v>234</v>
      </c>
      <c r="AL321" s="8" t="s">
        <v>221</v>
      </c>
      <c r="AM321" s="9" t="s">
        <v>218</v>
      </c>
      <c r="AN321" s="8" t="s">
        <v>221</v>
      </c>
      <c r="AO321" s="8" t="s">
        <v>222</v>
      </c>
      <c r="AP321" s="8">
        <v>0</v>
      </c>
      <c r="AQ321" s="8">
        <v>0</v>
      </c>
      <c r="AR321" s="9">
        <v>1</v>
      </c>
      <c r="AS321" s="8">
        <v>0</v>
      </c>
      <c r="AT321" s="8">
        <v>0</v>
      </c>
      <c r="AU321" s="8">
        <v>0</v>
      </c>
      <c r="AV321" s="8">
        <v>0</v>
      </c>
      <c r="AW321" s="9">
        <v>1</v>
      </c>
      <c r="AX321" s="8"/>
      <c r="AY321" s="9" t="s">
        <v>1590</v>
      </c>
      <c r="AZ321">
        <v>2</v>
      </c>
      <c r="BA321" t="s">
        <v>1591</v>
      </c>
      <c r="BB321" t="s">
        <v>1592</v>
      </c>
      <c r="BC321" t="s">
        <v>1593</v>
      </c>
    </row>
    <row r="322" spans="1:55">
      <c r="A322" s="6">
        <v>45779</v>
      </c>
      <c r="B322" s="7" t="s">
        <v>1594</v>
      </c>
      <c r="C322" t="s">
        <v>205</v>
      </c>
      <c r="D322" t="s">
        <v>1440</v>
      </c>
      <c r="G322" t="s">
        <v>1160</v>
      </c>
      <c r="H322" s="8" t="s">
        <v>208</v>
      </c>
      <c r="I322" s="8" t="s">
        <v>208</v>
      </c>
      <c r="J322" s="8" t="s">
        <v>208</v>
      </c>
      <c r="K322" s="8" t="s">
        <v>208</v>
      </c>
      <c r="L322" s="8" t="s">
        <v>208</v>
      </c>
      <c r="M322" s="8" t="s">
        <v>208</v>
      </c>
      <c r="N322" s="8" t="s">
        <v>208</v>
      </c>
      <c r="O322" s="8" t="s">
        <v>221</v>
      </c>
      <c r="Q322" t="s">
        <v>1595</v>
      </c>
      <c r="R322" t="s">
        <v>1596</v>
      </c>
      <c r="S322" t="s">
        <v>1596</v>
      </c>
      <c r="T322" t="s">
        <v>1594</v>
      </c>
      <c r="U322" t="s">
        <v>1597</v>
      </c>
      <c r="V322" t="s">
        <v>140</v>
      </c>
      <c r="W322" t="s">
        <v>774</v>
      </c>
      <c r="X322" t="s">
        <v>774</v>
      </c>
      <c r="Y322" t="s">
        <v>1082</v>
      </c>
      <c r="Z322" t="s">
        <v>775</v>
      </c>
      <c r="AA322" t="s">
        <v>1164</v>
      </c>
      <c r="AB322" t="s">
        <v>425</v>
      </c>
      <c r="AC322" t="s">
        <v>465</v>
      </c>
      <c r="AD322" t="s">
        <v>1165</v>
      </c>
      <c r="AE322" t="s">
        <v>1166</v>
      </c>
      <c r="AG322" s="8" t="s">
        <v>218</v>
      </c>
      <c r="AH322" t="s">
        <v>219</v>
      </c>
      <c r="AI322" s="9" t="s">
        <v>218</v>
      </c>
      <c r="AJ322" s="9" t="s">
        <v>218</v>
      </c>
      <c r="AK322" t="s">
        <v>1138</v>
      </c>
      <c r="AL322" s="8" t="s">
        <v>221</v>
      </c>
      <c r="AM322" s="9" t="s">
        <v>218</v>
      </c>
      <c r="AN322" s="8" t="s">
        <v>221</v>
      </c>
      <c r="AO322" s="8" t="s">
        <v>222</v>
      </c>
      <c r="AP322" s="8">
        <v>0</v>
      </c>
      <c r="AQ322" s="8">
        <v>0</v>
      </c>
      <c r="AR322" s="9">
        <v>10</v>
      </c>
      <c r="AS322" s="8">
        <v>0</v>
      </c>
      <c r="AT322" s="8">
        <v>0</v>
      </c>
      <c r="AU322" s="8">
        <v>0</v>
      </c>
      <c r="AV322" s="8">
        <v>0</v>
      </c>
      <c r="AW322" s="9">
        <v>10</v>
      </c>
      <c r="AX322" s="8"/>
      <c r="AY322" s="9" t="s">
        <v>1598</v>
      </c>
      <c r="AZ322">
        <v>2</v>
      </c>
      <c r="BA322" t="s">
        <v>1599</v>
      </c>
      <c r="BB322" t="s">
        <v>1600</v>
      </c>
      <c r="BC322" t="s">
        <v>1601</v>
      </c>
    </row>
    <row r="323" spans="1:55">
      <c r="A323" s="6">
        <v>45779</v>
      </c>
      <c r="B323" s="7" t="s">
        <v>1602</v>
      </c>
      <c r="C323" t="s">
        <v>205</v>
      </c>
      <c r="D323" t="s">
        <v>1440</v>
      </c>
      <c r="G323" t="s">
        <v>1160</v>
      </c>
      <c r="H323" s="8" t="s">
        <v>208</v>
      </c>
      <c r="I323" s="8" t="s">
        <v>208</v>
      </c>
      <c r="J323" s="8" t="s">
        <v>208</v>
      </c>
      <c r="K323" s="8" t="s">
        <v>208</v>
      </c>
      <c r="L323" s="8" t="s">
        <v>208</v>
      </c>
      <c r="M323" s="8" t="s">
        <v>208</v>
      </c>
      <c r="N323" s="8" t="s">
        <v>208</v>
      </c>
      <c r="O323" s="8" t="s">
        <v>221</v>
      </c>
      <c r="Q323" t="s">
        <v>1603</v>
      </c>
      <c r="R323" t="s">
        <v>1604</v>
      </c>
      <c r="S323" t="s">
        <v>1604</v>
      </c>
      <c r="T323" t="s">
        <v>1602</v>
      </c>
      <c r="U323" t="s">
        <v>1605</v>
      </c>
      <c r="V323" t="s">
        <v>140</v>
      </c>
      <c r="W323" t="s">
        <v>774</v>
      </c>
      <c r="X323" t="s">
        <v>774</v>
      </c>
      <c r="Y323" t="s">
        <v>1082</v>
      </c>
      <c r="Z323" t="s">
        <v>775</v>
      </c>
      <c r="AA323" t="s">
        <v>1164</v>
      </c>
      <c r="AB323" t="s">
        <v>301</v>
      </c>
      <c r="AC323" t="s">
        <v>312</v>
      </c>
      <c r="AD323" t="s">
        <v>1165</v>
      </c>
      <c r="AE323" t="s">
        <v>1166</v>
      </c>
      <c r="AG323" s="8" t="s">
        <v>218</v>
      </c>
      <c r="AH323" t="s">
        <v>219</v>
      </c>
      <c r="AI323" s="9" t="s">
        <v>218</v>
      </c>
      <c r="AJ323" s="9" t="s">
        <v>218</v>
      </c>
      <c r="AK323" t="s">
        <v>234</v>
      </c>
      <c r="AL323" s="8" t="s">
        <v>221</v>
      </c>
      <c r="AM323" s="9" t="s">
        <v>218</v>
      </c>
      <c r="AN323" s="8" t="s">
        <v>221</v>
      </c>
      <c r="AO323" s="8" t="s">
        <v>222</v>
      </c>
      <c r="AP323" s="8">
        <v>0</v>
      </c>
      <c r="AQ323" s="8">
        <v>0</v>
      </c>
      <c r="AR323" s="8">
        <v>0</v>
      </c>
      <c r="AS323" s="8">
        <v>0</v>
      </c>
      <c r="AT323" s="8">
        <v>0</v>
      </c>
      <c r="AU323" s="8">
        <v>0</v>
      </c>
      <c r="AV323" s="8">
        <v>0</v>
      </c>
      <c r="AW323" s="8">
        <v>0</v>
      </c>
      <c r="AX323" s="8"/>
      <c r="AY323" s="8"/>
      <c r="AZ323">
        <v>2</v>
      </c>
      <c r="BA323" t="s">
        <v>1606</v>
      </c>
      <c r="BB323" t="s">
        <v>1607</v>
      </c>
      <c r="BC323" t="s">
        <v>1608</v>
      </c>
    </row>
    <row r="324" spans="1:55">
      <c r="A324" s="6">
        <v>45779</v>
      </c>
      <c r="B324" s="7" t="s">
        <v>1609</v>
      </c>
      <c r="C324" t="s">
        <v>387</v>
      </c>
      <c r="D324" t="s">
        <v>1440</v>
      </c>
      <c r="E324" t="s">
        <v>1275</v>
      </c>
      <c r="F324" t="s">
        <v>1275</v>
      </c>
      <c r="G324" t="s">
        <v>1160</v>
      </c>
      <c r="H324" s="8" t="s">
        <v>208</v>
      </c>
      <c r="I324" s="8" t="s">
        <v>208</v>
      </c>
      <c r="J324" s="8" t="s">
        <v>208</v>
      </c>
      <c r="K324" s="8" t="s">
        <v>208</v>
      </c>
      <c r="L324" s="8" t="s">
        <v>208</v>
      </c>
      <c r="M324" s="8" t="s">
        <v>208</v>
      </c>
      <c r="N324" s="8" t="s">
        <v>208</v>
      </c>
      <c r="O324" s="8" t="s">
        <v>221</v>
      </c>
      <c r="Q324" t="s">
        <v>1610</v>
      </c>
      <c r="R324" t="s">
        <v>1611</v>
      </c>
      <c r="S324" t="s">
        <v>1611</v>
      </c>
      <c r="T324" t="s">
        <v>1609</v>
      </c>
      <c r="U324" t="s">
        <v>1612</v>
      </c>
      <c r="V324" t="s">
        <v>662</v>
      </c>
      <c r="W324" t="s">
        <v>298</v>
      </c>
      <c r="X324" t="s">
        <v>298</v>
      </c>
      <c r="Y324" t="s">
        <v>1103</v>
      </c>
      <c r="Z324" t="s">
        <v>299</v>
      </c>
      <c r="AA324" t="s">
        <v>663</v>
      </c>
      <c r="AB324" t="s">
        <v>465</v>
      </c>
      <c r="AC324" t="s">
        <v>301</v>
      </c>
      <c r="AD324" t="s">
        <v>1279</v>
      </c>
      <c r="AE324" t="s">
        <v>663</v>
      </c>
      <c r="AG324" s="8" t="s">
        <v>218</v>
      </c>
      <c r="AH324" t="s">
        <v>302</v>
      </c>
      <c r="AI324" s="9" t="s">
        <v>218</v>
      </c>
      <c r="AJ324" s="9" t="s">
        <v>218</v>
      </c>
      <c r="AK324" t="s">
        <v>1613</v>
      </c>
      <c r="AL324" s="8" t="s">
        <v>221</v>
      </c>
      <c r="AM324" s="9" t="s">
        <v>218</v>
      </c>
      <c r="AN324" s="8" t="s">
        <v>221</v>
      </c>
      <c r="AO324" s="8" t="s">
        <v>222</v>
      </c>
      <c r="AP324" s="8">
        <v>0</v>
      </c>
      <c r="AQ324" s="8">
        <v>0</v>
      </c>
      <c r="AR324" s="8">
        <v>0</v>
      </c>
      <c r="AS324" s="8">
        <v>0</v>
      </c>
      <c r="AT324" s="8">
        <v>0</v>
      </c>
      <c r="AU324" s="8">
        <v>0</v>
      </c>
      <c r="AV324" s="8">
        <v>0</v>
      </c>
      <c r="AW324" s="8">
        <v>0</v>
      </c>
      <c r="AX324" s="8"/>
      <c r="AY324" s="9" t="s">
        <v>1614</v>
      </c>
      <c r="AZ324">
        <v>2</v>
      </c>
      <c r="BA324" t="s">
        <v>1615</v>
      </c>
      <c r="BB324" t="s">
        <v>1616</v>
      </c>
      <c r="BC324" t="s">
        <v>1617</v>
      </c>
    </row>
    <row r="325" spans="1:55">
      <c r="A325" s="6">
        <v>45779</v>
      </c>
      <c r="B325" s="7" t="s">
        <v>1618</v>
      </c>
      <c r="C325" t="s">
        <v>205</v>
      </c>
      <c r="D325" t="s">
        <v>1440</v>
      </c>
      <c r="G325" t="s">
        <v>1160</v>
      </c>
      <c r="H325" s="8" t="s">
        <v>208</v>
      </c>
      <c r="I325" s="8" t="s">
        <v>208</v>
      </c>
      <c r="J325" s="8" t="s">
        <v>208</v>
      </c>
      <c r="K325" s="8" t="s">
        <v>208</v>
      </c>
      <c r="L325" s="8" t="s">
        <v>208</v>
      </c>
      <c r="M325" s="8" t="s">
        <v>208</v>
      </c>
      <c r="N325" s="8" t="s">
        <v>208</v>
      </c>
      <c r="O325" s="8" t="s">
        <v>221</v>
      </c>
      <c r="Q325" t="s">
        <v>1619</v>
      </c>
      <c r="R325" t="s">
        <v>1620</v>
      </c>
      <c r="S325" t="s">
        <v>1620</v>
      </c>
      <c r="T325" t="s">
        <v>1618</v>
      </c>
      <c r="U325" t="s">
        <v>1621</v>
      </c>
      <c r="V325" t="s">
        <v>140</v>
      </c>
      <c r="W325" t="s">
        <v>212</v>
      </c>
      <c r="X325" t="s">
        <v>212</v>
      </c>
      <c r="Y325" t="s">
        <v>275</v>
      </c>
      <c r="Z325" t="s">
        <v>213</v>
      </c>
      <c r="AA325" t="s">
        <v>214</v>
      </c>
      <c r="AB325" t="s">
        <v>1336</v>
      </c>
      <c r="AC325" t="s">
        <v>758</v>
      </c>
      <c r="AD325" t="s">
        <v>1112</v>
      </c>
      <c r="AE325" t="s">
        <v>217</v>
      </c>
      <c r="AG325" s="8" t="s">
        <v>218</v>
      </c>
      <c r="AH325" t="s">
        <v>219</v>
      </c>
      <c r="AI325" s="9" t="s">
        <v>218</v>
      </c>
      <c r="AJ325" s="9" t="s">
        <v>218</v>
      </c>
      <c r="AK325" t="s">
        <v>234</v>
      </c>
      <c r="AL325" s="8" t="s">
        <v>221</v>
      </c>
      <c r="AM325" s="9" t="s">
        <v>218</v>
      </c>
      <c r="AN325" s="8" t="s">
        <v>221</v>
      </c>
      <c r="AO325" s="8" t="s">
        <v>222</v>
      </c>
      <c r="AP325" s="8">
        <v>0</v>
      </c>
      <c r="AQ325" s="8">
        <v>0</v>
      </c>
      <c r="AR325" s="9">
        <v>42</v>
      </c>
      <c r="AS325" s="8">
        <v>0</v>
      </c>
      <c r="AT325" s="8">
        <v>0</v>
      </c>
      <c r="AU325" s="8">
        <v>0</v>
      </c>
      <c r="AV325" s="8">
        <v>0</v>
      </c>
      <c r="AW325" s="9">
        <v>42</v>
      </c>
      <c r="AX325" s="8"/>
      <c r="AY325" s="9" t="s">
        <v>1622</v>
      </c>
      <c r="AZ325">
        <v>3</v>
      </c>
      <c r="BA325" t="s">
        <v>1623</v>
      </c>
      <c r="BB325" t="s">
        <v>1624</v>
      </c>
      <c r="BC325" t="s">
        <v>1625</v>
      </c>
    </row>
    <row r="326" spans="1:55">
      <c r="A326" s="6">
        <v>45779</v>
      </c>
      <c r="B326" s="7" t="s">
        <v>1626</v>
      </c>
      <c r="C326" t="s">
        <v>205</v>
      </c>
      <c r="D326" t="s">
        <v>1440</v>
      </c>
      <c r="G326" t="s">
        <v>1160</v>
      </c>
      <c r="H326" s="8" t="s">
        <v>208</v>
      </c>
      <c r="I326" s="8" t="s">
        <v>208</v>
      </c>
      <c r="J326" s="8" t="s">
        <v>208</v>
      </c>
      <c r="K326" s="8" t="s">
        <v>208</v>
      </c>
      <c r="L326" s="8" t="s">
        <v>208</v>
      </c>
      <c r="M326" s="8" t="s">
        <v>208</v>
      </c>
      <c r="N326" s="8" t="s">
        <v>208</v>
      </c>
      <c r="O326" s="8" t="s">
        <v>221</v>
      </c>
      <c r="Q326" t="s">
        <v>1627</v>
      </c>
      <c r="R326" t="s">
        <v>1628</v>
      </c>
      <c r="S326" t="s">
        <v>1628</v>
      </c>
      <c r="T326" t="s">
        <v>1626</v>
      </c>
      <c r="U326" t="s">
        <v>1629</v>
      </c>
      <c r="V326" t="s">
        <v>140</v>
      </c>
      <c r="W326" t="s">
        <v>774</v>
      </c>
      <c r="X326" t="s">
        <v>774</v>
      </c>
      <c r="Y326" t="s">
        <v>1082</v>
      </c>
      <c r="Z326" t="s">
        <v>775</v>
      </c>
      <c r="AA326" t="s">
        <v>1164</v>
      </c>
      <c r="AB326" t="s">
        <v>603</v>
      </c>
      <c r="AC326" t="s">
        <v>408</v>
      </c>
      <c r="AD326" t="s">
        <v>1165</v>
      </c>
      <c r="AE326" t="s">
        <v>1166</v>
      </c>
      <c r="AG326" s="8" t="s">
        <v>218</v>
      </c>
      <c r="AH326" t="s">
        <v>219</v>
      </c>
      <c r="AI326" s="9" t="s">
        <v>218</v>
      </c>
      <c r="AJ326" s="9" t="s">
        <v>218</v>
      </c>
      <c r="AK326" t="s">
        <v>234</v>
      </c>
      <c r="AL326" s="8" t="s">
        <v>221</v>
      </c>
      <c r="AM326" s="9" t="s">
        <v>218</v>
      </c>
      <c r="AN326" s="8" t="s">
        <v>221</v>
      </c>
      <c r="AO326" s="8" t="s">
        <v>222</v>
      </c>
      <c r="AP326" s="8">
        <v>0</v>
      </c>
      <c r="AQ326" s="8">
        <v>0</v>
      </c>
      <c r="AR326" s="9">
        <v>8</v>
      </c>
      <c r="AS326" s="8">
        <v>0</v>
      </c>
      <c r="AT326" s="8">
        <v>0</v>
      </c>
      <c r="AU326" s="8">
        <v>0</v>
      </c>
      <c r="AV326" s="8">
        <v>0</v>
      </c>
      <c r="AW326" s="9">
        <v>8</v>
      </c>
      <c r="AX326" s="9" t="s">
        <v>1630</v>
      </c>
      <c r="AY326" s="8"/>
      <c r="AZ326">
        <v>2</v>
      </c>
      <c r="BA326" t="s">
        <v>1631</v>
      </c>
      <c r="BB326" t="s">
        <v>1632</v>
      </c>
      <c r="BC326" t="s">
        <v>1633</v>
      </c>
    </row>
    <row r="327" spans="1:55">
      <c r="A327" s="6">
        <v>45779</v>
      </c>
      <c r="B327" s="7" t="s">
        <v>1634</v>
      </c>
      <c r="C327" t="s">
        <v>205</v>
      </c>
      <c r="D327" t="s">
        <v>1440</v>
      </c>
      <c r="G327" t="s">
        <v>1160</v>
      </c>
      <c r="H327" s="8" t="s">
        <v>208</v>
      </c>
      <c r="I327" s="8" t="s">
        <v>208</v>
      </c>
      <c r="J327" s="8" t="s">
        <v>208</v>
      </c>
      <c r="K327" s="8" t="s">
        <v>208</v>
      </c>
      <c r="L327" s="8" t="s">
        <v>208</v>
      </c>
      <c r="M327" s="8" t="s">
        <v>208</v>
      </c>
      <c r="N327" s="8" t="s">
        <v>208</v>
      </c>
      <c r="O327" s="8" t="s">
        <v>221</v>
      </c>
      <c r="Q327" t="s">
        <v>1635</v>
      </c>
      <c r="R327" t="s">
        <v>1636</v>
      </c>
      <c r="S327" t="s">
        <v>1636</v>
      </c>
      <c r="T327" t="s">
        <v>1634</v>
      </c>
      <c r="U327" t="s">
        <v>1637</v>
      </c>
      <c r="V327" t="s">
        <v>140</v>
      </c>
      <c r="W327" t="s">
        <v>774</v>
      </c>
      <c r="X327" t="s">
        <v>774</v>
      </c>
      <c r="Y327" t="s">
        <v>1082</v>
      </c>
      <c r="Z327" t="s">
        <v>775</v>
      </c>
      <c r="AA327" t="s">
        <v>1164</v>
      </c>
      <c r="AB327" t="s">
        <v>465</v>
      </c>
      <c r="AC327" t="s">
        <v>301</v>
      </c>
      <c r="AD327" t="s">
        <v>1165</v>
      </c>
      <c r="AE327" t="s">
        <v>1166</v>
      </c>
      <c r="AG327" s="8" t="s">
        <v>218</v>
      </c>
      <c r="AH327" t="s">
        <v>219</v>
      </c>
      <c r="AI327" s="9" t="s">
        <v>218</v>
      </c>
      <c r="AJ327" s="9" t="s">
        <v>218</v>
      </c>
      <c r="AK327" t="s">
        <v>234</v>
      </c>
      <c r="AL327" s="8" t="s">
        <v>221</v>
      </c>
      <c r="AM327" s="9" t="s">
        <v>218</v>
      </c>
      <c r="AN327" s="8" t="s">
        <v>221</v>
      </c>
      <c r="AO327" s="8" t="s">
        <v>222</v>
      </c>
      <c r="AP327" s="8">
        <v>0</v>
      </c>
      <c r="AQ327" s="8">
        <v>0</v>
      </c>
      <c r="AR327" s="9">
        <v>4</v>
      </c>
      <c r="AS327" s="8">
        <v>0</v>
      </c>
      <c r="AT327" s="8">
        <v>0</v>
      </c>
      <c r="AU327" s="8">
        <v>0</v>
      </c>
      <c r="AV327" s="8">
        <v>0</v>
      </c>
      <c r="AW327" s="9">
        <v>4</v>
      </c>
      <c r="AX327" s="8"/>
      <c r="AY327" s="8"/>
      <c r="AZ327">
        <v>2</v>
      </c>
      <c r="BA327" t="s">
        <v>1638</v>
      </c>
      <c r="BB327" t="s">
        <v>1639</v>
      </c>
      <c r="BC327" t="s">
        <v>1640</v>
      </c>
    </row>
    <row r="328" spans="1:55">
      <c r="A328" s="6">
        <v>45779</v>
      </c>
      <c r="B328" s="7" t="s">
        <v>677</v>
      </c>
      <c r="C328" t="s">
        <v>205</v>
      </c>
      <c r="D328" t="s">
        <v>1641</v>
      </c>
      <c r="G328" t="s">
        <v>1160</v>
      </c>
      <c r="H328" s="8" t="s">
        <v>208</v>
      </c>
      <c r="I328" s="8" t="s">
        <v>208</v>
      </c>
      <c r="J328" s="8" t="s">
        <v>208</v>
      </c>
      <c r="K328" s="8" t="s">
        <v>208</v>
      </c>
      <c r="L328" s="8" t="s">
        <v>208</v>
      </c>
      <c r="M328" s="8" t="s">
        <v>208</v>
      </c>
      <c r="N328" s="8" t="s">
        <v>208</v>
      </c>
      <c r="O328" s="8" t="s">
        <v>221</v>
      </c>
      <c r="Q328" t="s">
        <v>678</v>
      </c>
      <c r="R328" t="s">
        <v>679</v>
      </c>
      <c r="S328" t="s">
        <v>679</v>
      </c>
      <c r="T328" t="s">
        <v>677</v>
      </c>
      <c r="U328" t="s">
        <v>680</v>
      </c>
      <c r="V328" t="s">
        <v>140</v>
      </c>
      <c r="W328" t="s">
        <v>212</v>
      </c>
      <c r="X328" t="s">
        <v>212</v>
      </c>
      <c r="Y328" t="s">
        <v>275</v>
      </c>
      <c r="Z328" t="s">
        <v>213</v>
      </c>
      <c r="AA328" t="s">
        <v>214</v>
      </c>
      <c r="AB328" t="s">
        <v>277</v>
      </c>
      <c r="AC328" t="s">
        <v>681</v>
      </c>
      <c r="AD328" t="s">
        <v>1112</v>
      </c>
      <c r="AE328" t="s">
        <v>673</v>
      </c>
      <c r="AG328" s="8" t="s">
        <v>218</v>
      </c>
      <c r="AH328" t="s">
        <v>219</v>
      </c>
      <c r="AI328" s="9" t="s">
        <v>218</v>
      </c>
      <c r="AJ328" s="9" t="s">
        <v>218</v>
      </c>
      <c r="AK328" t="s">
        <v>234</v>
      </c>
      <c r="AL328" s="8" t="s">
        <v>221</v>
      </c>
      <c r="AM328" s="9" t="s">
        <v>218</v>
      </c>
      <c r="AN328" s="8" t="s">
        <v>221</v>
      </c>
      <c r="AO328" s="8" t="s">
        <v>222</v>
      </c>
      <c r="AP328" s="8">
        <v>0</v>
      </c>
      <c r="AQ328" s="8">
        <v>0</v>
      </c>
      <c r="AR328" s="9">
        <v>136</v>
      </c>
      <c r="AS328" s="8">
        <v>0</v>
      </c>
      <c r="AT328" s="8">
        <v>0</v>
      </c>
      <c r="AU328" s="8">
        <v>0</v>
      </c>
      <c r="AV328" s="8">
        <v>0</v>
      </c>
      <c r="AW328" s="9">
        <v>136</v>
      </c>
      <c r="AX328" s="8"/>
      <c r="AY328" s="9" t="s">
        <v>1642</v>
      </c>
      <c r="AZ328">
        <v>3</v>
      </c>
      <c r="BA328" t="s">
        <v>1643</v>
      </c>
      <c r="BB328" t="s">
        <v>684</v>
      </c>
      <c r="BC328" t="s">
        <v>685</v>
      </c>
    </row>
    <row r="329" spans="1:55">
      <c r="A329" s="6">
        <v>45779</v>
      </c>
      <c r="B329" s="7" t="s">
        <v>1644</v>
      </c>
      <c r="C329" t="s">
        <v>205</v>
      </c>
      <c r="D329" t="s">
        <v>1641</v>
      </c>
      <c r="G329" t="s">
        <v>1160</v>
      </c>
      <c r="H329" s="8" t="s">
        <v>208</v>
      </c>
      <c r="I329" s="8" t="s">
        <v>208</v>
      </c>
      <c r="J329" s="8" t="s">
        <v>208</v>
      </c>
      <c r="K329" s="8" t="s">
        <v>208</v>
      </c>
      <c r="L329" s="8" t="s">
        <v>208</v>
      </c>
      <c r="M329" s="8" t="s">
        <v>208</v>
      </c>
      <c r="N329" s="8" t="s">
        <v>208</v>
      </c>
      <c r="O329" s="8" t="s">
        <v>221</v>
      </c>
      <c r="Q329" t="s">
        <v>1645</v>
      </c>
      <c r="R329" t="s">
        <v>1646</v>
      </c>
      <c r="S329" t="s">
        <v>1646</v>
      </c>
      <c r="T329" t="s">
        <v>1644</v>
      </c>
      <c r="U329" t="s">
        <v>1647</v>
      </c>
      <c r="V329" t="s">
        <v>140</v>
      </c>
      <c r="W329" t="s">
        <v>212</v>
      </c>
      <c r="X329" t="s">
        <v>212</v>
      </c>
      <c r="Y329" t="s">
        <v>275</v>
      </c>
      <c r="Z329" t="s">
        <v>213</v>
      </c>
      <c r="AA329" t="s">
        <v>214</v>
      </c>
      <c r="AB329" t="s">
        <v>285</v>
      </c>
      <c r="AC329" t="s">
        <v>215</v>
      </c>
      <c r="AD329" t="s">
        <v>1112</v>
      </c>
      <c r="AE329" t="s">
        <v>217</v>
      </c>
      <c r="AG329" s="8" t="s">
        <v>218</v>
      </c>
      <c r="AH329" t="s">
        <v>219</v>
      </c>
      <c r="AI329" s="9" t="s">
        <v>218</v>
      </c>
      <c r="AJ329" s="9" t="s">
        <v>218</v>
      </c>
      <c r="AK329" t="s">
        <v>234</v>
      </c>
      <c r="AL329" s="8" t="s">
        <v>221</v>
      </c>
      <c r="AM329" s="9" t="s">
        <v>218</v>
      </c>
      <c r="AN329" s="8" t="s">
        <v>221</v>
      </c>
      <c r="AO329" s="8" t="s">
        <v>222</v>
      </c>
      <c r="AP329" s="8">
        <v>0</v>
      </c>
      <c r="AQ329" s="8">
        <v>0</v>
      </c>
      <c r="AR329" s="9">
        <v>1</v>
      </c>
      <c r="AS329" s="8">
        <v>0</v>
      </c>
      <c r="AT329" s="8">
        <v>0</v>
      </c>
      <c r="AU329" s="8">
        <v>0</v>
      </c>
      <c r="AV329" s="8">
        <v>0</v>
      </c>
      <c r="AW329" s="9">
        <v>1</v>
      </c>
      <c r="AX329" s="8"/>
      <c r="AY329" s="9" t="s">
        <v>1648</v>
      </c>
      <c r="AZ329">
        <v>2</v>
      </c>
      <c r="BA329" t="s">
        <v>1649</v>
      </c>
      <c r="BB329" t="s">
        <v>1650</v>
      </c>
      <c r="BC329" t="s">
        <v>1651</v>
      </c>
    </row>
    <row r="330" spans="1:55">
      <c r="A330" s="6">
        <v>45779</v>
      </c>
      <c r="B330" s="7" t="s">
        <v>1652</v>
      </c>
      <c r="C330" t="s">
        <v>205</v>
      </c>
      <c r="D330" t="s">
        <v>1641</v>
      </c>
      <c r="G330" t="s">
        <v>1160</v>
      </c>
      <c r="H330" s="8" t="s">
        <v>208</v>
      </c>
      <c r="I330" s="8" t="s">
        <v>208</v>
      </c>
      <c r="J330" s="8" t="s">
        <v>208</v>
      </c>
      <c r="K330" s="8" t="s">
        <v>208</v>
      </c>
      <c r="L330" s="8" t="s">
        <v>208</v>
      </c>
      <c r="M330" s="8" t="s">
        <v>208</v>
      </c>
      <c r="N330" s="8" t="s">
        <v>208</v>
      </c>
      <c r="O330" s="8" t="s">
        <v>221</v>
      </c>
      <c r="P330" t="s">
        <v>1653</v>
      </c>
      <c r="Q330" t="s">
        <v>1654</v>
      </c>
      <c r="R330" t="s">
        <v>1655</v>
      </c>
      <c r="S330" t="s">
        <v>1655</v>
      </c>
      <c r="T330" t="s">
        <v>1652</v>
      </c>
      <c r="U330" t="s">
        <v>1656</v>
      </c>
      <c r="V330" t="s">
        <v>126</v>
      </c>
      <c r="W330" t="s">
        <v>232</v>
      </c>
      <c r="X330" t="s">
        <v>774</v>
      </c>
      <c r="Y330" t="s">
        <v>275</v>
      </c>
      <c r="Z330" t="s">
        <v>775</v>
      </c>
      <c r="AA330" t="s">
        <v>214</v>
      </c>
      <c r="AB330" s="9" t="s">
        <v>242</v>
      </c>
      <c r="AC330" s="9" t="s">
        <v>312</v>
      </c>
      <c r="AD330" t="s">
        <v>1112</v>
      </c>
      <c r="AE330" t="s">
        <v>1166</v>
      </c>
      <c r="AG330" s="8" t="s">
        <v>218</v>
      </c>
      <c r="AH330" t="s">
        <v>219</v>
      </c>
      <c r="AI330" s="9" t="s">
        <v>218</v>
      </c>
      <c r="AJ330" s="9" t="s">
        <v>218</v>
      </c>
      <c r="AK330" t="s">
        <v>1657</v>
      </c>
      <c r="AL330" s="8" t="s">
        <v>221</v>
      </c>
      <c r="AM330" s="9" t="s">
        <v>218</v>
      </c>
      <c r="AN330" s="8" t="s">
        <v>221</v>
      </c>
      <c r="AO330" s="8" t="s">
        <v>222</v>
      </c>
      <c r="AP330" s="8">
        <v>0</v>
      </c>
      <c r="AQ330" s="8">
        <v>0</v>
      </c>
      <c r="AR330" s="8">
        <v>0</v>
      </c>
      <c r="AS330" s="8">
        <v>0</v>
      </c>
      <c r="AT330" s="8">
        <v>0</v>
      </c>
      <c r="AU330" s="8">
        <v>0</v>
      </c>
      <c r="AV330" s="8">
        <v>0</v>
      </c>
      <c r="AW330" s="8">
        <v>0</v>
      </c>
      <c r="AX330" s="8"/>
      <c r="AY330" s="8"/>
      <c r="AZ330">
        <v>2</v>
      </c>
      <c r="BA330" t="s">
        <v>1658</v>
      </c>
      <c r="BB330" t="s">
        <v>1659</v>
      </c>
      <c r="BC330" t="s">
        <v>1660</v>
      </c>
    </row>
    <row r="331" spans="1:55">
      <c r="A331" s="6">
        <v>45779</v>
      </c>
      <c r="B331" s="7" t="s">
        <v>1661</v>
      </c>
      <c r="C331" t="s">
        <v>205</v>
      </c>
      <c r="D331" t="s">
        <v>1641</v>
      </c>
      <c r="G331" t="s">
        <v>1160</v>
      </c>
      <c r="H331" s="8" t="s">
        <v>208</v>
      </c>
      <c r="I331" s="8" t="s">
        <v>208</v>
      </c>
      <c r="J331" s="8" t="s">
        <v>208</v>
      </c>
      <c r="K331" s="8" t="s">
        <v>208</v>
      </c>
      <c r="L331" s="8" t="s">
        <v>208</v>
      </c>
      <c r="M331" s="8" t="s">
        <v>208</v>
      </c>
      <c r="N331" s="8" t="s">
        <v>208</v>
      </c>
      <c r="O331" s="8" t="s">
        <v>221</v>
      </c>
      <c r="Q331" t="s">
        <v>1662</v>
      </c>
      <c r="R331" t="s">
        <v>1663</v>
      </c>
      <c r="S331" t="s">
        <v>1663</v>
      </c>
      <c r="T331" t="s">
        <v>1661</v>
      </c>
      <c r="U331" t="s">
        <v>1664</v>
      </c>
      <c r="V331" t="s">
        <v>140</v>
      </c>
      <c r="W331" t="s">
        <v>774</v>
      </c>
      <c r="Y331" t="s">
        <v>1082</v>
      </c>
      <c r="AA331" t="s">
        <v>1164</v>
      </c>
      <c r="AB331" t="s">
        <v>301</v>
      </c>
      <c r="AD331" t="s">
        <v>1165</v>
      </c>
      <c r="AG331" s="8" t="s">
        <v>218</v>
      </c>
      <c r="AI331" s="9" t="s">
        <v>218</v>
      </c>
      <c r="AJ331" s="9" t="s">
        <v>218</v>
      </c>
      <c r="AK331" t="s">
        <v>1665</v>
      </c>
      <c r="AL331" s="8" t="s">
        <v>221</v>
      </c>
      <c r="AM331" s="9" t="s">
        <v>218</v>
      </c>
      <c r="AN331" s="8" t="s">
        <v>221</v>
      </c>
      <c r="AO331" s="8" t="s">
        <v>222</v>
      </c>
      <c r="AP331" s="8">
        <v>0</v>
      </c>
      <c r="AQ331" s="8">
        <v>0</v>
      </c>
      <c r="AR331" s="8">
        <v>0</v>
      </c>
      <c r="AS331" s="8">
        <v>0</v>
      </c>
      <c r="AT331" s="8">
        <v>0</v>
      </c>
      <c r="AU331" s="8">
        <v>0</v>
      </c>
      <c r="AV331" s="8">
        <v>0</v>
      </c>
      <c r="AW331" s="8">
        <v>0</v>
      </c>
      <c r="AX331" s="8"/>
      <c r="AY331" s="8"/>
      <c r="AZ331">
        <v>0</v>
      </c>
      <c r="BC331" t="s">
        <v>1666</v>
      </c>
    </row>
    <row r="332" spans="1:55">
      <c r="A332" s="6">
        <v>45779</v>
      </c>
      <c r="B332" s="7" t="s">
        <v>1667</v>
      </c>
      <c r="C332" t="s">
        <v>205</v>
      </c>
      <c r="D332" t="s">
        <v>1641</v>
      </c>
      <c r="G332" t="s">
        <v>1160</v>
      </c>
      <c r="H332" s="8" t="s">
        <v>208</v>
      </c>
      <c r="I332" s="8" t="s">
        <v>208</v>
      </c>
      <c r="J332" s="8" t="s">
        <v>208</v>
      </c>
      <c r="K332" s="8" t="s">
        <v>208</v>
      </c>
      <c r="L332" s="8" t="s">
        <v>208</v>
      </c>
      <c r="M332" s="8" t="s">
        <v>208</v>
      </c>
      <c r="N332" s="8" t="s">
        <v>208</v>
      </c>
      <c r="O332" s="8" t="s">
        <v>221</v>
      </c>
      <c r="Q332" t="s">
        <v>1668</v>
      </c>
      <c r="R332" t="s">
        <v>1669</v>
      </c>
      <c r="S332" t="s">
        <v>1669</v>
      </c>
      <c r="T332" t="s">
        <v>1667</v>
      </c>
      <c r="U332" t="s">
        <v>1670</v>
      </c>
      <c r="V332" t="s">
        <v>140</v>
      </c>
      <c r="W332" t="s">
        <v>774</v>
      </c>
      <c r="X332" t="s">
        <v>774</v>
      </c>
      <c r="Y332" t="s">
        <v>1082</v>
      </c>
      <c r="Z332" t="s">
        <v>775</v>
      </c>
      <c r="AA332" t="s">
        <v>1164</v>
      </c>
      <c r="AB332" t="s">
        <v>301</v>
      </c>
      <c r="AC332" t="s">
        <v>312</v>
      </c>
      <c r="AD332" t="s">
        <v>1165</v>
      </c>
      <c r="AE332" t="s">
        <v>1166</v>
      </c>
      <c r="AG332" s="8" t="s">
        <v>218</v>
      </c>
      <c r="AH332" t="s">
        <v>219</v>
      </c>
      <c r="AI332" s="9" t="s">
        <v>218</v>
      </c>
      <c r="AJ332" s="9" t="s">
        <v>218</v>
      </c>
      <c r="AK332" t="s">
        <v>1671</v>
      </c>
      <c r="AL332" s="8" t="s">
        <v>221</v>
      </c>
      <c r="AM332" s="9" t="s">
        <v>218</v>
      </c>
      <c r="AN332" s="8" t="s">
        <v>221</v>
      </c>
      <c r="AO332" s="8" t="s">
        <v>222</v>
      </c>
      <c r="AP332" s="8">
        <v>0</v>
      </c>
      <c r="AQ332" s="8">
        <v>0</v>
      </c>
      <c r="AR332" s="8">
        <v>0</v>
      </c>
      <c r="AS332" s="8">
        <v>0</v>
      </c>
      <c r="AT332" s="8">
        <v>0</v>
      </c>
      <c r="AU332" s="8">
        <v>0</v>
      </c>
      <c r="AV332" s="8">
        <v>0</v>
      </c>
      <c r="AW332" s="8">
        <v>0</v>
      </c>
      <c r="AX332" s="8"/>
      <c r="AY332" s="8"/>
      <c r="AZ332">
        <v>3</v>
      </c>
      <c r="BA332" t="s">
        <v>1672</v>
      </c>
      <c r="BB332" t="s">
        <v>1673</v>
      </c>
      <c r="BC332" t="s">
        <v>1674</v>
      </c>
    </row>
    <row r="333" spans="1:55">
      <c r="A333" s="6">
        <v>45779</v>
      </c>
      <c r="B333" s="7" t="s">
        <v>1675</v>
      </c>
      <c r="C333" t="s">
        <v>205</v>
      </c>
      <c r="D333" t="s">
        <v>1641</v>
      </c>
      <c r="G333" t="s">
        <v>1160</v>
      </c>
      <c r="H333" s="8" t="s">
        <v>208</v>
      </c>
      <c r="I333" s="8" t="s">
        <v>208</v>
      </c>
      <c r="J333" s="8" t="s">
        <v>208</v>
      </c>
      <c r="K333" s="8" t="s">
        <v>208</v>
      </c>
      <c r="L333" s="8" t="s">
        <v>208</v>
      </c>
      <c r="M333" s="8" t="s">
        <v>208</v>
      </c>
      <c r="N333" s="8" t="s">
        <v>208</v>
      </c>
      <c r="O333" s="8" t="s">
        <v>221</v>
      </c>
      <c r="Q333" t="s">
        <v>1676</v>
      </c>
      <c r="R333" t="s">
        <v>1677</v>
      </c>
      <c r="S333" t="s">
        <v>1677</v>
      </c>
      <c r="T333" t="s">
        <v>1675</v>
      </c>
      <c r="U333" t="s">
        <v>1678</v>
      </c>
      <c r="V333" t="s">
        <v>140</v>
      </c>
      <c r="W333" t="s">
        <v>774</v>
      </c>
      <c r="Y333" t="s">
        <v>1082</v>
      </c>
      <c r="AA333" t="s">
        <v>1164</v>
      </c>
      <c r="AB333" t="s">
        <v>312</v>
      </c>
      <c r="AD333" t="s">
        <v>1165</v>
      </c>
      <c r="AG333" s="8" t="s">
        <v>218</v>
      </c>
      <c r="AI333" s="9" t="s">
        <v>218</v>
      </c>
      <c r="AJ333" s="9" t="s">
        <v>218</v>
      </c>
      <c r="AK333" t="s">
        <v>1679</v>
      </c>
      <c r="AL333" s="8" t="s">
        <v>221</v>
      </c>
      <c r="AM333" s="9" t="s">
        <v>218</v>
      </c>
      <c r="AN333" s="8" t="s">
        <v>221</v>
      </c>
      <c r="AO333" s="8" t="s">
        <v>222</v>
      </c>
      <c r="AP333" s="8">
        <v>0</v>
      </c>
      <c r="AQ333" s="8">
        <v>0</v>
      </c>
      <c r="AR333" s="8">
        <v>0</v>
      </c>
      <c r="AS333" s="8">
        <v>0</v>
      </c>
      <c r="AT333" s="8">
        <v>0</v>
      </c>
      <c r="AU333" s="8">
        <v>0</v>
      </c>
      <c r="AV333" s="8">
        <v>0</v>
      </c>
      <c r="AW333" s="8">
        <v>0</v>
      </c>
      <c r="AX333" s="8"/>
      <c r="AY333" s="8"/>
      <c r="AZ333">
        <v>0</v>
      </c>
      <c r="BC333" t="s">
        <v>1680</v>
      </c>
    </row>
    <row r="334" spans="1:55">
      <c r="A334" s="6">
        <v>45779</v>
      </c>
      <c r="B334" s="7" t="s">
        <v>1681</v>
      </c>
      <c r="C334" t="s">
        <v>205</v>
      </c>
      <c r="D334" t="s">
        <v>1641</v>
      </c>
      <c r="G334" t="s">
        <v>1160</v>
      </c>
      <c r="H334" s="8" t="s">
        <v>208</v>
      </c>
      <c r="I334" s="8" t="s">
        <v>208</v>
      </c>
      <c r="J334" s="8" t="s">
        <v>208</v>
      </c>
      <c r="K334" s="8" t="s">
        <v>208</v>
      </c>
      <c r="L334" s="8" t="s">
        <v>208</v>
      </c>
      <c r="M334" s="8" t="s">
        <v>208</v>
      </c>
      <c r="N334" s="8" t="s">
        <v>208</v>
      </c>
      <c r="O334" s="8" t="s">
        <v>221</v>
      </c>
      <c r="Q334" t="s">
        <v>1682</v>
      </c>
      <c r="R334" t="s">
        <v>1683</v>
      </c>
      <c r="S334" t="s">
        <v>1683</v>
      </c>
      <c r="T334" t="s">
        <v>1681</v>
      </c>
      <c r="U334" t="s">
        <v>1684</v>
      </c>
      <c r="V334" t="s">
        <v>140</v>
      </c>
      <c r="W334" t="s">
        <v>774</v>
      </c>
      <c r="X334" t="s">
        <v>774</v>
      </c>
      <c r="Y334" t="s">
        <v>1082</v>
      </c>
      <c r="Z334" t="s">
        <v>775</v>
      </c>
      <c r="AA334" t="s">
        <v>1164</v>
      </c>
      <c r="AB334" t="s">
        <v>425</v>
      </c>
      <c r="AC334" t="s">
        <v>425</v>
      </c>
      <c r="AD334" t="s">
        <v>1165</v>
      </c>
      <c r="AE334" t="s">
        <v>1166</v>
      </c>
      <c r="AG334" s="8" t="s">
        <v>218</v>
      </c>
      <c r="AH334" t="s">
        <v>219</v>
      </c>
      <c r="AI334" s="9" t="s">
        <v>218</v>
      </c>
      <c r="AJ334" s="9" t="s">
        <v>218</v>
      </c>
      <c r="AK334" t="s">
        <v>1657</v>
      </c>
      <c r="AL334" s="8" t="s">
        <v>221</v>
      </c>
      <c r="AM334" s="9" t="s">
        <v>218</v>
      </c>
      <c r="AN334" s="8" t="s">
        <v>221</v>
      </c>
      <c r="AO334" s="8" t="s">
        <v>222</v>
      </c>
      <c r="AP334" s="8">
        <v>0</v>
      </c>
      <c r="AQ334" s="8">
        <v>0</v>
      </c>
      <c r="AR334" s="9">
        <v>4</v>
      </c>
      <c r="AS334" s="8">
        <v>0</v>
      </c>
      <c r="AT334" s="8">
        <v>0</v>
      </c>
      <c r="AU334" s="8">
        <v>0</v>
      </c>
      <c r="AV334" s="8">
        <v>0</v>
      </c>
      <c r="AW334" s="9">
        <v>4</v>
      </c>
      <c r="AX334" s="8"/>
      <c r="AY334" s="8"/>
      <c r="AZ334">
        <v>2</v>
      </c>
      <c r="BA334" t="s">
        <v>1685</v>
      </c>
      <c r="BB334" t="s">
        <v>1686</v>
      </c>
      <c r="BC334" t="s">
        <v>1687</v>
      </c>
    </row>
    <row r="335" spans="1:55">
      <c r="A335" s="6">
        <v>45779</v>
      </c>
      <c r="B335" s="7" t="s">
        <v>1688</v>
      </c>
      <c r="C335" t="s">
        <v>291</v>
      </c>
      <c r="D335" t="s">
        <v>1689</v>
      </c>
      <c r="G335" t="s">
        <v>754</v>
      </c>
      <c r="H335" s="8" t="s">
        <v>208</v>
      </c>
      <c r="I335" s="8" t="s">
        <v>208</v>
      </c>
      <c r="J335" s="8" t="s">
        <v>208</v>
      </c>
      <c r="K335" s="8" t="s">
        <v>208</v>
      </c>
      <c r="L335" s="8" t="s">
        <v>208</v>
      </c>
      <c r="M335" s="8" t="s">
        <v>208</v>
      </c>
      <c r="N335" s="8" t="s">
        <v>208</v>
      </c>
      <c r="O335" s="8" t="s">
        <v>208</v>
      </c>
      <c r="Q335" t="s">
        <v>1690</v>
      </c>
      <c r="R335" t="s">
        <v>1691</v>
      </c>
      <c r="S335" t="s">
        <v>1691</v>
      </c>
      <c r="T335" t="s">
        <v>1688</v>
      </c>
      <c r="U335" t="s">
        <v>1692</v>
      </c>
      <c r="V335" t="s">
        <v>1693</v>
      </c>
      <c r="W335" t="s">
        <v>298</v>
      </c>
      <c r="X335" t="s">
        <v>298</v>
      </c>
      <c r="Y335" t="s">
        <v>1103</v>
      </c>
      <c r="Z335" t="s">
        <v>299</v>
      </c>
      <c r="AA335" t="s">
        <v>1694</v>
      </c>
      <c r="AB335" t="s">
        <v>391</v>
      </c>
      <c r="AC335" t="s">
        <v>425</v>
      </c>
      <c r="AD335" t="s">
        <v>1084</v>
      </c>
      <c r="AE335" t="s">
        <v>1694</v>
      </c>
      <c r="AG335" s="8" t="s">
        <v>218</v>
      </c>
      <c r="AH335" t="s">
        <v>302</v>
      </c>
      <c r="AI335" s="9" t="s">
        <v>218</v>
      </c>
      <c r="AJ335" s="9" t="s">
        <v>218</v>
      </c>
      <c r="AK335" t="s">
        <v>234</v>
      </c>
      <c r="AL335" s="8" t="s">
        <v>221</v>
      </c>
      <c r="AM335" s="9" t="s">
        <v>218</v>
      </c>
      <c r="AN335" s="8" t="s">
        <v>221</v>
      </c>
      <c r="AO335" s="8" t="s">
        <v>222</v>
      </c>
      <c r="AP335" s="8">
        <v>0</v>
      </c>
      <c r="AQ335" s="8">
        <v>0</v>
      </c>
      <c r="AR335" s="8">
        <v>0</v>
      </c>
      <c r="AS335" s="8">
        <v>0</v>
      </c>
      <c r="AT335" s="8">
        <v>0</v>
      </c>
      <c r="AU335" s="8">
        <v>0</v>
      </c>
      <c r="AV335" s="8">
        <v>0</v>
      </c>
      <c r="AW335" s="8">
        <v>0</v>
      </c>
      <c r="AX335" s="8"/>
      <c r="AY335" s="8"/>
      <c r="AZ335">
        <v>4</v>
      </c>
      <c r="BA335" t="s">
        <v>1695</v>
      </c>
      <c r="BB335" t="s">
        <v>1696</v>
      </c>
      <c r="BC335" t="s">
        <v>1697</v>
      </c>
    </row>
    <row r="336" spans="1:55">
      <c r="A336" s="6">
        <v>45779</v>
      </c>
      <c r="B336" s="7" t="s">
        <v>1698</v>
      </c>
      <c r="C336" t="s">
        <v>668</v>
      </c>
      <c r="D336" t="s">
        <v>1075</v>
      </c>
      <c r="E336" t="s">
        <v>1075</v>
      </c>
      <c r="F336" t="s">
        <v>1076</v>
      </c>
      <c r="G336" t="s">
        <v>1077</v>
      </c>
      <c r="H336" s="8" t="s">
        <v>221</v>
      </c>
      <c r="I336" s="8" t="s">
        <v>221</v>
      </c>
      <c r="J336" s="8" t="s">
        <v>221</v>
      </c>
      <c r="K336" s="8" t="s">
        <v>221</v>
      </c>
      <c r="L336" s="8" t="s">
        <v>221</v>
      </c>
      <c r="M336" s="8" t="s">
        <v>208</v>
      </c>
      <c r="N336" s="8" t="s">
        <v>221</v>
      </c>
      <c r="O336" s="8" t="s">
        <v>221</v>
      </c>
      <c r="Q336" t="s">
        <v>1699</v>
      </c>
      <c r="R336" t="s">
        <v>1700</v>
      </c>
      <c r="S336" t="s">
        <v>1700</v>
      </c>
      <c r="T336" t="s">
        <v>1698</v>
      </c>
      <c r="U336" t="s">
        <v>1701</v>
      </c>
      <c r="V336" t="s">
        <v>1702</v>
      </c>
      <c r="W336" t="s">
        <v>774</v>
      </c>
      <c r="X336" t="s">
        <v>774</v>
      </c>
      <c r="Y336" t="s">
        <v>275</v>
      </c>
      <c r="Z336" t="s">
        <v>775</v>
      </c>
      <c r="AA336" t="s">
        <v>11</v>
      </c>
      <c r="AB336" t="s">
        <v>425</v>
      </c>
      <c r="AC336" t="s">
        <v>465</v>
      </c>
      <c r="AD336" t="s">
        <v>1444</v>
      </c>
      <c r="AE336" t="s">
        <v>1703</v>
      </c>
      <c r="AG336" s="8" t="s">
        <v>218</v>
      </c>
      <c r="AH336" t="s">
        <v>219</v>
      </c>
      <c r="AI336" s="9" t="s">
        <v>218</v>
      </c>
      <c r="AJ336" s="9" t="s">
        <v>218</v>
      </c>
      <c r="AK336" t="s">
        <v>1704</v>
      </c>
      <c r="AL336" s="8" t="s">
        <v>221</v>
      </c>
      <c r="AM336" s="9" t="s">
        <v>218</v>
      </c>
      <c r="AN336" s="8" t="s">
        <v>221</v>
      </c>
      <c r="AO336" s="8" t="s">
        <v>222</v>
      </c>
      <c r="AP336" s="8">
        <v>0</v>
      </c>
      <c r="AQ336" s="8">
        <v>0</v>
      </c>
      <c r="AR336" s="8">
        <v>0</v>
      </c>
      <c r="AS336" s="8">
        <v>0</v>
      </c>
      <c r="AT336" s="8">
        <v>0</v>
      </c>
      <c r="AU336" s="8">
        <v>0</v>
      </c>
      <c r="AV336" s="8">
        <v>0</v>
      </c>
      <c r="AW336" s="8">
        <v>0</v>
      </c>
      <c r="AX336" s="8"/>
      <c r="AY336" s="8"/>
      <c r="BB336" t="s">
        <v>1705</v>
      </c>
      <c r="BC336" t="s">
        <v>1706</v>
      </c>
    </row>
    <row r="337" spans="1:55">
      <c r="A337" s="6">
        <v>45793</v>
      </c>
      <c r="B337" s="7" t="s">
        <v>1707</v>
      </c>
      <c r="C337" t="s">
        <v>387</v>
      </c>
      <c r="D337" t="s">
        <v>43</v>
      </c>
      <c r="G337" t="s">
        <v>1077</v>
      </c>
      <c r="H337" s="8" t="s">
        <v>221</v>
      </c>
      <c r="I337" s="8" t="s">
        <v>221</v>
      </c>
      <c r="J337" s="8" t="s">
        <v>221</v>
      </c>
      <c r="K337" s="8" t="s">
        <v>221</v>
      </c>
      <c r="L337" s="8" t="s">
        <v>208</v>
      </c>
      <c r="M337" s="8" t="s">
        <v>208</v>
      </c>
      <c r="N337" s="8" t="s">
        <v>221</v>
      </c>
      <c r="O337" s="8" t="s">
        <v>221</v>
      </c>
      <c r="Q337" t="s">
        <v>1708</v>
      </c>
      <c r="R337" t="s">
        <v>1709</v>
      </c>
      <c r="S337" t="s">
        <v>1709</v>
      </c>
      <c r="T337" t="s">
        <v>1707</v>
      </c>
      <c r="U337" t="s">
        <v>1710</v>
      </c>
      <c r="V337" t="s">
        <v>134</v>
      </c>
      <c r="W337" t="s">
        <v>298</v>
      </c>
      <c r="X337" t="s">
        <v>298</v>
      </c>
      <c r="Y337" t="s">
        <v>1103</v>
      </c>
      <c r="Z337" t="s">
        <v>299</v>
      </c>
      <c r="AA337" t="s">
        <v>1711</v>
      </c>
      <c r="AB337" t="s">
        <v>465</v>
      </c>
      <c r="AC337" t="s">
        <v>301</v>
      </c>
      <c r="AD337" t="s">
        <v>1712</v>
      </c>
      <c r="AE337" t="s">
        <v>1711</v>
      </c>
      <c r="AF337" s="9" t="s">
        <v>1154</v>
      </c>
      <c r="AG337" s="9" t="s">
        <v>221</v>
      </c>
      <c r="AH337" t="s">
        <v>302</v>
      </c>
      <c r="AI337" s="9" t="s">
        <v>218</v>
      </c>
      <c r="AJ337" s="9" t="s">
        <v>218</v>
      </c>
      <c r="AK337" t="s">
        <v>234</v>
      </c>
      <c r="AL337" s="8" t="s">
        <v>221</v>
      </c>
      <c r="AM337" s="9" t="s">
        <v>218</v>
      </c>
      <c r="AN337" s="8" t="s">
        <v>221</v>
      </c>
      <c r="AO337" s="8" t="s">
        <v>222</v>
      </c>
      <c r="AP337" s="8">
        <v>0</v>
      </c>
      <c r="AQ337" s="8">
        <v>0</v>
      </c>
      <c r="AR337" s="9">
        <v>7</v>
      </c>
      <c r="AS337" s="8">
        <v>0</v>
      </c>
      <c r="AT337" s="8">
        <v>0</v>
      </c>
      <c r="AU337" s="8">
        <v>0</v>
      </c>
      <c r="AV337" s="8">
        <v>0</v>
      </c>
      <c r="AW337" s="9">
        <v>7</v>
      </c>
      <c r="AX337" s="9" t="s">
        <v>1713</v>
      </c>
      <c r="AY337" s="8"/>
      <c r="AZ337">
        <v>6</v>
      </c>
      <c r="BA337" t="s">
        <v>1714</v>
      </c>
      <c r="BB337" t="s">
        <v>1715</v>
      </c>
      <c r="BC337" t="s">
        <v>1716</v>
      </c>
    </row>
    <row r="338" spans="1:55">
      <c r="A338" s="6">
        <v>45793</v>
      </c>
      <c r="B338" s="7" t="s">
        <v>1717</v>
      </c>
      <c r="C338" t="s">
        <v>387</v>
      </c>
      <c r="D338" t="s">
        <v>43</v>
      </c>
      <c r="G338" t="s">
        <v>1077</v>
      </c>
      <c r="H338" s="8" t="s">
        <v>221</v>
      </c>
      <c r="I338" s="8" t="s">
        <v>221</v>
      </c>
      <c r="J338" s="8" t="s">
        <v>221</v>
      </c>
      <c r="K338" s="8" t="s">
        <v>221</v>
      </c>
      <c r="L338" s="8" t="s">
        <v>208</v>
      </c>
      <c r="M338" s="8" t="s">
        <v>208</v>
      </c>
      <c r="N338" s="8" t="s">
        <v>221</v>
      </c>
      <c r="O338" s="8" t="s">
        <v>221</v>
      </c>
      <c r="Q338" t="s">
        <v>1718</v>
      </c>
      <c r="R338" t="s">
        <v>1719</v>
      </c>
      <c r="S338" t="s">
        <v>1719</v>
      </c>
      <c r="T338" t="s">
        <v>1717</v>
      </c>
      <c r="U338" t="s">
        <v>1720</v>
      </c>
      <c r="V338" t="s">
        <v>131</v>
      </c>
      <c r="W338" t="s">
        <v>298</v>
      </c>
      <c r="X338" t="s">
        <v>298</v>
      </c>
      <c r="Y338" t="s">
        <v>1103</v>
      </c>
      <c r="Z338" t="s">
        <v>299</v>
      </c>
      <c r="AA338" t="s">
        <v>1721</v>
      </c>
      <c r="AB338" t="s">
        <v>425</v>
      </c>
      <c r="AC338" t="s">
        <v>465</v>
      </c>
      <c r="AD338" t="s">
        <v>1712</v>
      </c>
      <c r="AE338" t="s">
        <v>1722</v>
      </c>
      <c r="AG338" s="8" t="s">
        <v>218</v>
      </c>
      <c r="AH338" t="s">
        <v>302</v>
      </c>
      <c r="AI338" s="9" t="s">
        <v>218</v>
      </c>
      <c r="AJ338" s="9" t="s">
        <v>218</v>
      </c>
      <c r="AK338" t="s">
        <v>234</v>
      </c>
      <c r="AL338" s="8" t="s">
        <v>221</v>
      </c>
      <c r="AM338" s="9" t="s">
        <v>218</v>
      </c>
      <c r="AN338" s="8" t="s">
        <v>221</v>
      </c>
      <c r="AO338" s="8" t="s">
        <v>222</v>
      </c>
      <c r="AP338" s="8">
        <v>0</v>
      </c>
      <c r="AQ338" s="8">
        <v>0</v>
      </c>
      <c r="AR338" s="9">
        <v>21</v>
      </c>
      <c r="AS338" s="8">
        <v>0</v>
      </c>
      <c r="AT338" s="8">
        <v>0</v>
      </c>
      <c r="AU338" s="8">
        <v>0</v>
      </c>
      <c r="AV338" s="8">
        <v>0</v>
      </c>
      <c r="AW338" s="9">
        <v>21</v>
      </c>
      <c r="AX338" s="9" t="s">
        <v>1723</v>
      </c>
      <c r="AY338" s="8"/>
      <c r="AZ338">
        <v>3</v>
      </c>
      <c r="BA338" t="s">
        <v>1724</v>
      </c>
      <c r="BB338" t="s">
        <v>1725</v>
      </c>
      <c r="BC338" t="s">
        <v>1726</v>
      </c>
    </row>
    <row r="339" spans="1:55">
      <c r="A339" s="6">
        <v>45793</v>
      </c>
      <c r="B339" s="7" t="s">
        <v>1727</v>
      </c>
      <c r="C339" t="s">
        <v>387</v>
      </c>
      <c r="D339" t="s">
        <v>43</v>
      </c>
      <c r="G339" t="s">
        <v>1077</v>
      </c>
      <c r="H339" s="8" t="s">
        <v>221</v>
      </c>
      <c r="I339" s="8" t="s">
        <v>221</v>
      </c>
      <c r="J339" s="8" t="s">
        <v>221</v>
      </c>
      <c r="K339" s="8" t="s">
        <v>221</v>
      </c>
      <c r="L339" s="8" t="s">
        <v>208</v>
      </c>
      <c r="M339" s="8" t="s">
        <v>208</v>
      </c>
      <c r="N339" s="8" t="s">
        <v>221</v>
      </c>
      <c r="O339" s="8" t="s">
        <v>221</v>
      </c>
      <c r="Q339" t="s">
        <v>1728</v>
      </c>
      <c r="R339" t="s">
        <v>1729</v>
      </c>
      <c r="S339" t="s">
        <v>1729</v>
      </c>
      <c r="T339" t="s">
        <v>1727</v>
      </c>
      <c r="U339" t="s">
        <v>1730</v>
      </c>
      <c r="V339" t="s">
        <v>131</v>
      </c>
      <c r="W339" t="s">
        <v>298</v>
      </c>
      <c r="X339" t="s">
        <v>298</v>
      </c>
      <c r="Y339" t="s">
        <v>1103</v>
      </c>
      <c r="Z339" t="s">
        <v>299</v>
      </c>
      <c r="AA339" t="s">
        <v>1721</v>
      </c>
      <c r="AB339" t="s">
        <v>312</v>
      </c>
      <c r="AC339" t="s">
        <v>312</v>
      </c>
      <c r="AD339" t="s">
        <v>1712</v>
      </c>
      <c r="AE339" t="s">
        <v>1731</v>
      </c>
      <c r="AG339" s="8" t="s">
        <v>218</v>
      </c>
      <c r="AH339" t="s">
        <v>302</v>
      </c>
      <c r="AI339" s="9" t="s">
        <v>218</v>
      </c>
      <c r="AJ339" s="9" t="s">
        <v>218</v>
      </c>
      <c r="AK339" t="s">
        <v>1732</v>
      </c>
      <c r="AL339" s="8" t="s">
        <v>221</v>
      </c>
      <c r="AM339" s="9" t="s">
        <v>218</v>
      </c>
      <c r="AN339" s="8" t="s">
        <v>221</v>
      </c>
      <c r="AO339" s="8" t="s">
        <v>222</v>
      </c>
      <c r="AP339" s="8">
        <v>0</v>
      </c>
      <c r="AQ339" s="8">
        <v>0</v>
      </c>
      <c r="AR339" s="8">
        <v>0</v>
      </c>
      <c r="AS339" s="8">
        <v>0</v>
      </c>
      <c r="AT339" s="8">
        <v>0</v>
      </c>
      <c r="AU339" s="8">
        <v>0</v>
      </c>
      <c r="AV339" s="8">
        <v>0</v>
      </c>
      <c r="AW339" s="8">
        <v>0</v>
      </c>
      <c r="AX339" s="8"/>
      <c r="AY339" s="8"/>
      <c r="AZ339">
        <v>1</v>
      </c>
      <c r="BA339" t="s">
        <v>1733</v>
      </c>
      <c r="BB339" t="s">
        <v>1734</v>
      </c>
      <c r="BC339" t="s">
        <v>1735</v>
      </c>
    </row>
    <row r="340" spans="1:55">
      <c r="A340" s="6">
        <v>45793</v>
      </c>
      <c r="B340" s="7" t="s">
        <v>1736</v>
      </c>
      <c r="C340" t="s">
        <v>387</v>
      </c>
      <c r="D340" t="s">
        <v>43</v>
      </c>
      <c r="G340" t="s">
        <v>1077</v>
      </c>
      <c r="H340" s="8" t="s">
        <v>221</v>
      </c>
      <c r="I340" s="8" t="s">
        <v>221</v>
      </c>
      <c r="J340" s="8" t="s">
        <v>221</v>
      </c>
      <c r="K340" s="8" t="s">
        <v>221</v>
      </c>
      <c r="L340" s="8" t="s">
        <v>208</v>
      </c>
      <c r="M340" s="8" t="s">
        <v>208</v>
      </c>
      <c r="N340" s="8" t="s">
        <v>221</v>
      </c>
      <c r="O340" s="8" t="s">
        <v>221</v>
      </c>
      <c r="Q340" t="s">
        <v>1737</v>
      </c>
      <c r="R340" t="s">
        <v>1738</v>
      </c>
      <c r="S340" t="s">
        <v>1738</v>
      </c>
      <c r="T340" t="s">
        <v>1736</v>
      </c>
      <c r="U340" t="s">
        <v>1739</v>
      </c>
      <c r="V340" t="s">
        <v>1740</v>
      </c>
      <c r="W340" t="s">
        <v>298</v>
      </c>
      <c r="X340" t="s">
        <v>298</v>
      </c>
      <c r="Y340" t="s">
        <v>1103</v>
      </c>
      <c r="Z340" t="s">
        <v>299</v>
      </c>
      <c r="AA340" t="s">
        <v>1741</v>
      </c>
      <c r="AB340" t="s">
        <v>827</v>
      </c>
      <c r="AC340" t="s">
        <v>1480</v>
      </c>
      <c r="AD340" t="s">
        <v>1712</v>
      </c>
      <c r="AE340" t="s">
        <v>1742</v>
      </c>
      <c r="AG340" s="8" t="s">
        <v>218</v>
      </c>
      <c r="AH340" t="s">
        <v>302</v>
      </c>
      <c r="AI340" s="9" t="s">
        <v>218</v>
      </c>
      <c r="AJ340" s="9" t="s">
        <v>218</v>
      </c>
      <c r="AK340" t="s">
        <v>1743</v>
      </c>
      <c r="AL340" s="8" t="s">
        <v>221</v>
      </c>
      <c r="AM340" s="9" t="s">
        <v>218</v>
      </c>
      <c r="AN340" s="8" t="s">
        <v>221</v>
      </c>
      <c r="AO340" s="8" t="s">
        <v>222</v>
      </c>
      <c r="AP340" s="8">
        <v>0</v>
      </c>
      <c r="AQ340" s="8">
        <v>0</v>
      </c>
      <c r="AR340" s="9">
        <v>43</v>
      </c>
      <c r="AS340" s="8">
        <v>0</v>
      </c>
      <c r="AT340" s="8">
        <v>0</v>
      </c>
      <c r="AU340" s="8">
        <v>0</v>
      </c>
      <c r="AV340" s="8">
        <v>0</v>
      </c>
      <c r="AW340" s="9">
        <v>43</v>
      </c>
      <c r="AX340" s="8"/>
      <c r="AY340" s="8"/>
      <c r="AZ340">
        <v>2</v>
      </c>
      <c r="BA340" t="s">
        <v>1744</v>
      </c>
      <c r="BB340" t="s">
        <v>1745</v>
      </c>
      <c r="BC340" t="s">
        <v>1746</v>
      </c>
    </row>
    <row r="341" spans="1:55">
      <c r="A341" s="6">
        <v>45793</v>
      </c>
      <c r="B341" s="7" t="s">
        <v>1747</v>
      </c>
      <c r="C341" t="s">
        <v>668</v>
      </c>
      <c r="D341" t="s">
        <v>43</v>
      </c>
      <c r="G341" t="s">
        <v>1077</v>
      </c>
      <c r="H341" s="8" t="s">
        <v>221</v>
      </c>
      <c r="I341" s="8" t="s">
        <v>221</v>
      </c>
      <c r="J341" s="8" t="s">
        <v>221</v>
      </c>
      <c r="K341" s="8" t="s">
        <v>221</v>
      </c>
      <c r="L341" s="8" t="s">
        <v>208</v>
      </c>
      <c r="M341" s="8" t="s">
        <v>208</v>
      </c>
      <c r="N341" s="8" t="s">
        <v>221</v>
      </c>
      <c r="O341" s="8" t="s">
        <v>221</v>
      </c>
      <c r="Q341" t="s">
        <v>1748</v>
      </c>
      <c r="R341" t="s">
        <v>1749</v>
      </c>
      <c r="S341" t="s">
        <v>1749</v>
      </c>
      <c r="T341" t="s">
        <v>1747</v>
      </c>
      <c r="U341" t="s">
        <v>1750</v>
      </c>
      <c r="V341" t="s">
        <v>1751</v>
      </c>
      <c r="W341" t="s">
        <v>212</v>
      </c>
      <c r="X341" t="s">
        <v>212</v>
      </c>
      <c r="Y341" t="s">
        <v>275</v>
      </c>
      <c r="Z341" t="s">
        <v>213</v>
      </c>
      <c r="AA341" t="s">
        <v>214</v>
      </c>
      <c r="AB341" t="s">
        <v>758</v>
      </c>
      <c r="AC341" t="s">
        <v>215</v>
      </c>
      <c r="AD341" t="s">
        <v>1752</v>
      </c>
      <c r="AE341" t="s">
        <v>11</v>
      </c>
      <c r="AF341" s="9" t="s">
        <v>1154</v>
      </c>
      <c r="AG341" s="9" t="s">
        <v>221</v>
      </c>
      <c r="AH341" t="s">
        <v>219</v>
      </c>
      <c r="AI341" s="9" t="s">
        <v>218</v>
      </c>
      <c r="AJ341" s="9" t="s">
        <v>218</v>
      </c>
      <c r="AK341" t="s">
        <v>234</v>
      </c>
      <c r="AL341" s="8" t="s">
        <v>221</v>
      </c>
      <c r="AM341" s="9" t="s">
        <v>218</v>
      </c>
      <c r="AN341" s="8" t="s">
        <v>221</v>
      </c>
      <c r="AO341" s="8" t="s">
        <v>222</v>
      </c>
      <c r="AP341" s="8">
        <v>0</v>
      </c>
      <c r="AQ341" s="8">
        <v>0</v>
      </c>
      <c r="AR341" s="9">
        <v>73</v>
      </c>
      <c r="AS341" s="8">
        <v>0</v>
      </c>
      <c r="AT341" s="8">
        <v>0</v>
      </c>
      <c r="AU341" s="8">
        <v>0</v>
      </c>
      <c r="AV341" s="8">
        <v>0</v>
      </c>
      <c r="AW341" s="9">
        <v>73</v>
      </c>
      <c r="AX341" s="8"/>
      <c r="AY341" s="8"/>
      <c r="AZ341">
        <v>5</v>
      </c>
      <c r="BA341" t="s">
        <v>1753</v>
      </c>
      <c r="BB341" t="s">
        <v>1754</v>
      </c>
      <c r="BC341" t="s">
        <v>1755</v>
      </c>
    </row>
    <row r="342" spans="1:55">
      <c r="A342" s="6">
        <v>45793</v>
      </c>
      <c r="B342" s="7" t="s">
        <v>1756</v>
      </c>
      <c r="C342" t="s">
        <v>668</v>
      </c>
      <c r="D342" t="s">
        <v>43</v>
      </c>
      <c r="G342" t="s">
        <v>1077</v>
      </c>
      <c r="H342" s="8" t="s">
        <v>221</v>
      </c>
      <c r="I342" s="8" t="s">
        <v>221</v>
      </c>
      <c r="J342" s="8" t="s">
        <v>221</v>
      </c>
      <c r="K342" s="8" t="s">
        <v>221</v>
      </c>
      <c r="L342" s="8" t="s">
        <v>208</v>
      </c>
      <c r="M342" s="8" t="s">
        <v>208</v>
      </c>
      <c r="N342" s="8" t="s">
        <v>221</v>
      </c>
      <c r="O342" s="8" t="s">
        <v>221</v>
      </c>
      <c r="Q342" t="s">
        <v>1757</v>
      </c>
      <c r="R342" t="s">
        <v>1758</v>
      </c>
      <c r="S342" t="s">
        <v>1758</v>
      </c>
      <c r="T342" t="s">
        <v>1756</v>
      </c>
      <c r="U342" t="s">
        <v>1759</v>
      </c>
      <c r="V342" t="s">
        <v>1751</v>
      </c>
      <c r="W342" t="s">
        <v>212</v>
      </c>
      <c r="X342" t="s">
        <v>212</v>
      </c>
      <c r="Y342" t="s">
        <v>275</v>
      </c>
      <c r="Z342" t="s">
        <v>213</v>
      </c>
      <c r="AA342" t="s">
        <v>214</v>
      </c>
      <c r="AB342" t="s">
        <v>701</v>
      </c>
      <c r="AC342" t="s">
        <v>242</v>
      </c>
      <c r="AD342" t="s">
        <v>1760</v>
      </c>
      <c r="AE342" t="s">
        <v>11</v>
      </c>
      <c r="AG342" s="8" t="s">
        <v>218</v>
      </c>
      <c r="AH342" t="s">
        <v>219</v>
      </c>
      <c r="AI342" s="9" t="s">
        <v>218</v>
      </c>
      <c r="AJ342" s="9" t="s">
        <v>218</v>
      </c>
      <c r="AK342" t="s">
        <v>1761</v>
      </c>
      <c r="AL342" s="8" t="s">
        <v>221</v>
      </c>
      <c r="AM342" s="9" t="s">
        <v>218</v>
      </c>
      <c r="AN342" s="8" t="s">
        <v>221</v>
      </c>
      <c r="AO342" s="8" t="s">
        <v>222</v>
      </c>
      <c r="AP342" s="8">
        <v>0</v>
      </c>
      <c r="AQ342" s="8">
        <v>0</v>
      </c>
      <c r="AR342" s="8">
        <v>0</v>
      </c>
      <c r="AS342" s="8">
        <v>0</v>
      </c>
      <c r="AT342" s="8">
        <v>0</v>
      </c>
      <c r="AU342" s="8">
        <v>0</v>
      </c>
      <c r="AV342" s="8">
        <v>0</v>
      </c>
      <c r="AW342" s="8">
        <v>0</v>
      </c>
      <c r="AX342" s="8"/>
      <c r="AY342" s="8"/>
      <c r="AZ342">
        <v>2</v>
      </c>
      <c r="BA342" t="s">
        <v>1762</v>
      </c>
      <c r="BB342" t="s">
        <v>1763</v>
      </c>
      <c r="BC342" t="s">
        <v>1764</v>
      </c>
    </row>
    <row r="343" spans="1:55">
      <c r="A343" s="6">
        <v>45793</v>
      </c>
      <c r="B343" s="7" t="s">
        <v>1765</v>
      </c>
      <c r="C343" t="s">
        <v>387</v>
      </c>
      <c r="D343" t="s">
        <v>43</v>
      </c>
      <c r="G343" t="s">
        <v>1077</v>
      </c>
      <c r="H343" s="8" t="s">
        <v>221</v>
      </c>
      <c r="I343" s="8" t="s">
        <v>221</v>
      </c>
      <c r="J343" s="8" t="s">
        <v>221</v>
      </c>
      <c r="K343" s="8" t="s">
        <v>221</v>
      </c>
      <c r="L343" s="8" t="s">
        <v>208</v>
      </c>
      <c r="M343" s="8" t="s">
        <v>208</v>
      </c>
      <c r="N343" s="8" t="s">
        <v>221</v>
      </c>
      <c r="O343" s="8" t="s">
        <v>221</v>
      </c>
      <c r="Q343" t="s">
        <v>1766</v>
      </c>
      <c r="R343" t="s">
        <v>1767</v>
      </c>
      <c r="S343" t="s">
        <v>1767</v>
      </c>
      <c r="T343" t="s">
        <v>1765</v>
      </c>
      <c r="U343" t="s">
        <v>1768</v>
      </c>
      <c r="V343" t="s">
        <v>1409</v>
      </c>
      <c r="W343" t="s">
        <v>298</v>
      </c>
      <c r="X343" t="s">
        <v>298</v>
      </c>
      <c r="Y343" t="s">
        <v>1103</v>
      </c>
      <c r="Z343" t="s">
        <v>299</v>
      </c>
      <c r="AA343" t="s">
        <v>1410</v>
      </c>
      <c r="AB343" t="s">
        <v>425</v>
      </c>
      <c r="AC343" t="s">
        <v>465</v>
      </c>
      <c r="AD343" t="s">
        <v>1712</v>
      </c>
      <c r="AE343" t="s">
        <v>1410</v>
      </c>
      <c r="AG343" s="8" t="s">
        <v>218</v>
      </c>
      <c r="AH343" t="s">
        <v>302</v>
      </c>
      <c r="AI343" s="9" t="s">
        <v>218</v>
      </c>
      <c r="AJ343" s="9" t="s">
        <v>218</v>
      </c>
      <c r="AK343" t="s">
        <v>1769</v>
      </c>
      <c r="AL343" s="8" t="s">
        <v>221</v>
      </c>
      <c r="AM343" s="9" t="s">
        <v>218</v>
      </c>
      <c r="AN343" s="8" t="s">
        <v>221</v>
      </c>
      <c r="AO343" s="8" t="s">
        <v>222</v>
      </c>
      <c r="AP343" s="8">
        <v>0</v>
      </c>
      <c r="AQ343" s="8">
        <v>0</v>
      </c>
      <c r="AR343" s="8">
        <v>0</v>
      </c>
      <c r="AS343" s="8">
        <v>0</v>
      </c>
      <c r="AT343" s="8">
        <v>0</v>
      </c>
      <c r="AU343" s="8">
        <v>0</v>
      </c>
      <c r="AV343" s="8">
        <v>0</v>
      </c>
      <c r="AW343" s="8">
        <v>0</v>
      </c>
      <c r="AX343" s="8"/>
      <c r="AY343" s="8"/>
      <c r="BB343" t="s">
        <v>1770</v>
      </c>
      <c r="BC343" t="s">
        <v>1771</v>
      </c>
    </row>
    <row r="344" spans="1:55">
      <c r="A344" s="6">
        <v>45793</v>
      </c>
      <c r="B344" s="7" t="s">
        <v>1772</v>
      </c>
      <c r="C344" t="s">
        <v>387</v>
      </c>
      <c r="D344" t="s">
        <v>43</v>
      </c>
      <c r="G344" t="s">
        <v>1077</v>
      </c>
      <c r="H344" s="8" t="s">
        <v>221</v>
      </c>
      <c r="I344" s="8" t="s">
        <v>221</v>
      </c>
      <c r="J344" s="8" t="s">
        <v>221</v>
      </c>
      <c r="K344" s="8" t="s">
        <v>221</v>
      </c>
      <c r="L344" s="8" t="s">
        <v>208</v>
      </c>
      <c r="M344" s="8" t="s">
        <v>208</v>
      </c>
      <c r="N344" s="8" t="s">
        <v>221</v>
      </c>
      <c r="O344" s="8" t="s">
        <v>221</v>
      </c>
      <c r="P344" t="s">
        <v>1773</v>
      </c>
      <c r="Q344" t="s">
        <v>1774</v>
      </c>
      <c r="R344" t="s">
        <v>1775</v>
      </c>
      <c r="S344" t="s">
        <v>1775</v>
      </c>
      <c r="T344" t="s">
        <v>1772</v>
      </c>
      <c r="U344" t="s">
        <v>1776</v>
      </c>
      <c r="V344" t="s">
        <v>1777</v>
      </c>
      <c r="W344" t="s">
        <v>298</v>
      </c>
      <c r="X344" t="s">
        <v>298</v>
      </c>
      <c r="Y344" t="s">
        <v>1103</v>
      </c>
      <c r="Z344" t="s">
        <v>299</v>
      </c>
      <c r="AA344" t="s">
        <v>1778</v>
      </c>
      <c r="AB344" t="s">
        <v>646</v>
      </c>
      <c r="AC344" t="s">
        <v>827</v>
      </c>
      <c r="AD344" t="s">
        <v>1712</v>
      </c>
      <c r="AE344" t="s">
        <v>1778</v>
      </c>
      <c r="AF344" s="8" t="s">
        <v>1156</v>
      </c>
      <c r="AG344" s="9" t="s">
        <v>221</v>
      </c>
      <c r="AH344" t="s">
        <v>302</v>
      </c>
      <c r="AI344" s="9" t="s">
        <v>218</v>
      </c>
      <c r="AJ344" s="9" t="s">
        <v>218</v>
      </c>
      <c r="AK344" t="s">
        <v>234</v>
      </c>
      <c r="AL344" s="8" t="s">
        <v>221</v>
      </c>
      <c r="AM344" s="9" t="s">
        <v>218</v>
      </c>
      <c r="AN344" s="8" t="s">
        <v>221</v>
      </c>
      <c r="AO344" s="8" t="s">
        <v>222</v>
      </c>
      <c r="AP344" s="8">
        <v>0</v>
      </c>
      <c r="AQ344" s="8">
        <v>0</v>
      </c>
      <c r="AR344" s="9">
        <v>37</v>
      </c>
      <c r="AS344" s="8">
        <v>0</v>
      </c>
      <c r="AT344" s="8">
        <v>0</v>
      </c>
      <c r="AU344" s="8">
        <v>0</v>
      </c>
      <c r="AV344" s="8">
        <v>0</v>
      </c>
      <c r="AW344" s="9">
        <v>37</v>
      </c>
      <c r="AX344" s="8"/>
      <c r="AY344" s="8"/>
      <c r="AZ344">
        <v>4</v>
      </c>
      <c r="BA344" t="s">
        <v>1779</v>
      </c>
      <c r="BB344" t="s">
        <v>1780</v>
      </c>
      <c r="BC344" t="s">
        <v>1781</v>
      </c>
    </row>
    <row r="345" spans="1:55">
      <c r="A345" s="6">
        <v>45793</v>
      </c>
      <c r="B345" s="7" t="s">
        <v>1782</v>
      </c>
      <c r="C345" t="s">
        <v>387</v>
      </c>
      <c r="D345" t="s">
        <v>43</v>
      </c>
      <c r="G345" t="s">
        <v>1077</v>
      </c>
      <c r="H345" s="8" t="s">
        <v>221</v>
      </c>
      <c r="I345" s="8" t="s">
        <v>221</v>
      </c>
      <c r="J345" s="8" t="s">
        <v>221</v>
      </c>
      <c r="K345" s="8" t="s">
        <v>221</v>
      </c>
      <c r="L345" s="8" t="s">
        <v>208</v>
      </c>
      <c r="M345" s="8" t="s">
        <v>208</v>
      </c>
      <c r="N345" s="8" t="s">
        <v>221</v>
      </c>
      <c r="O345" s="8" t="s">
        <v>221</v>
      </c>
      <c r="Q345" t="s">
        <v>1783</v>
      </c>
      <c r="R345" t="s">
        <v>1784</v>
      </c>
      <c r="S345" t="s">
        <v>1784</v>
      </c>
      <c r="T345" t="s">
        <v>1782</v>
      </c>
      <c r="U345" t="s">
        <v>1785</v>
      </c>
      <c r="V345" t="s">
        <v>1409</v>
      </c>
      <c r="W345" t="s">
        <v>298</v>
      </c>
      <c r="X345" t="s">
        <v>298</v>
      </c>
      <c r="Y345" t="s">
        <v>1103</v>
      </c>
      <c r="Z345" t="s">
        <v>299</v>
      </c>
      <c r="AA345" t="s">
        <v>1786</v>
      </c>
      <c r="AB345" t="s">
        <v>425</v>
      </c>
      <c r="AC345" t="s">
        <v>465</v>
      </c>
      <c r="AD345" t="s">
        <v>1712</v>
      </c>
      <c r="AE345" t="s">
        <v>1786</v>
      </c>
      <c r="AG345" s="8" t="s">
        <v>218</v>
      </c>
      <c r="AH345" t="s">
        <v>302</v>
      </c>
      <c r="AI345" s="9" t="s">
        <v>218</v>
      </c>
      <c r="AJ345" s="9" t="s">
        <v>218</v>
      </c>
      <c r="AK345" t="s">
        <v>1787</v>
      </c>
      <c r="AL345" s="8" t="s">
        <v>221</v>
      </c>
      <c r="AM345" s="9" t="s">
        <v>218</v>
      </c>
      <c r="AN345" s="8" t="s">
        <v>221</v>
      </c>
      <c r="AO345" s="8" t="s">
        <v>222</v>
      </c>
      <c r="AP345" s="8">
        <v>0</v>
      </c>
      <c r="AQ345" s="8">
        <v>0</v>
      </c>
      <c r="AR345" s="8">
        <v>0</v>
      </c>
      <c r="AS345" s="8">
        <v>0</v>
      </c>
      <c r="AT345" s="8">
        <v>0</v>
      </c>
      <c r="AU345" s="8">
        <v>0</v>
      </c>
      <c r="AV345" s="8">
        <v>0</v>
      </c>
      <c r="AW345" s="8">
        <v>0</v>
      </c>
      <c r="AX345" s="8"/>
      <c r="AY345" s="8"/>
      <c r="AZ345">
        <v>2</v>
      </c>
      <c r="BA345" t="s">
        <v>1788</v>
      </c>
      <c r="BB345" t="s">
        <v>1789</v>
      </c>
      <c r="BC345" t="s">
        <v>1790</v>
      </c>
    </row>
    <row r="346" spans="1:55">
      <c r="A346" s="6">
        <v>45793</v>
      </c>
      <c r="B346" s="7" t="s">
        <v>821</v>
      </c>
      <c r="C346" t="s">
        <v>387</v>
      </c>
      <c r="D346" t="s">
        <v>43</v>
      </c>
      <c r="G346" t="s">
        <v>1077</v>
      </c>
      <c r="H346" s="8" t="s">
        <v>221</v>
      </c>
      <c r="I346" s="8" t="s">
        <v>221</v>
      </c>
      <c r="J346" s="8" t="s">
        <v>221</v>
      </c>
      <c r="K346" s="8" t="s">
        <v>221</v>
      </c>
      <c r="L346" s="8" t="s">
        <v>208</v>
      </c>
      <c r="M346" s="8" t="s">
        <v>208</v>
      </c>
      <c r="N346" s="8" t="s">
        <v>221</v>
      </c>
      <c r="O346" s="8" t="s">
        <v>221</v>
      </c>
      <c r="Q346" t="s">
        <v>822</v>
      </c>
      <c r="R346" t="s">
        <v>823</v>
      </c>
      <c r="S346" t="s">
        <v>823</v>
      </c>
      <c r="T346" t="s">
        <v>821</v>
      </c>
      <c r="U346" t="s">
        <v>824</v>
      </c>
      <c r="V346" t="s">
        <v>825</v>
      </c>
      <c r="W346" t="s">
        <v>298</v>
      </c>
      <c r="X346" t="s">
        <v>298</v>
      </c>
      <c r="Y346" t="s">
        <v>1103</v>
      </c>
      <c r="Z346" t="s">
        <v>299</v>
      </c>
      <c r="AA346" t="s">
        <v>826</v>
      </c>
      <c r="AB346" t="s">
        <v>1791</v>
      </c>
      <c r="AC346" t="s">
        <v>1480</v>
      </c>
      <c r="AD346" t="s">
        <v>1712</v>
      </c>
      <c r="AE346" t="s">
        <v>1792</v>
      </c>
      <c r="AG346" s="8" t="s">
        <v>218</v>
      </c>
      <c r="AH346" t="s">
        <v>302</v>
      </c>
      <c r="AI346" s="9" t="s">
        <v>218</v>
      </c>
      <c r="AJ346" s="9" t="s">
        <v>218</v>
      </c>
      <c r="AK346" t="s">
        <v>234</v>
      </c>
      <c r="AL346" s="8" t="s">
        <v>221</v>
      </c>
      <c r="AM346" s="9" t="s">
        <v>218</v>
      </c>
      <c r="AN346" s="8" t="s">
        <v>221</v>
      </c>
      <c r="AO346" s="8" t="s">
        <v>222</v>
      </c>
      <c r="AP346" s="8">
        <v>0</v>
      </c>
      <c r="AQ346" s="8">
        <v>0</v>
      </c>
      <c r="AR346" s="9">
        <v>39</v>
      </c>
      <c r="AS346" s="8">
        <v>0</v>
      </c>
      <c r="AT346" s="8">
        <v>0</v>
      </c>
      <c r="AU346" s="8">
        <v>0</v>
      </c>
      <c r="AV346" s="8">
        <v>0</v>
      </c>
      <c r="AW346" s="9">
        <v>39</v>
      </c>
      <c r="AX346" s="9" t="s">
        <v>828</v>
      </c>
      <c r="AY346" s="9" t="s">
        <v>829</v>
      </c>
      <c r="AZ346">
        <v>2</v>
      </c>
      <c r="BA346" t="s">
        <v>1793</v>
      </c>
      <c r="BB346" t="s">
        <v>830</v>
      </c>
      <c r="BC346" t="s">
        <v>831</v>
      </c>
    </row>
    <row r="347" spans="1:55">
      <c r="A347" s="6">
        <v>45793</v>
      </c>
      <c r="B347" s="7" t="s">
        <v>1794</v>
      </c>
      <c r="C347" t="s">
        <v>387</v>
      </c>
      <c r="D347" t="s">
        <v>43</v>
      </c>
      <c r="G347" t="s">
        <v>1077</v>
      </c>
      <c r="H347" s="8" t="s">
        <v>221</v>
      </c>
      <c r="I347" s="8" t="s">
        <v>221</v>
      </c>
      <c r="J347" s="8" t="s">
        <v>221</v>
      </c>
      <c r="K347" s="8" t="s">
        <v>221</v>
      </c>
      <c r="L347" s="8" t="s">
        <v>208</v>
      </c>
      <c r="M347" s="8" t="s">
        <v>208</v>
      </c>
      <c r="N347" s="8" t="s">
        <v>221</v>
      </c>
      <c r="O347" s="8" t="s">
        <v>221</v>
      </c>
      <c r="Q347" t="s">
        <v>1795</v>
      </c>
      <c r="R347" t="s">
        <v>1796</v>
      </c>
      <c r="S347" t="s">
        <v>1796</v>
      </c>
      <c r="T347" t="s">
        <v>1794</v>
      </c>
      <c r="U347" t="s">
        <v>1797</v>
      </c>
      <c r="V347" t="s">
        <v>825</v>
      </c>
      <c r="W347" t="s">
        <v>298</v>
      </c>
      <c r="X347" t="s">
        <v>298</v>
      </c>
      <c r="Y347" t="s">
        <v>1103</v>
      </c>
      <c r="Z347" t="s">
        <v>299</v>
      </c>
      <c r="AA347" t="s">
        <v>1792</v>
      </c>
      <c r="AB347" t="s">
        <v>538</v>
      </c>
      <c r="AC347" t="s">
        <v>603</v>
      </c>
      <c r="AD347" t="s">
        <v>1712</v>
      </c>
      <c r="AE347" t="s">
        <v>1792</v>
      </c>
      <c r="AG347" s="8" t="s">
        <v>218</v>
      </c>
      <c r="AH347" t="s">
        <v>302</v>
      </c>
      <c r="AI347" s="9" t="s">
        <v>218</v>
      </c>
      <c r="AJ347" s="9" t="s">
        <v>218</v>
      </c>
      <c r="AK347" t="s">
        <v>234</v>
      </c>
      <c r="AL347" s="8" t="s">
        <v>221</v>
      </c>
      <c r="AM347" s="9" t="s">
        <v>218</v>
      </c>
      <c r="AN347" s="8" t="s">
        <v>221</v>
      </c>
      <c r="AO347" s="8" t="s">
        <v>222</v>
      </c>
      <c r="AP347" s="8">
        <v>0</v>
      </c>
      <c r="AQ347" s="8">
        <v>0</v>
      </c>
      <c r="AR347" s="9">
        <v>57</v>
      </c>
      <c r="AS347" s="8">
        <v>0</v>
      </c>
      <c r="AT347" s="8">
        <v>0</v>
      </c>
      <c r="AU347" s="8">
        <v>0</v>
      </c>
      <c r="AV347" s="8">
        <v>0</v>
      </c>
      <c r="AW347" s="9">
        <v>57</v>
      </c>
      <c r="AX347" s="8"/>
      <c r="AY347" s="9" t="s">
        <v>1798</v>
      </c>
      <c r="AZ347">
        <v>2</v>
      </c>
      <c r="BA347" t="s">
        <v>1799</v>
      </c>
      <c r="BB347" t="s">
        <v>1800</v>
      </c>
      <c r="BC347" t="s">
        <v>1801</v>
      </c>
    </row>
    <row r="348" spans="1:55">
      <c r="A348" s="6">
        <v>45793</v>
      </c>
      <c r="B348" s="7" t="s">
        <v>1802</v>
      </c>
      <c r="C348" t="s">
        <v>387</v>
      </c>
      <c r="D348" t="s">
        <v>43</v>
      </c>
      <c r="G348" t="s">
        <v>1077</v>
      </c>
      <c r="H348" s="8" t="s">
        <v>221</v>
      </c>
      <c r="I348" s="8" t="s">
        <v>221</v>
      </c>
      <c r="J348" s="8" t="s">
        <v>221</v>
      </c>
      <c r="K348" s="8" t="s">
        <v>221</v>
      </c>
      <c r="L348" s="8" t="s">
        <v>208</v>
      </c>
      <c r="M348" s="8" t="s">
        <v>208</v>
      </c>
      <c r="N348" s="8" t="s">
        <v>221</v>
      </c>
      <c r="O348" s="8" t="s">
        <v>221</v>
      </c>
      <c r="Q348" t="s">
        <v>1803</v>
      </c>
      <c r="R348" t="s">
        <v>1804</v>
      </c>
      <c r="S348" t="s">
        <v>1804</v>
      </c>
      <c r="T348" t="s">
        <v>1802</v>
      </c>
      <c r="U348" t="s">
        <v>1805</v>
      </c>
      <c r="V348" t="s">
        <v>825</v>
      </c>
      <c r="W348" t="s">
        <v>298</v>
      </c>
      <c r="X348" t="s">
        <v>298</v>
      </c>
      <c r="Y348" t="s">
        <v>1103</v>
      </c>
      <c r="Z348" t="s">
        <v>299</v>
      </c>
      <c r="AA348" t="s">
        <v>1806</v>
      </c>
      <c r="AB348" t="s">
        <v>603</v>
      </c>
      <c r="AC348" t="s">
        <v>391</v>
      </c>
      <c r="AD348" t="s">
        <v>1712</v>
      </c>
      <c r="AE348" t="s">
        <v>1807</v>
      </c>
      <c r="AG348" s="8" t="s">
        <v>218</v>
      </c>
      <c r="AH348" t="s">
        <v>302</v>
      </c>
      <c r="AI348" s="9" t="s">
        <v>218</v>
      </c>
      <c r="AJ348" s="9" t="s">
        <v>218</v>
      </c>
      <c r="AK348" t="s">
        <v>234</v>
      </c>
      <c r="AL348" s="8" t="s">
        <v>221</v>
      </c>
      <c r="AM348" s="9" t="s">
        <v>218</v>
      </c>
      <c r="AN348" s="8" t="s">
        <v>221</v>
      </c>
      <c r="AO348" s="8" t="s">
        <v>222</v>
      </c>
      <c r="AP348" s="8">
        <v>0</v>
      </c>
      <c r="AQ348" s="8">
        <v>0</v>
      </c>
      <c r="AR348" s="9">
        <v>19</v>
      </c>
      <c r="AS348" s="8">
        <v>0</v>
      </c>
      <c r="AT348" s="8">
        <v>0</v>
      </c>
      <c r="AU348" s="8">
        <v>0</v>
      </c>
      <c r="AV348" s="8">
        <v>0</v>
      </c>
      <c r="AW348" s="9">
        <v>19</v>
      </c>
      <c r="AX348" s="8"/>
      <c r="AY348" s="9" t="s">
        <v>1808</v>
      </c>
      <c r="AZ348">
        <v>2</v>
      </c>
      <c r="BA348" t="s">
        <v>1809</v>
      </c>
      <c r="BB348" t="s">
        <v>1810</v>
      </c>
      <c r="BC348" t="s">
        <v>1811</v>
      </c>
    </row>
    <row r="349" spans="1:55">
      <c r="A349" s="6">
        <v>45793</v>
      </c>
      <c r="B349" s="7" t="s">
        <v>1812</v>
      </c>
      <c r="C349" t="s">
        <v>387</v>
      </c>
      <c r="D349" t="s">
        <v>43</v>
      </c>
      <c r="G349" t="s">
        <v>1077</v>
      </c>
      <c r="H349" s="8" t="s">
        <v>221</v>
      </c>
      <c r="I349" s="8" t="s">
        <v>221</v>
      </c>
      <c r="J349" s="8" t="s">
        <v>221</v>
      </c>
      <c r="K349" s="8" t="s">
        <v>221</v>
      </c>
      <c r="L349" s="8" t="s">
        <v>208</v>
      </c>
      <c r="M349" s="8" t="s">
        <v>208</v>
      </c>
      <c r="N349" s="8" t="s">
        <v>221</v>
      </c>
      <c r="O349" s="8" t="s">
        <v>221</v>
      </c>
      <c r="Q349" t="s">
        <v>1813</v>
      </c>
      <c r="R349" t="s">
        <v>1814</v>
      </c>
      <c r="S349" t="s">
        <v>1814</v>
      </c>
      <c r="T349" t="s">
        <v>1812</v>
      </c>
      <c r="U349" t="s">
        <v>1815</v>
      </c>
      <c r="V349" t="s">
        <v>825</v>
      </c>
      <c r="W349" t="s">
        <v>298</v>
      </c>
      <c r="X349" t="s">
        <v>298</v>
      </c>
      <c r="Y349" t="s">
        <v>1103</v>
      </c>
      <c r="Z349" t="s">
        <v>299</v>
      </c>
      <c r="AA349" t="s">
        <v>1792</v>
      </c>
      <c r="AB349" t="s">
        <v>646</v>
      </c>
      <c r="AC349" t="s">
        <v>399</v>
      </c>
      <c r="AD349" t="s">
        <v>1712</v>
      </c>
      <c r="AE349" t="s">
        <v>1792</v>
      </c>
      <c r="AG349" s="8" t="s">
        <v>218</v>
      </c>
      <c r="AH349" t="s">
        <v>302</v>
      </c>
      <c r="AI349" s="9" t="s">
        <v>218</v>
      </c>
      <c r="AJ349" s="9" t="s">
        <v>218</v>
      </c>
      <c r="AK349" t="s">
        <v>234</v>
      </c>
      <c r="AL349" s="8" t="s">
        <v>221</v>
      </c>
      <c r="AM349" s="9" t="s">
        <v>218</v>
      </c>
      <c r="AN349" s="8" t="s">
        <v>221</v>
      </c>
      <c r="AO349" s="8" t="s">
        <v>222</v>
      </c>
      <c r="AP349" s="8">
        <v>0</v>
      </c>
      <c r="AQ349" s="8">
        <v>0</v>
      </c>
      <c r="AR349" s="9">
        <v>37</v>
      </c>
      <c r="AS349" s="8">
        <v>0</v>
      </c>
      <c r="AT349" s="8">
        <v>0</v>
      </c>
      <c r="AU349" s="8">
        <v>0</v>
      </c>
      <c r="AV349" s="8">
        <v>0</v>
      </c>
      <c r="AW349" s="9">
        <v>37</v>
      </c>
      <c r="AX349" s="8"/>
      <c r="AY349" s="9" t="s">
        <v>1816</v>
      </c>
      <c r="AZ349">
        <v>2</v>
      </c>
      <c r="BA349" t="s">
        <v>1817</v>
      </c>
      <c r="BB349" t="s">
        <v>1818</v>
      </c>
      <c r="BC349" t="s">
        <v>1819</v>
      </c>
    </row>
    <row r="350" spans="1:55">
      <c r="A350" s="6">
        <v>45793</v>
      </c>
      <c r="B350" s="7" t="s">
        <v>1820</v>
      </c>
      <c r="C350" t="s">
        <v>1821</v>
      </c>
      <c r="D350" t="s">
        <v>43</v>
      </c>
      <c r="G350" t="s">
        <v>1077</v>
      </c>
      <c r="H350" s="8" t="s">
        <v>221</v>
      </c>
      <c r="I350" s="8" t="s">
        <v>221</v>
      </c>
      <c r="J350" s="8" t="s">
        <v>221</v>
      </c>
      <c r="K350" s="8" t="s">
        <v>221</v>
      </c>
      <c r="L350" s="8" t="s">
        <v>208</v>
      </c>
      <c r="M350" s="8" t="s">
        <v>208</v>
      </c>
      <c r="N350" s="8" t="s">
        <v>221</v>
      </c>
      <c r="O350" s="8" t="s">
        <v>221</v>
      </c>
      <c r="Q350" t="s">
        <v>1822</v>
      </c>
      <c r="R350" t="s">
        <v>1823</v>
      </c>
      <c r="S350" t="s">
        <v>1823</v>
      </c>
      <c r="T350" t="s">
        <v>1820</v>
      </c>
      <c r="U350" t="s">
        <v>1824</v>
      </c>
      <c r="V350" t="s">
        <v>1702</v>
      </c>
      <c r="W350" t="s">
        <v>774</v>
      </c>
      <c r="X350" t="s">
        <v>774</v>
      </c>
      <c r="Y350" t="s">
        <v>1082</v>
      </c>
      <c r="Z350" t="s">
        <v>775</v>
      </c>
      <c r="AA350" t="s">
        <v>1825</v>
      </c>
      <c r="AB350" t="s">
        <v>465</v>
      </c>
      <c r="AC350" t="s">
        <v>301</v>
      </c>
      <c r="AD350" t="s">
        <v>1826</v>
      </c>
      <c r="AE350" t="s">
        <v>1703</v>
      </c>
      <c r="AG350" s="8" t="s">
        <v>218</v>
      </c>
      <c r="AH350" t="s">
        <v>219</v>
      </c>
      <c r="AI350" s="9" t="s">
        <v>218</v>
      </c>
      <c r="AJ350" s="9" t="s">
        <v>218</v>
      </c>
      <c r="AK350" t="s">
        <v>1827</v>
      </c>
      <c r="AL350" s="8" t="s">
        <v>221</v>
      </c>
      <c r="AM350" s="9" t="s">
        <v>218</v>
      </c>
      <c r="AN350" s="8" t="s">
        <v>221</v>
      </c>
      <c r="AO350" s="8" t="s">
        <v>222</v>
      </c>
      <c r="AP350" s="8">
        <v>0</v>
      </c>
      <c r="AQ350" s="8">
        <v>0</v>
      </c>
      <c r="AR350" s="9">
        <v>19</v>
      </c>
      <c r="AS350" s="8">
        <v>0</v>
      </c>
      <c r="AT350" s="8">
        <v>0</v>
      </c>
      <c r="AU350" s="8">
        <v>0</v>
      </c>
      <c r="AV350" s="8">
        <v>0</v>
      </c>
      <c r="AW350" s="9">
        <v>19</v>
      </c>
      <c r="AX350" s="8"/>
      <c r="AY350" s="8"/>
      <c r="AZ350">
        <v>1</v>
      </c>
      <c r="BA350" t="s">
        <v>1828</v>
      </c>
      <c r="BB350" t="s">
        <v>1829</v>
      </c>
      <c r="BC350" t="s">
        <v>1830</v>
      </c>
    </row>
    <row r="351" spans="1:55">
      <c r="A351" s="6">
        <v>45793</v>
      </c>
      <c r="B351" s="7" t="s">
        <v>1831</v>
      </c>
      <c r="C351" t="s">
        <v>387</v>
      </c>
      <c r="D351" t="s">
        <v>43</v>
      </c>
      <c r="E351" t="s">
        <v>1275</v>
      </c>
      <c r="F351" t="s">
        <v>1275</v>
      </c>
      <c r="G351" t="s">
        <v>1077</v>
      </c>
      <c r="H351" s="8" t="s">
        <v>221</v>
      </c>
      <c r="I351" s="8" t="s">
        <v>221</v>
      </c>
      <c r="J351" s="8" t="s">
        <v>221</v>
      </c>
      <c r="K351" s="8" t="s">
        <v>221</v>
      </c>
      <c r="L351" s="8" t="s">
        <v>208</v>
      </c>
      <c r="M351" s="8" t="s">
        <v>208</v>
      </c>
      <c r="N351" s="8" t="s">
        <v>221</v>
      </c>
      <c r="O351" s="8" t="s">
        <v>221</v>
      </c>
      <c r="Q351" t="s">
        <v>1832</v>
      </c>
      <c r="R351" t="s">
        <v>1833</v>
      </c>
      <c r="S351" t="s">
        <v>1833</v>
      </c>
      <c r="T351" t="s">
        <v>1831</v>
      </c>
      <c r="U351" t="s">
        <v>1834</v>
      </c>
      <c r="V351" t="s">
        <v>1835</v>
      </c>
      <c r="W351" t="s">
        <v>298</v>
      </c>
      <c r="X351" t="s">
        <v>298</v>
      </c>
      <c r="Y351" t="s">
        <v>299</v>
      </c>
      <c r="Z351" t="s">
        <v>299</v>
      </c>
      <c r="AA351" t="s">
        <v>1836</v>
      </c>
      <c r="AB351" t="s">
        <v>465</v>
      </c>
      <c r="AC351" t="s">
        <v>465</v>
      </c>
      <c r="AD351" t="s">
        <v>1712</v>
      </c>
      <c r="AE351" t="s">
        <v>1836</v>
      </c>
      <c r="AG351" s="8" t="s">
        <v>218</v>
      </c>
      <c r="AH351" t="s">
        <v>302</v>
      </c>
      <c r="AI351" s="9" t="s">
        <v>218</v>
      </c>
      <c r="AJ351" s="9" t="s">
        <v>218</v>
      </c>
      <c r="AK351" t="s">
        <v>1837</v>
      </c>
      <c r="AL351" s="9" t="s">
        <v>218</v>
      </c>
      <c r="AM351" s="8" t="s">
        <v>221</v>
      </c>
      <c r="AN351" s="8" t="s">
        <v>221</v>
      </c>
      <c r="AO351" s="8" t="s">
        <v>222</v>
      </c>
      <c r="AP351" s="8">
        <v>0</v>
      </c>
      <c r="AQ351" s="8">
        <v>0</v>
      </c>
      <c r="AR351" s="8">
        <v>0</v>
      </c>
      <c r="AS351" s="8">
        <v>0</v>
      </c>
      <c r="AT351" s="8">
        <v>0</v>
      </c>
      <c r="AU351" s="8">
        <v>0</v>
      </c>
      <c r="AV351" s="8">
        <v>0</v>
      </c>
      <c r="AW351" s="8">
        <v>0</v>
      </c>
      <c r="AX351" s="8"/>
      <c r="AY351" s="8"/>
      <c r="AZ351">
        <v>1</v>
      </c>
      <c r="BA351" t="s">
        <v>304</v>
      </c>
      <c r="BB351" t="s">
        <v>1838</v>
      </c>
      <c r="BC351" t="s">
        <v>1839</v>
      </c>
    </row>
    <row r="352" spans="1:55">
      <c r="A352" s="6">
        <v>45793</v>
      </c>
      <c r="B352" s="7" t="s">
        <v>1840</v>
      </c>
      <c r="C352" t="s">
        <v>387</v>
      </c>
      <c r="D352" t="s">
        <v>43</v>
      </c>
      <c r="G352" t="s">
        <v>1077</v>
      </c>
      <c r="H352" s="8" t="s">
        <v>221</v>
      </c>
      <c r="I352" s="8" t="s">
        <v>221</v>
      </c>
      <c r="J352" s="8" t="s">
        <v>221</v>
      </c>
      <c r="K352" s="8" t="s">
        <v>221</v>
      </c>
      <c r="L352" s="8" t="s">
        <v>208</v>
      </c>
      <c r="M352" s="8" t="s">
        <v>208</v>
      </c>
      <c r="N352" s="8" t="s">
        <v>221</v>
      </c>
      <c r="O352" s="8" t="s">
        <v>221</v>
      </c>
      <c r="P352" t="s">
        <v>1841</v>
      </c>
      <c r="Q352" t="s">
        <v>1842</v>
      </c>
      <c r="R352" t="s">
        <v>1843</v>
      </c>
      <c r="S352" t="s">
        <v>1843</v>
      </c>
      <c r="T352" t="s">
        <v>1840</v>
      </c>
      <c r="U352" t="s">
        <v>1844</v>
      </c>
      <c r="V352" t="s">
        <v>1409</v>
      </c>
      <c r="W352" t="s">
        <v>298</v>
      </c>
      <c r="X352" t="s">
        <v>298</v>
      </c>
      <c r="Y352" t="s">
        <v>299</v>
      </c>
      <c r="Z352" t="s">
        <v>299</v>
      </c>
      <c r="AA352" t="s">
        <v>1410</v>
      </c>
      <c r="AB352" t="s">
        <v>425</v>
      </c>
      <c r="AC352" t="s">
        <v>425</v>
      </c>
      <c r="AD352" t="s">
        <v>1712</v>
      </c>
      <c r="AE352" t="s">
        <v>1410</v>
      </c>
      <c r="AG352" s="8" t="s">
        <v>218</v>
      </c>
      <c r="AH352" t="s">
        <v>302</v>
      </c>
      <c r="AI352" s="9" t="s">
        <v>218</v>
      </c>
      <c r="AJ352" s="9" t="s">
        <v>218</v>
      </c>
      <c r="AK352" t="s">
        <v>1845</v>
      </c>
      <c r="AL352" s="9" t="s">
        <v>218</v>
      </c>
      <c r="AM352" s="8" t="s">
        <v>221</v>
      </c>
      <c r="AN352" s="8" t="s">
        <v>221</v>
      </c>
      <c r="AO352" s="8" t="s">
        <v>222</v>
      </c>
      <c r="AP352" s="8">
        <v>0</v>
      </c>
      <c r="AQ352" s="8">
        <v>0</v>
      </c>
      <c r="AR352" s="9">
        <v>16</v>
      </c>
      <c r="AS352" s="8">
        <v>0</v>
      </c>
      <c r="AT352" s="8">
        <v>0</v>
      </c>
      <c r="AU352" s="8">
        <v>0</v>
      </c>
      <c r="AV352" s="8">
        <v>0</v>
      </c>
      <c r="AW352" s="9">
        <v>16</v>
      </c>
      <c r="AX352" s="8"/>
      <c r="AY352" s="8"/>
      <c r="AZ352">
        <v>0</v>
      </c>
      <c r="BB352" t="s">
        <v>1846</v>
      </c>
      <c r="BC352" t="s">
        <v>1847</v>
      </c>
    </row>
    <row r="353" spans="1:55">
      <c r="A353" s="6">
        <v>45793</v>
      </c>
      <c r="B353" s="7" t="s">
        <v>1848</v>
      </c>
      <c r="C353" t="s">
        <v>387</v>
      </c>
      <c r="D353" t="s">
        <v>43</v>
      </c>
      <c r="G353" t="s">
        <v>1077</v>
      </c>
      <c r="H353" s="8" t="s">
        <v>221</v>
      </c>
      <c r="I353" s="8" t="s">
        <v>221</v>
      </c>
      <c r="J353" s="8" t="s">
        <v>221</v>
      </c>
      <c r="K353" s="8" t="s">
        <v>221</v>
      </c>
      <c r="L353" s="8" t="s">
        <v>208</v>
      </c>
      <c r="M353" s="8" t="s">
        <v>208</v>
      </c>
      <c r="N353" s="8" t="s">
        <v>221</v>
      </c>
      <c r="O353" s="8" t="s">
        <v>221</v>
      </c>
      <c r="P353" t="s">
        <v>1841</v>
      </c>
      <c r="Q353" t="s">
        <v>1849</v>
      </c>
      <c r="R353" t="s">
        <v>1850</v>
      </c>
      <c r="S353" t="s">
        <v>1850</v>
      </c>
      <c r="T353" t="s">
        <v>1848</v>
      </c>
      <c r="U353" t="s">
        <v>1851</v>
      </c>
      <c r="V353" t="s">
        <v>1409</v>
      </c>
      <c r="W353" t="s">
        <v>298</v>
      </c>
      <c r="X353" t="s">
        <v>298</v>
      </c>
      <c r="Y353" t="s">
        <v>299</v>
      </c>
      <c r="Z353" t="s">
        <v>299</v>
      </c>
      <c r="AA353" t="s">
        <v>1410</v>
      </c>
      <c r="AB353" t="s">
        <v>391</v>
      </c>
      <c r="AC353" t="s">
        <v>391</v>
      </c>
      <c r="AD353" t="s">
        <v>1712</v>
      </c>
      <c r="AE353" t="s">
        <v>1410</v>
      </c>
      <c r="AG353" s="8" t="s">
        <v>218</v>
      </c>
      <c r="AH353" t="s">
        <v>302</v>
      </c>
      <c r="AI353" s="9" t="s">
        <v>218</v>
      </c>
      <c r="AJ353" s="9" t="s">
        <v>218</v>
      </c>
      <c r="AK353" t="s">
        <v>1852</v>
      </c>
      <c r="AL353" s="9" t="s">
        <v>218</v>
      </c>
      <c r="AM353" s="8" t="s">
        <v>221</v>
      </c>
      <c r="AN353" s="8" t="s">
        <v>221</v>
      </c>
      <c r="AO353" s="8" t="s">
        <v>222</v>
      </c>
      <c r="AP353" s="8">
        <v>0</v>
      </c>
      <c r="AQ353" s="8">
        <v>0</v>
      </c>
      <c r="AR353" s="9">
        <v>5</v>
      </c>
      <c r="AS353" s="8">
        <v>0</v>
      </c>
      <c r="AT353" s="8">
        <v>0</v>
      </c>
      <c r="AU353" s="8">
        <v>0</v>
      </c>
      <c r="AV353" s="8">
        <v>0</v>
      </c>
      <c r="AW353" s="9">
        <v>5</v>
      </c>
      <c r="AX353" s="8"/>
      <c r="AY353" s="8"/>
      <c r="AZ353">
        <v>0</v>
      </c>
      <c r="BB353" t="s">
        <v>1853</v>
      </c>
      <c r="BC353" t="s">
        <v>1854</v>
      </c>
    </row>
    <row r="354" spans="1:55">
      <c r="A354" s="6">
        <v>45793</v>
      </c>
      <c r="B354" s="7" t="s">
        <v>1855</v>
      </c>
      <c r="C354" t="s">
        <v>387</v>
      </c>
      <c r="D354" t="s">
        <v>43</v>
      </c>
      <c r="G354" t="s">
        <v>1077</v>
      </c>
      <c r="H354" s="8" t="s">
        <v>221</v>
      </c>
      <c r="I354" s="8" t="s">
        <v>221</v>
      </c>
      <c r="J354" s="8" t="s">
        <v>221</v>
      </c>
      <c r="K354" s="8" t="s">
        <v>221</v>
      </c>
      <c r="L354" s="8" t="s">
        <v>208</v>
      </c>
      <c r="M354" s="8" t="s">
        <v>208</v>
      </c>
      <c r="N354" s="8" t="s">
        <v>221</v>
      </c>
      <c r="O354" s="8" t="s">
        <v>221</v>
      </c>
      <c r="P354" t="s">
        <v>1841</v>
      </c>
      <c r="Q354" t="s">
        <v>1856</v>
      </c>
      <c r="R354" t="s">
        <v>1857</v>
      </c>
      <c r="S354" t="s">
        <v>1857</v>
      </c>
      <c r="T354" t="s">
        <v>1855</v>
      </c>
      <c r="U354" t="s">
        <v>1858</v>
      </c>
      <c r="V354" t="s">
        <v>1409</v>
      </c>
      <c r="W354" t="s">
        <v>298</v>
      </c>
      <c r="X354" t="s">
        <v>298</v>
      </c>
      <c r="Y354" t="s">
        <v>299</v>
      </c>
      <c r="Z354" t="s">
        <v>299</v>
      </c>
      <c r="AA354" t="s">
        <v>1410</v>
      </c>
      <c r="AB354" t="s">
        <v>312</v>
      </c>
      <c r="AC354" t="s">
        <v>312</v>
      </c>
      <c r="AD354" t="s">
        <v>1712</v>
      </c>
      <c r="AE354" t="s">
        <v>1410</v>
      </c>
      <c r="AG354" s="8" t="s">
        <v>218</v>
      </c>
      <c r="AH354" t="s">
        <v>302</v>
      </c>
      <c r="AI354" s="9" t="s">
        <v>218</v>
      </c>
      <c r="AJ354" s="9" t="s">
        <v>218</v>
      </c>
      <c r="AK354" t="s">
        <v>1859</v>
      </c>
      <c r="AL354" s="9" t="s">
        <v>218</v>
      </c>
      <c r="AM354" s="8" t="s">
        <v>221</v>
      </c>
      <c r="AN354" s="8" t="s">
        <v>221</v>
      </c>
      <c r="AO354" s="8" t="s">
        <v>222</v>
      </c>
      <c r="AP354" s="8">
        <v>0</v>
      </c>
      <c r="AQ354" s="8">
        <v>0</v>
      </c>
      <c r="AR354" s="8">
        <v>0</v>
      </c>
      <c r="AS354" s="8">
        <v>0</v>
      </c>
      <c r="AT354" s="8">
        <v>0</v>
      </c>
      <c r="AU354" s="8">
        <v>0</v>
      </c>
      <c r="AV354" s="8">
        <v>0</v>
      </c>
      <c r="AW354" s="8">
        <v>0</v>
      </c>
      <c r="AX354" s="8"/>
      <c r="AY354" s="8"/>
      <c r="AZ354">
        <v>1</v>
      </c>
      <c r="BA354" t="s">
        <v>304</v>
      </c>
      <c r="BB354" t="s">
        <v>1860</v>
      </c>
      <c r="BC354" t="s">
        <v>1861</v>
      </c>
    </row>
    <row r="355" spans="1:55">
      <c r="A355" s="6">
        <v>45793</v>
      </c>
      <c r="B355" s="7" t="s">
        <v>1862</v>
      </c>
      <c r="C355" t="s">
        <v>308</v>
      </c>
      <c r="D355" t="s">
        <v>43</v>
      </c>
      <c r="G355" t="s">
        <v>1077</v>
      </c>
      <c r="H355" s="8" t="s">
        <v>221</v>
      </c>
      <c r="I355" s="8" t="s">
        <v>221</v>
      </c>
      <c r="J355" s="8" t="s">
        <v>221</v>
      </c>
      <c r="K355" s="8" t="s">
        <v>221</v>
      </c>
      <c r="L355" s="8" t="s">
        <v>208</v>
      </c>
      <c r="M355" s="8" t="s">
        <v>208</v>
      </c>
      <c r="N355" s="8" t="s">
        <v>221</v>
      </c>
      <c r="O355" s="8" t="s">
        <v>221</v>
      </c>
      <c r="Q355" t="s">
        <v>1863</v>
      </c>
      <c r="R355" t="s">
        <v>1864</v>
      </c>
      <c r="S355" t="s">
        <v>1864</v>
      </c>
      <c r="T355" t="s">
        <v>1862</v>
      </c>
      <c r="U355" t="s">
        <v>1865</v>
      </c>
      <c r="V355" t="s">
        <v>1866</v>
      </c>
      <c r="W355" t="s">
        <v>298</v>
      </c>
      <c r="Y355" t="s">
        <v>1082</v>
      </c>
      <c r="AA355" t="s">
        <v>1867</v>
      </c>
      <c r="AB355" t="s">
        <v>312</v>
      </c>
      <c r="AD355" t="s">
        <v>1712</v>
      </c>
      <c r="AG355" s="8" t="s">
        <v>218</v>
      </c>
      <c r="AI355" s="9" t="s">
        <v>218</v>
      </c>
      <c r="AJ355" s="9" t="s">
        <v>218</v>
      </c>
      <c r="AK355" t="s">
        <v>1072</v>
      </c>
      <c r="AL355" s="8" t="s">
        <v>221</v>
      </c>
      <c r="AM355" s="9" t="s">
        <v>218</v>
      </c>
      <c r="AN355" s="8" t="s">
        <v>221</v>
      </c>
      <c r="AO355" s="9" t="s">
        <v>1086</v>
      </c>
      <c r="AP355" s="8">
        <v>0</v>
      </c>
      <c r="AQ355" s="8">
        <v>0</v>
      </c>
      <c r="AR355" s="8">
        <v>0</v>
      </c>
      <c r="AS355" s="8">
        <v>0</v>
      </c>
      <c r="AT355" s="8">
        <v>0</v>
      </c>
      <c r="AU355" s="8">
        <v>0</v>
      </c>
      <c r="AV355" s="8">
        <v>0</v>
      </c>
      <c r="AW355" s="8">
        <v>0</v>
      </c>
      <c r="AX355" s="8"/>
      <c r="AY355" s="8"/>
      <c r="AZ355">
        <v>0</v>
      </c>
      <c r="BC355" t="s">
        <v>1868</v>
      </c>
    </row>
    <row r="356" spans="1:55">
      <c r="A356" s="6">
        <v>45793</v>
      </c>
      <c r="B356" s="7" t="s">
        <v>1869</v>
      </c>
      <c r="C356" t="s">
        <v>308</v>
      </c>
      <c r="D356" t="s">
        <v>43</v>
      </c>
      <c r="G356" t="s">
        <v>1077</v>
      </c>
      <c r="H356" s="8" t="s">
        <v>221</v>
      </c>
      <c r="I356" s="8" t="s">
        <v>221</v>
      </c>
      <c r="J356" s="8" t="s">
        <v>221</v>
      </c>
      <c r="K356" s="8" t="s">
        <v>221</v>
      </c>
      <c r="L356" s="8" t="s">
        <v>208</v>
      </c>
      <c r="M356" s="8" t="s">
        <v>208</v>
      </c>
      <c r="N356" s="8" t="s">
        <v>221</v>
      </c>
      <c r="O356" s="8" t="s">
        <v>221</v>
      </c>
      <c r="Q356" t="s">
        <v>1870</v>
      </c>
      <c r="R356" t="s">
        <v>1871</v>
      </c>
      <c r="S356" t="s">
        <v>1871</v>
      </c>
      <c r="T356" t="s">
        <v>1869</v>
      </c>
      <c r="U356" t="s">
        <v>1872</v>
      </c>
      <c r="V356" t="s">
        <v>1866</v>
      </c>
      <c r="W356" t="s">
        <v>298</v>
      </c>
      <c r="Y356" t="s">
        <v>1082</v>
      </c>
      <c r="AA356" t="s">
        <v>1867</v>
      </c>
      <c r="AB356" t="s">
        <v>312</v>
      </c>
      <c r="AD356" t="s">
        <v>1712</v>
      </c>
      <c r="AG356" s="8" t="s">
        <v>218</v>
      </c>
      <c r="AI356" s="9" t="s">
        <v>218</v>
      </c>
      <c r="AJ356" s="9" t="s">
        <v>218</v>
      </c>
      <c r="AK356" t="s">
        <v>1873</v>
      </c>
      <c r="AL356" s="8" t="s">
        <v>221</v>
      </c>
      <c r="AM356" s="9" t="s">
        <v>218</v>
      </c>
      <c r="AN356" s="8" t="s">
        <v>221</v>
      </c>
      <c r="AO356" s="9" t="s">
        <v>1086</v>
      </c>
      <c r="AP356" s="8">
        <v>0</v>
      </c>
      <c r="AQ356" s="8">
        <v>0</v>
      </c>
      <c r="AR356" s="8">
        <v>0</v>
      </c>
      <c r="AS356" s="8">
        <v>0</v>
      </c>
      <c r="AT356" s="8">
        <v>0</v>
      </c>
      <c r="AU356" s="8">
        <v>0</v>
      </c>
      <c r="AV356" s="8">
        <v>0</v>
      </c>
      <c r="AW356" s="8">
        <v>0</v>
      </c>
      <c r="AX356" s="8"/>
      <c r="AY356" s="8"/>
      <c r="AZ356">
        <v>0</v>
      </c>
      <c r="BC356" t="s">
        <v>1874</v>
      </c>
    </row>
    <row r="357" spans="1:55">
      <c r="A357" s="6">
        <v>45793</v>
      </c>
      <c r="B357" s="7" t="s">
        <v>1875</v>
      </c>
      <c r="C357" t="s">
        <v>308</v>
      </c>
      <c r="D357" t="s">
        <v>43</v>
      </c>
      <c r="G357" t="s">
        <v>1077</v>
      </c>
      <c r="H357" s="8" t="s">
        <v>221</v>
      </c>
      <c r="I357" s="8" t="s">
        <v>221</v>
      </c>
      <c r="J357" s="8" t="s">
        <v>221</v>
      </c>
      <c r="K357" s="8" t="s">
        <v>221</v>
      </c>
      <c r="L357" s="8" t="s">
        <v>208</v>
      </c>
      <c r="M357" s="8" t="s">
        <v>208</v>
      </c>
      <c r="N357" s="8" t="s">
        <v>221</v>
      </c>
      <c r="O357" s="8" t="s">
        <v>221</v>
      </c>
      <c r="Q357" t="s">
        <v>1876</v>
      </c>
      <c r="R357" t="s">
        <v>1877</v>
      </c>
      <c r="S357" t="s">
        <v>1877</v>
      </c>
      <c r="T357" t="s">
        <v>1875</v>
      </c>
      <c r="U357" t="s">
        <v>1878</v>
      </c>
      <c r="V357" t="s">
        <v>1866</v>
      </c>
      <c r="W357" t="s">
        <v>298</v>
      </c>
      <c r="Y357" t="s">
        <v>1082</v>
      </c>
      <c r="AA357" t="s">
        <v>1867</v>
      </c>
      <c r="AB357" t="s">
        <v>312</v>
      </c>
      <c r="AD357" t="s">
        <v>1712</v>
      </c>
      <c r="AG357" s="8" t="s">
        <v>218</v>
      </c>
      <c r="AI357" s="9" t="s">
        <v>218</v>
      </c>
      <c r="AJ357" s="9" t="s">
        <v>218</v>
      </c>
      <c r="AK357" t="s">
        <v>1879</v>
      </c>
      <c r="AL357" s="8" t="s">
        <v>221</v>
      </c>
      <c r="AM357" s="9" t="s">
        <v>218</v>
      </c>
      <c r="AN357" s="8" t="s">
        <v>221</v>
      </c>
      <c r="AO357" s="9" t="s">
        <v>1086</v>
      </c>
      <c r="AP357" s="8">
        <v>0</v>
      </c>
      <c r="AQ357" s="8">
        <v>0</v>
      </c>
      <c r="AR357" s="8">
        <v>0</v>
      </c>
      <c r="AS357" s="8">
        <v>0</v>
      </c>
      <c r="AT357" s="8">
        <v>0</v>
      </c>
      <c r="AU357" s="8">
        <v>0</v>
      </c>
      <c r="AV357" s="8">
        <v>0</v>
      </c>
      <c r="AW357" s="8">
        <v>0</v>
      </c>
      <c r="AX357" s="8"/>
      <c r="AY357" s="8"/>
      <c r="AZ357">
        <v>0</v>
      </c>
      <c r="BC357" t="s">
        <v>1880</v>
      </c>
    </row>
    <row r="358" spans="1:55">
      <c r="A358" s="6">
        <v>45793</v>
      </c>
      <c r="B358" s="7" t="s">
        <v>1881</v>
      </c>
      <c r="C358" t="s">
        <v>308</v>
      </c>
      <c r="D358" t="s">
        <v>43</v>
      </c>
      <c r="G358" t="s">
        <v>1077</v>
      </c>
      <c r="H358" s="8" t="s">
        <v>221</v>
      </c>
      <c r="I358" s="8" t="s">
        <v>221</v>
      </c>
      <c r="J358" s="8" t="s">
        <v>221</v>
      </c>
      <c r="K358" s="8" t="s">
        <v>221</v>
      </c>
      <c r="L358" s="8" t="s">
        <v>208</v>
      </c>
      <c r="M358" s="8" t="s">
        <v>208</v>
      </c>
      <c r="N358" s="8" t="s">
        <v>221</v>
      </c>
      <c r="O358" s="8" t="s">
        <v>221</v>
      </c>
      <c r="Q358" t="s">
        <v>1882</v>
      </c>
      <c r="R358" t="s">
        <v>1883</v>
      </c>
      <c r="S358" t="s">
        <v>1883</v>
      </c>
      <c r="T358" t="s">
        <v>1881</v>
      </c>
      <c r="U358" t="s">
        <v>1884</v>
      </c>
      <c r="V358" t="s">
        <v>1866</v>
      </c>
      <c r="W358" t="s">
        <v>298</v>
      </c>
      <c r="Y358" t="s">
        <v>1082</v>
      </c>
      <c r="AA358" t="s">
        <v>1867</v>
      </c>
      <c r="AB358" t="s">
        <v>312</v>
      </c>
      <c r="AD358" t="s">
        <v>1712</v>
      </c>
      <c r="AG358" s="8" t="s">
        <v>218</v>
      </c>
      <c r="AI358" s="9" t="s">
        <v>218</v>
      </c>
      <c r="AJ358" s="9" t="s">
        <v>218</v>
      </c>
      <c r="AK358" t="s">
        <v>1885</v>
      </c>
      <c r="AL358" s="8" t="s">
        <v>221</v>
      </c>
      <c r="AM358" s="9" t="s">
        <v>218</v>
      </c>
      <c r="AN358" s="8" t="s">
        <v>221</v>
      </c>
      <c r="AO358" s="9" t="s">
        <v>1086</v>
      </c>
      <c r="AP358" s="8">
        <v>0</v>
      </c>
      <c r="AQ358" s="8">
        <v>0</v>
      </c>
      <c r="AR358" s="8">
        <v>0</v>
      </c>
      <c r="AS358" s="8">
        <v>0</v>
      </c>
      <c r="AT358" s="8">
        <v>0</v>
      </c>
      <c r="AU358" s="8">
        <v>0</v>
      </c>
      <c r="AV358" s="8">
        <v>0</v>
      </c>
      <c r="AW358" s="8">
        <v>0</v>
      </c>
      <c r="AX358" s="8"/>
      <c r="AY358" s="8"/>
      <c r="BC358" t="s">
        <v>1886</v>
      </c>
    </row>
    <row r="359" spans="1:55">
      <c r="A359" s="6">
        <v>45793</v>
      </c>
      <c r="B359" s="7" t="s">
        <v>1887</v>
      </c>
      <c r="C359" t="s">
        <v>308</v>
      </c>
      <c r="D359" t="s">
        <v>43</v>
      </c>
      <c r="G359" t="s">
        <v>1077</v>
      </c>
      <c r="H359" s="8" t="s">
        <v>221</v>
      </c>
      <c r="I359" s="8" t="s">
        <v>221</v>
      </c>
      <c r="J359" s="8" t="s">
        <v>221</v>
      </c>
      <c r="K359" s="8" t="s">
        <v>221</v>
      </c>
      <c r="L359" s="8" t="s">
        <v>208</v>
      </c>
      <c r="M359" s="8" t="s">
        <v>208</v>
      </c>
      <c r="N359" s="8" t="s">
        <v>221</v>
      </c>
      <c r="O359" s="8" t="s">
        <v>221</v>
      </c>
      <c r="Q359" t="s">
        <v>1888</v>
      </c>
      <c r="R359" t="s">
        <v>1889</v>
      </c>
      <c r="S359" t="s">
        <v>1889</v>
      </c>
      <c r="T359" t="s">
        <v>1887</v>
      </c>
      <c r="U359" t="s">
        <v>1890</v>
      </c>
      <c r="V359" t="s">
        <v>1866</v>
      </c>
      <c r="W359" t="s">
        <v>298</v>
      </c>
      <c r="Y359" t="s">
        <v>1082</v>
      </c>
      <c r="AA359" t="s">
        <v>1867</v>
      </c>
      <c r="AB359" t="s">
        <v>312</v>
      </c>
      <c r="AD359" t="s">
        <v>1712</v>
      </c>
      <c r="AG359" s="8" t="s">
        <v>218</v>
      </c>
      <c r="AI359" s="9" t="s">
        <v>218</v>
      </c>
      <c r="AJ359" s="9" t="s">
        <v>218</v>
      </c>
      <c r="AK359" t="s">
        <v>1891</v>
      </c>
      <c r="AL359" s="8" t="s">
        <v>221</v>
      </c>
      <c r="AM359" s="9" t="s">
        <v>218</v>
      </c>
      <c r="AN359" s="8" t="s">
        <v>221</v>
      </c>
      <c r="AO359" s="9" t="s">
        <v>1086</v>
      </c>
      <c r="AP359" s="8">
        <v>0</v>
      </c>
      <c r="AQ359" s="8">
        <v>0</v>
      </c>
      <c r="AR359" s="8">
        <v>0</v>
      </c>
      <c r="AS359" s="8">
        <v>0</v>
      </c>
      <c r="AT359" s="8">
        <v>0</v>
      </c>
      <c r="AU359" s="8">
        <v>0</v>
      </c>
      <c r="AV359" s="8">
        <v>0</v>
      </c>
      <c r="AW359" s="8">
        <v>0</v>
      </c>
      <c r="AX359" s="8"/>
      <c r="AY359" s="8"/>
      <c r="AZ359">
        <v>0</v>
      </c>
      <c r="BC359" t="s">
        <v>1892</v>
      </c>
    </row>
    <row r="360" spans="1:55">
      <c r="A360" s="6">
        <v>45793</v>
      </c>
      <c r="B360" s="7" t="s">
        <v>1893</v>
      </c>
      <c r="C360" t="s">
        <v>308</v>
      </c>
      <c r="D360" t="s">
        <v>43</v>
      </c>
      <c r="G360" t="s">
        <v>1077</v>
      </c>
      <c r="H360" s="8" t="s">
        <v>221</v>
      </c>
      <c r="I360" s="8" t="s">
        <v>221</v>
      </c>
      <c r="J360" s="8" t="s">
        <v>221</v>
      </c>
      <c r="K360" s="8" t="s">
        <v>221</v>
      </c>
      <c r="L360" s="8" t="s">
        <v>208</v>
      </c>
      <c r="M360" s="8" t="s">
        <v>208</v>
      </c>
      <c r="N360" s="8" t="s">
        <v>221</v>
      </c>
      <c r="O360" s="8" t="s">
        <v>221</v>
      </c>
      <c r="Q360" t="s">
        <v>1894</v>
      </c>
      <c r="R360" t="s">
        <v>1895</v>
      </c>
      <c r="S360" t="s">
        <v>1895</v>
      </c>
      <c r="T360" t="s">
        <v>1893</v>
      </c>
      <c r="U360" t="s">
        <v>1896</v>
      </c>
      <c r="V360" t="s">
        <v>1866</v>
      </c>
      <c r="W360" t="s">
        <v>298</v>
      </c>
      <c r="Y360" t="s">
        <v>1082</v>
      </c>
      <c r="AA360" t="s">
        <v>1867</v>
      </c>
      <c r="AB360" t="s">
        <v>312</v>
      </c>
      <c r="AD360" t="s">
        <v>1712</v>
      </c>
      <c r="AG360" s="8" t="s">
        <v>218</v>
      </c>
      <c r="AI360" s="9" t="s">
        <v>218</v>
      </c>
      <c r="AJ360" s="9" t="s">
        <v>218</v>
      </c>
      <c r="AK360" t="s">
        <v>1873</v>
      </c>
      <c r="AL360" s="8" t="s">
        <v>221</v>
      </c>
      <c r="AM360" s="9" t="s">
        <v>218</v>
      </c>
      <c r="AN360" s="8" t="s">
        <v>221</v>
      </c>
      <c r="AO360" s="9" t="s">
        <v>1086</v>
      </c>
      <c r="AP360" s="8">
        <v>0</v>
      </c>
      <c r="AQ360" s="8">
        <v>0</v>
      </c>
      <c r="AR360" s="8">
        <v>0</v>
      </c>
      <c r="AS360" s="8">
        <v>0</v>
      </c>
      <c r="AT360" s="8">
        <v>0</v>
      </c>
      <c r="AU360" s="8">
        <v>0</v>
      </c>
      <c r="AV360" s="8">
        <v>0</v>
      </c>
      <c r="AW360" s="8">
        <v>0</v>
      </c>
      <c r="AX360" s="8"/>
      <c r="AY360" s="8"/>
      <c r="AZ360">
        <v>0</v>
      </c>
      <c r="BC360" t="s">
        <v>1897</v>
      </c>
    </row>
    <row r="361" spans="1:55">
      <c r="A361" s="6">
        <v>45793</v>
      </c>
      <c r="B361" s="7" t="s">
        <v>1898</v>
      </c>
      <c r="C361" t="s">
        <v>308</v>
      </c>
      <c r="D361" t="s">
        <v>43</v>
      </c>
      <c r="G361" t="s">
        <v>1077</v>
      </c>
      <c r="H361" s="8" t="s">
        <v>221</v>
      </c>
      <c r="I361" s="8" t="s">
        <v>221</v>
      </c>
      <c r="J361" s="8" t="s">
        <v>221</v>
      </c>
      <c r="K361" s="8" t="s">
        <v>221</v>
      </c>
      <c r="L361" s="8" t="s">
        <v>208</v>
      </c>
      <c r="M361" s="8" t="s">
        <v>208</v>
      </c>
      <c r="N361" s="8" t="s">
        <v>221</v>
      </c>
      <c r="O361" s="8" t="s">
        <v>221</v>
      </c>
      <c r="Q361" t="s">
        <v>1899</v>
      </c>
      <c r="R361" t="s">
        <v>1900</v>
      </c>
      <c r="S361" t="s">
        <v>1900</v>
      </c>
      <c r="T361" t="s">
        <v>1898</v>
      </c>
      <c r="U361" t="s">
        <v>1901</v>
      </c>
      <c r="V361" t="s">
        <v>1866</v>
      </c>
      <c r="W361" t="s">
        <v>298</v>
      </c>
      <c r="Y361" t="s">
        <v>1082</v>
      </c>
      <c r="AA361" t="s">
        <v>1867</v>
      </c>
      <c r="AB361" t="s">
        <v>312</v>
      </c>
      <c r="AD361" t="s">
        <v>1712</v>
      </c>
      <c r="AG361" s="8" t="s">
        <v>218</v>
      </c>
      <c r="AI361" s="9" t="s">
        <v>218</v>
      </c>
      <c r="AJ361" s="9" t="s">
        <v>218</v>
      </c>
      <c r="AK361" t="s">
        <v>1873</v>
      </c>
      <c r="AL361" s="8" t="s">
        <v>221</v>
      </c>
      <c r="AM361" s="9" t="s">
        <v>218</v>
      </c>
      <c r="AN361" s="8" t="s">
        <v>221</v>
      </c>
      <c r="AO361" s="9" t="s">
        <v>1086</v>
      </c>
      <c r="AP361" s="8">
        <v>0</v>
      </c>
      <c r="AQ361" s="8">
        <v>0</v>
      </c>
      <c r="AR361" s="8">
        <v>0</v>
      </c>
      <c r="AS361" s="8">
        <v>0</v>
      </c>
      <c r="AT361" s="8">
        <v>0</v>
      </c>
      <c r="AU361" s="8">
        <v>0</v>
      </c>
      <c r="AV361" s="8">
        <v>0</v>
      </c>
      <c r="AW361" s="8">
        <v>0</v>
      </c>
      <c r="AX361" s="8"/>
      <c r="AY361" s="8"/>
      <c r="AZ361">
        <v>0</v>
      </c>
      <c r="BC361" t="s">
        <v>1902</v>
      </c>
    </row>
    <row r="362" spans="1:55">
      <c r="A362" s="6">
        <v>45793</v>
      </c>
      <c r="B362" s="7" t="s">
        <v>1903</v>
      </c>
      <c r="C362" t="s">
        <v>308</v>
      </c>
      <c r="D362" t="s">
        <v>43</v>
      </c>
      <c r="G362" t="s">
        <v>1077</v>
      </c>
      <c r="H362" s="8" t="s">
        <v>221</v>
      </c>
      <c r="I362" s="8" t="s">
        <v>221</v>
      </c>
      <c r="J362" s="8" t="s">
        <v>221</v>
      </c>
      <c r="K362" s="8" t="s">
        <v>221</v>
      </c>
      <c r="L362" s="8" t="s">
        <v>208</v>
      </c>
      <c r="M362" s="8" t="s">
        <v>208</v>
      </c>
      <c r="N362" s="8" t="s">
        <v>221</v>
      </c>
      <c r="O362" s="8" t="s">
        <v>221</v>
      </c>
      <c r="Q362" t="s">
        <v>1904</v>
      </c>
      <c r="R362" t="s">
        <v>1905</v>
      </c>
      <c r="S362" t="s">
        <v>1905</v>
      </c>
      <c r="T362" t="s">
        <v>1903</v>
      </c>
      <c r="U362" t="s">
        <v>1906</v>
      </c>
      <c r="V362" t="s">
        <v>1866</v>
      </c>
      <c r="W362" t="s">
        <v>298</v>
      </c>
      <c r="Y362" t="s">
        <v>1082</v>
      </c>
      <c r="AA362" t="s">
        <v>1867</v>
      </c>
      <c r="AB362" t="s">
        <v>312</v>
      </c>
      <c r="AD362" t="s">
        <v>1712</v>
      </c>
      <c r="AG362" s="8" t="s">
        <v>218</v>
      </c>
      <c r="AI362" s="9" t="s">
        <v>218</v>
      </c>
      <c r="AJ362" s="9" t="s">
        <v>218</v>
      </c>
      <c r="AK362" t="s">
        <v>1891</v>
      </c>
      <c r="AL362" s="8" t="s">
        <v>221</v>
      </c>
      <c r="AM362" s="9" t="s">
        <v>218</v>
      </c>
      <c r="AN362" s="8" t="s">
        <v>221</v>
      </c>
      <c r="AO362" s="9" t="s">
        <v>1086</v>
      </c>
      <c r="AP362" s="8">
        <v>0</v>
      </c>
      <c r="AQ362" s="8">
        <v>0</v>
      </c>
      <c r="AR362" s="8">
        <v>0</v>
      </c>
      <c r="AS362" s="8">
        <v>0</v>
      </c>
      <c r="AT362" s="8">
        <v>0</v>
      </c>
      <c r="AU362" s="8">
        <v>0</v>
      </c>
      <c r="AV362" s="8">
        <v>0</v>
      </c>
      <c r="AW362" s="8">
        <v>0</v>
      </c>
      <c r="AX362" s="8"/>
      <c r="AY362" s="8"/>
      <c r="AZ362">
        <v>0</v>
      </c>
      <c r="BC362" t="s">
        <v>1907</v>
      </c>
    </row>
    <row r="363" spans="1:55">
      <c r="A363" s="6">
        <v>45793</v>
      </c>
      <c r="B363" s="7" t="s">
        <v>1908</v>
      </c>
      <c r="C363" t="s">
        <v>308</v>
      </c>
      <c r="D363" t="s">
        <v>43</v>
      </c>
      <c r="G363" t="s">
        <v>1077</v>
      </c>
      <c r="H363" s="8" t="s">
        <v>221</v>
      </c>
      <c r="I363" s="8" t="s">
        <v>221</v>
      </c>
      <c r="J363" s="8" t="s">
        <v>221</v>
      </c>
      <c r="K363" s="8" t="s">
        <v>221</v>
      </c>
      <c r="L363" s="8" t="s">
        <v>208</v>
      </c>
      <c r="M363" s="8" t="s">
        <v>208</v>
      </c>
      <c r="N363" s="8" t="s">
        <v>221</v>
      </c>
      <c r="O363" s="8" t="s">
        <v>221</v>
      </c>
      <c r="Q363" t="s">
        <v>1909</v>
      </c>
      <c r="R363" t="s">
        <v>1910</v>
      </c>
      <c r="S363" t="s">
        <v>1910</v>
      </c>
      <c r="T363" t="s">
        <v>1908</v>
      </c>
      <c r="U363" t="s">
        <v>1911</v>
      </c>
      <c r="V363" t="s">
        <v>1866</v>
      </c>
      <c r="W363" t="s">
        <v>298</v>
      </c>
      <c r="Y363" t="s">
        <v>1082</v>
      </c>
      <c r="AA363" t="s">
        <v>1867</v>
      </c>
      <c r="AB363" t="s">
        <v>312</v>
      </c>
      <c r="AD363" t="s">
        <v>1712</v>
      </c>
      <c r="AG363" s="8" t="s">
        <v>218</v>
      </c>
      <c r="AI363" s="9" t="s">
        <v>218</v>
      </c>
      <c r="AJ363" s="9" t="s">
        <v>218</v>
      </c>
      <c r="AK363" t="s">
        <v>1873</v>
      </c>
      <c r="AL363" s="8" t="s">
        <v>221</v>
      </c>
      <c r="AM363" s="9" t="s">
        <v>218</v>
      </c>
      <c r="AN363" s="8" t="s">
        <v>221</v>
      </c>
      <c r="AO363" s="9" t="s">
        <v>1086</v>
      </c>
      <c r="AP363" s="8">
        <v>0</v>
      </c>
      <c r="AQ363" s="8">
        <v>0</v>
      </c>
      <c r="AR363" s="8">
        <v>0</v>
      </c>
      <c r="AS363" s="8">
        <v>0</v>
      </c>
      <c r="AT363" s="8">
        <v>0</v>
      </c>
      <c r="AU363" s="8">
        <v>0</v>
      </c>
      <c r="AV363" s="8">
        <v>0</v>
      </c>
      <c r="AW363" s="8">
        <v>0</v>
      </c>
      <c r="AX363" s="8"/>
      <c r="AY363" s="8"/>
      <c r="AZ363">
        <v>0</v>
      </c>
      <c r="BC363" t="s">
        <v>1912</v>
      </c>
    </row>
    <row r="364" spans="1:55">
      <c r="A364" s="6">
        <v>45793</v>
      </c>
      <c r="B364" s="7" t="s">
        <v>1913</v>
      </c>
      <c r="C364" t="s">
        <v>387</v>
      </c>
      <c r="D364" t="s">
        <v>43</v>
      </c>
      <c r="G364" t="s">
        <v>1077</v>
      </c>
      <c r="H364" s="8" t="s">
        <v>221</v>
      </c>
      <c r="I364" s="8" t="s">
        <v>221</v>
      </c>
      <c r="J364" s="8" t="s">
        <v>221</v>
      </c>
      <c r="K364" s="8" t="s">
        <v>221</v>
      </c>
      <c r="L364" s="8" t="s">
        <v>208</v>
      </c>
      <c r="M364" s="8" t="s">
        <v>208</v>
      </c>
      <c r="N364" s="8" t="s">
        <v>221</v>
      </c>
      <c r="O364" s="8" t="s">
        <v>221</v>
      </c>
      <c r="P364" t="s">
        <v>1841</v>
      </c>
      <c r="Q364" t="s">
        <v>1914</v>
      </c>
      <c r="R364" t="s">
        <v>1915</v>
      </c>
      <c r="S364" t="s">
        <v>1915</v>
      </c>
      <c r="T364" t="s">
        <v>1913</v>
      </c>
      <c r="U364" t="s">
        <v>1916</v>
      </c>
      <c r="V364" t="s">
        <v>1409</v>
      </c>
      <c r="W364" t="s">
        <v>298</v>
      </c>
      <c r="X364" t="s">
        <v>298</v>
      </c>
      <c r="Y364" t="s">
        <v>299</v>
      </c>
      <c r="Z364" t="s">
        <v>299</v>
      </c>
      <c r="AA364" t="s">
        <v>1410</v>
      </c>
      <c r="AB364" t="s">
        <v>301</v>
      </c>
      <c r="AC364" t="s">
        <v>301</v>
      </c>
      <c r="AD364" t="s">
        <v>1712</v>
      </c>
      <c r="AE364" t="s">
        <v>1410</v>
      </c>
      <c r="AG364" s="8" t="s">
        <v>218</v>
      </c>
      <c r="AH364" t="s">
        <v>302</v>
      </c>
      <c r="AI364" s="9" t="s">
        <v>218</v>
      </c>
      <c r="AJ364" s="9" t="s">
        <v>218</v>
      </c>
      <c r="AK364" t="s">
        <v>1852</v>
      </c>
      <c r="AL364" s="9" t="s">
        <v>218</v>
      </c>
      <c r="AM364" s="8" t="s">
        <v>221</v>
      </c>
      <c r="AN364" s="8" t="s">
        <v>221</v>
      </c>
      <c r="AO364" s="8" t="s">
        <v>222</v>
      </c>
      <c r="AP364" s="8">
        <v>0</v>
      </c>
      <c r="AQ364" s="8">
        <v>0</v>
      </c>
      <c r="AR364" s="8">
        <v>0</v>
      </c>
      <c r="AS364" s="8">
        <v>0</v>
      </c>
      <c r="AT364" s="8">
        <v>0</v>
      </c>
      <c r="AU364" s="8">
        <v>0</v>
      </c>
      <c r="AV364" s="8">
        <v>0</v>
      </c>
      <c r="AW364" s="8">
        <v>0</v>
      </c>
      <c r="AX364" s="8"/>
      <c r="AY364" s="8"/>
      <c r="AZ364">
        <v>1</v>
      </c>
      <c r="BA364" t="s">
        <v>304</v>
      </c>
      <c r="BB364" t="s">
        <v>1917</v>
      </c>
      <c r="BC364" t="s">
        <v>1918</v>
      </c>
    </row>
    <row r="365" spans="1:55">
      <c r="A365" s="6">
        <v>45793</v>
      </c>
      <c r="B365" s="7" t="s">
        <v>1919</v>
      </c>
      <c r="C365" t="s">
        <v>387</v>
      </c>
      <c r="D365" t="s">
        <v>43</v>
      </c>
      <c r="G365" t="s">
        <v>1077</v>
      </c>
      <c r="H365" s="8" t="s">
        <v>221</v>
      </c>
      <c r="I365" s="8" t="s">
        <v>221</v>
      </c>
      <c r="J365" s="8" t="s">
        <v>221</v>
      </c>
      <c r="K365" s="8" t="s">
        <v>221</v>
      </c>
      <c r="L365" s="8" t="s">
        <v>208</v>
      </c>
      <c r="M365" s="8" t="s">
        <v>208</v>
      </c>
      <c r="N365" s="8" t="s">
        <v>221</v>
      </c>
      <c r="O365" s="8" t="s">
        <v>221</v>
      </c>
      <c r="P365" t="s">
        <v>1841</v>
      </c>
      <c r="Q365" t="s">
        <v>1920</v>
      </c>
      <c r="R365" t="s">
        <v>1921</v>
      </c>
      <c r="S365" t="s">
        <v>1921</v>
      </c>
      <c r="T365" t="s">
        <v>1919</v>
      </c>
      <c r="U365" t="s">
        <v>1922</v>
      </c>
      <c r="V365" t="s">
        <v>1409</v>
      </c>
      <c r="W365" t="s">
        <v>298</v>
      </c>
      <c r="X365" t="s">
        <v>298</v>
      </c>
      <c r="Y365" t="s">
        <v>299</v>
      </c>
      <c r="Z365" t="s">
        <v>299</v>
      </c>
      <c r="AA365" t="s">
        <v>1410</v>
      </c>
      <c r="AB365" t="s">
        <v>465</v>
      </c>
      <c r="AC365" t="s">
        <v>465</v>
      </c>
      <c r="AD365" t="s">
        <v>1712</v>
      </c>
      <c r="AE365" t="s">
        <v>1410</v>
      </c>
      <c r="AG365" s="8" t="s">
        <v>218</v>
      </c>
      <c r="AH365" t="s">
        <v>302</v>
      </c>
      <c r="AI365" s="9" t="s">
        <v>218</v>
      </c>
      <c r="AJ365" s="9" t="s">
        <v>218</v>
      </c>
      <c r="AK365" t="s">
        <v>1845</v>
      </c>
      <c r="AL365" s="9" t="s">
        <v>218</v>
      </c>
      <c r="AM365" s="8" t="s">
        <v>221</v>
      </c>
      <c r="AN365" s="8" t="s">
        <v>221</v>
      </c>
      <c r="AO365" s="8" t="s">
        <v>222</v>
      </c>
      <c r="AP365" s="8">
        <v>0</v>
      </c>
      <c r="AQ365" s="8">
        <v>0</v>
      </c>
      <c r="AR365" s="8">
        <v>0</v>
      </c>
      <c r="AS365" s="8">
        <v>0</v>
      </c>
      <c r="AT365" s="8">
        <v>0</v>
      </c>
      <c r="AU365" s="8">
        <v>0</v>
      </c>
      <c r="AV365" s="8">
        <v>0</v>
      </c>
      <c r="AW365" s="8">
        <v>0</v>
      </c>
      <c r="AX365" s="8"/>
      <c r="AY365" s="8"/>
      <c r="AZ365">
        <v>1</v>
      </c>
      <c r="BA365" t="s">
        <v>304</v>
      </c>
      <c r="BB365" t="s">
        <v>1923</v>
      </c>
      <c r="BC365" t="s">
        <v>1924</v>
      </c>
    </row>
    <row r="366" spans="1:55">
      <c r="A366" s="6">
        <v>45793</v>
      </c>
      <c r="B366" s="7" t="s">
        <v>1925</v>
      </c>
      <c r="C366" t="s">
        <v>387</v>
      </c>
      <c r="D366" t="s">
        <v>43</v>
      </c>
      <c r="G366" t="s">
        <v>1077</v>
      </c>
      <c r="H366" s="8" t="s">
        <v>221</v>
      </c>
      <c r="I366" s="8" t="s">
        <v>221</v>
      </c>
      <c r="J366" s="8" t="s">
        <v>221</v>
      </c>
      <c r="K366" s="8" t="s">
        <v>221</v>
      </c>
      <c r="L366" s="8" t="s">
        <v>208</v>
      </c>
      <c r="M366" s="8" t="s">
        <v>208</v>
      </c>
      <c r="N366" s="8" t="s">
        <v>221</v>
      </c>
      <c r="O366" s="8" t="s">
        <v>221</v>
      </c>
      <c r="P366" t="s">
        <v>1841</v>
      </c>
      <c r="Q366" t="s">
        <v>1926</v>
      </c>
      <c r="R366" t="s">
        <v>1927</v>
      </c>
      <c r="S366" t="s">
        <v>1927</v>
      </c>
      <c r="T366" t="s">
        <v>1925</v>
      </c>
      <c r="U366" t="s">
        <v>1928</v>
      </c>
      <c r="V366" t="s">
        <v>1081</v>
      </c>
      <c r="W366" t="s">
        <v>298</v>
      </c>
      <c r="X366" t="s">
        <v>298</v>
      </c>
      <c r="Y366" t="s">
        <v>299</v>
      </c>
      <c r="Z366" t="s">
        <v>299</v>
      </c>
      <c r="AA366" t="s">
        <v>1929</v>
      </c>
      <c r="AB366" t="s">
        <v>465</v>
      </c>
      <c r="AC366" t="s">
        <v>465</v>
      </c>
      <c r="AD366" t="s">
        <v>1712</v>
      </c>
      <c r="AE366" t="s">
        <v>1929</v>
      </c>
      <c r="AG366" s="8" t="s">
        <v>218</v>
      </c>
      <c r="AH366" t="s">
        <v>302</v>
      </c>
      <c r="AI366" s="9" t="s">
        <v>218</v>
      </c>
      <c r="AJ366" s="9" t="s">
        <v>218</v>
      </c>
      <c r="AK366" t="s">
        <v>1930</v>
      </c>
      <c r="AL366" s="9" t="s">
        <v>218</v>
      </c>
      <c r="AM366" s="8" t="s">
        <v>221</v>
      </c>
      <c r="AN366" s="8" t="s">
        <v>221</v>
      </c>
      <c r="AO366" s="8" t="s">
        <v>222</v>
      </c>
      <c r="AP366" s="8">
        <v>0</v>
      </c>
      <c r="AQ366" s="8">
        <v>0</v>
      </c>
      <c r="AR366" s="8">
        <v>0</v>
      </c>
      <c r="AS366" s="8">
        <v>0</v>
      </c>
      <c r="AT366" s="8">
        <v>0</v>
      </c>
      <c r="AU366" s="8">
        <v>0</v>
      </c>
      <c r="AV366" s="8">
        <v>0</v>
      </c>
      <c r="AW366" s="8">
        <v>0</v>
      </c>
      <c r="AX366" s="8"/>
      <c r="AY366" s="8"/>
      <c r="AZ366">
        <v>1</v>
      </c>
      <c r="BA366" t="s">
        <v>304</v>
      </c>
      <c r="BB366" t="s">
        <v>1931</v>
      </c>
      <c r="BC366" t="s">
        <v>1932</v>
      </c>
    </row>
    <row r="367" spans="1:55">
      <c r="A367" s="6">
        <v>45793</v>
      </c>
      <c r="B367" s="7" t="s">
        <v>1933</v>
      </c>
      <c r="C367" t="s">
        <v>387</v>
      </c>
      <c r="D367" t="s">
        <v>43</v>
      </c>
      <c r="G367" t="s">
        <v>1077</v>
      </c>
      <c r="H367" s="8" t="s">
        <v>221</v>
      </c>
      <c r="I367" s="8" t="s">
        <v>221</v>
      </c>
      <c r="J367" s="8" t="s">
        <v>221</v>
      </c>
      <c r="K367" s="8" t="s">
        <v>221</v>
      </c>
      <c r="L367" s="8" t="s">
        <v>208</v>
      </c>
      <c r="M367" s="8" t="s">
        <v>208</v>
      </c>
      <c r="N367" s="8" t="s">
        <v>221</v>
      </c>
      <c r="O367" s="8" t="s">
        <v>221</v>
      </c>
      <c r="P367" t="s">
        <v>1841</v>
      </c>
      <c r="Q367" t="s">
        <v>1934</v>
      </c>
      <c r="R367" t="s">
        <v>1935</v>
      </c>
      <c r="S367" t="s">
        <v>1935</v>
      </c>
      <c r="T367" t="s">
        <v>1933</v>
      </c>
      <c r="U367" t="s">
        <v>1936</v>
      </c>
      <c r="V367" t="s">
        <v>1081</v>
      </c>
      <c r="W367" t="s">
        <v>298</v>
      </c>
      <c r="X367" t="s">
        <v>298</v>
      </c>
      <c r="Y367" t="s">
        <v>299</v>
      </c>
      <c r="Z367" t="s">
        <v>299</v>
      </c>
      <c r="AA367" t="s">
        <v>1929</v>
      </c>
      <c r="AB367" t="s">
        <v>312</v>
      </c>
      <c r="AC367" t="s">
        <v>312</v>
      </c>
      <c r="AD367" t="s">
        <v>1712</v>
      </c>
      <c r="AE367" t="s">
        <v>1929</v>
      </c>
      <c r="AG367" s="8" t="s">
        <v>218</v>
      </c>
      <c r="AH367" t="s">
        <v>302</v>
      </c>
      <c r="AI367" s="9" t="s">
        <v>218</v>
      </c>
      <c r="AJ367" s="9" t="s">
        <v>218</v>
      </c>
      <c r="AK367" t="s">
        <v>1937</v>
      </c>
      <c r="AL367" s="9" t="s">
        <v>218</v>
      </c>
      <c r="AM367" s="8" t="s">
        <v>221</v>
      </c>
      <c r="AN367" s="8" t="s">
        <v>221</v>
      </c>
      <c r="AO367" s="8" t="s">
        <v>222</v>
      </c>
      <c r="AP367" s="8">
        <v>0</v>
      </c>
      <c r="AQ367" s="8">
        <v>0</v>
      </c>
      <c r="AR367" s="8">
        <v>0</v>
      </c>
      <c r="AS367" s="8">
        <v>0</v>
      </c>
      <c r="AT367" s="8">
        <v>0</v>
      </c>
      <c r="AU367" s="8">
        <v>0</v>
      </c>
      <c r="AV367" s="8">
        <v>0</v>
      </c>
      <c r="AW367" s="8">
        <v>0</v>
      </c>
      <c r="AX367" s="8"/>
      <c r="AY367" s="8"/>
      <c r="AZ367">
        <v>1</v>
      </c>
      <c r="BA367" t="s">
        <v>304</v>
      </c>
      <c r="BB367" t="s">
        <v>1938</v>
      </c>
      <c r="BC367" t="s">
        <v>1939</v>
      </c>
    </row>
    <row r="368" spans="1:55">
      <c r="A368" s="6">
        <v>45793</v>
      </c>
      <c r="B368" s="7" t="s">
        <v>1940</v>
      </c>
      <c r="C368" t="s">
        <v>387</v>
      </c>
      <c r="D368" t="s">
        <v>43</v>
      </c>
      <c r="G368" t="s">
        <v>1077</v>
      </c>
      <c r="H368" s="8" t="s">
        <v>221</v>
      </c>
      <c r="I368" s="8" t="s">
        <v>221</v>
      </c>
      <c r="J368" s="8" t="s">
        <v>221</v>
      </c>
      <c r="K368" s="8" t="s">
        <v>221</v>
      </c>
      <c r="L368" s="8" t="s">
        <v>208</v>
      </c>
      <c r="M368" s="8" t="s">
        <v>208</v>
      </c>
      <c r="N368" s="8" t="s">
        <v>221</v>
      </c>
      <c r="O368" s="8" t="s">
        <v>221</v>
      </c>
      <c r="P368" t="s">
        <v>1841</v>
      </c>
      <c r="Q368" t="s">
        <v>1941</v>
      </c>
      <c r="R368" t="s">
        <v>1942</v>
      </c>
      <c r="S368" t="s">
        <v>1942</v>
      </c>
      <c r="T368" t="s">
        <v>1940</v>
      </c>
      <c r="U368" t="s">
        <v>1943</v>
      </c>
      <c r="V368" t="s">
        <v>1835</v>
      </c>
      <c r="W368" t="s">
        <v>298</v>
      </c>
      <c r="X368" t="s">
        <v>298</v>
      </c>
      <c r="Y368" t="s">
        <v>1103</v>
      </c>
      <c r="Z368" t="s">
        <v>299</v>
      </c>
      <c r="AA368" t="s">
        <v>1836</v>
      </c>
      <c r="AB368" t="s">
        <v>465</v>
      </c>
      <c r="AC368" t="s">
        <v>301</v>
      </c>
      <c r="AD368" t="s">
        <v>1712</v>
      </c>
      <c r="AE368" t="s">
        <v>1836</v>
      </c>
      <c r="AG368" s="8" t="s">
        <v>218</v>
      </c>
      <c r="AH368" t="s">
        <v>302</v>
      </c>
      <c r="AI368" s="9" t="s">
        <v>218</v>
      </c>
      <c r="AJ368" s="9" t="s">
        <v>218</v>
      </c>
      <c r="AK368" t="s">
        <v>1944</v>
      </c>
      <c r="AL368" s="8" t="s">
        <v>221</v>
      </c>
      <c r="AM368" s="9" t="s">
        <v>218</v>
      </c>
      <c r="AN368" s="8" t="s">
        <v>221</v>
      </c>
      <c r="AO368" s="8" t="s">
        <v>222</v>
      </c>
      <c r="AP368" s="8">
        <v>0</v>
      </c>
      <c r="AQ368" s="8">
        <v>0</v>
      </c>
      <c r="AR368" s="9">
        <v>6</v>
      </c>
      <c r="AS368" s="8">
        <v>0</v>
      </c>
      <c r="AT368" s="8">
        <v>0</v>
      </c>
      <c r="AU368" s="8">
        <v>0</v>
      </c>
      <c r="AV368" s="8">
        <v>0</v>
      </c>
      <c r="AW368" s="9">
        <v>6</v>
      </c>
      <c r="AX368" s="9" t="s">
        <v>1945</v>
      </c>
      <c r="AY368" s="8"/>
      <c r="AZ368">
        <v>2</v>
      </c>
      <c r="BA368" t="s">
        <v>1946</v>
      </c>
      <c r="BB368" t="s">
        <v>1947</v>
      </c>
      <c r="BC368" t="s">
        <v>1948</v>
      </c>
    </row>
    <row r="369" spans="1:55">
      <c r="A369" s="6">
        <v>45793</v>
      </c>
      <c r="B369" s="7" t="s">
        <v>1949</v>
      </c>
      <c r="C369" t="s">
        <v>387</v>
      </c>
      <c r="D369" t="s">
        <v>43</v>
      </c>
      <c r="G369" t="s">
        <v>1077</v>
      </c>
      <c r="H369" s="8" t="s">
        <v>221</v>
      </c>
      <c r="I369" s="8" t="s">
        <v>221</v>
      </c>
      <c r="J369" s="8" t="s">
        <v>221</v>
      </c>
      <c r="K369" s="8" t="s">
        <v>221</v>
      </c>
      <c r="L369" s="8" t="s">
        <v>208</v>
      </c>
      <c r="M369" s="8" t="s">
        <v>208</v>
      </c>
      <c r="N369" s="8" t="s">
        <v>221</v>
      </c>
      <c r="O369" s="8" t="s">
        <v>221</v>
      </c>
      <c r="P369" t="s">
        <v>1841</v>
      </c>
      <c r="Q369" t="s">
        <v>1950</v>
      </c>
      <c r="R369" t="s">
        <v>1951</v>
      </c>
      <c r="S369" t="s">
        <v>1951</v>
      </c>
      <c r="T369" t="s">
        <v>1949</v>
      </c>
      <c r="U369" t="s">
        <v>1952</v>
      </c>
      <c r="V369" t="s">
        <v>1835</v>
      </c>
      <c r="W369" t="s">
        <v>298</v>
      </c>
      <c r="X369" t="s">
        <v>298</v>
      </c>
      <c r="Y369" t="s">
        <v>299</v>
      </c>
      <c r="Z369" t="s">
        <v>299</v>
      </c>
      <c r="AA369" t="s">
        <v>1836</v>
      </c>
      <c r="AB369" t="s">
        <v>301</v>
      </c>
      <c r="AC369" t="s">
        <v>301</v>
      </c>
      <c r="AD369" t="s">
        <v>1712</v>
      </c>
      <c r="AE369" t="s">
        <v>1836</v>
      </c>
      <c r="AG369" s="8" t="s">
        <v>218</v>
      </c>
      <c r="AH369" t="s">
        <v>302</v>
      </c>
      <c r="AI369" s="9" t="s">
        <v>218</v>
      </c>
      <c r="AJ369" s="9" t="s">
        <v>218</v>
      </c>
      <c r="AK369" t="s">
        <v>1953</v>
      </c>
      <c r="AL369" s="9" t="s">
        <v>218</v>
      </c>
      <c r="AM369" s="8" t="s">
        <v>221</v>
      </c>
      <c r="AN369" s="8" t="s">
        <v>221</v>
      </c>
      <c r="AO369" s="8" t="s">
        <v>222</v>
      </c>
      <c r="AP369" s="8">
        <v>0</v>
      </c>
      <c r="AQ369" s="8">
        <v>0</v>
      </c>
      <c r="AR369" s="8">
        <v>0</v>
      </c>
      <c r="AS369" s="8">
        <v>0</v>
      </c>
      <c r="AT369" s="8">
        <v>0</v>
      </c>
      <c r="AU369" s="8">
        <v>0</v>
      </c>
      <c r="AV369" s="8">
        <v>0</v>
      </c>
      <c r="AW369" s="8">
        <v>0</v>
      </c>
      <c r="AX369" s="8"/>
      <c r="AY369" s="8"/>
      <c r="AZ369">
        <v>1</v>
      </c>
      <c r="BA369" t="s">
        <v>304</v>
      </c>
      <c r="BB369" t="s">
        <v>1954</v>
      </c>
      <c r="BC369" t="s">
        <v>1955</v>
      </c>
    </row>
    <row r="370" spans="1:55">
      <c r="A370" s="6">
        <v>45793</v>
      </c>
      <c r="B370" s="7" t="s">
        <v>1956</v>
      </c>
      <c r="C370" t="s">
        <v>1821</v>
      </c>
      <c r="D370" t="s">
        <v>43</v>
      </c>
      <c r="G370" t="s">
        <v>1077</v>
      </c>
      <c r="H370" s="8" t="s">
        <v>221</v>
      </c>
      <c r="I370" s="8" t="s">
        <v>221</v>
      </c>
      <c r="J370" s="8" t="s">
        <v>221</v>
      </c>
      <c r="K370" s="8" t="s">
        <v>221</v>
      </c>
      <c r="L370" s="8" t="s">
        <v>208</v>
      </c>
      <c r="M370" s="8" t="s">
        <v>208</v>
      </c>
      <c r="N370" s="8" t="s">
        <v>221</v>
      </c>
      <c r="O370" s="8" t="s">
        <v>221</v>
      </c>
      <c r="Q370" t="s">
        <v>1957</v>
      </c>
      <c r="R370" t="s">
        <v>1958</v>
      </c>
      <c r="S370" t="s">
        <v>1958</v>
      </c>
      <c r="T370" t="s">
        <v>1956</v>
      </c>
      <c r="U370" t="s">
        <v>1959</v>
      </c>
      <c r="V370" t="s">
        <v>1702</v>
      </c>
      <c r="W370" t="s">
        <v>774</v>
      </c>
      <c r="X370" t="s">
        <v>774</v>
      </c>
      <c r="Y370" t="s">
        <v>775</v>
      </c>
      <c r="Z370" t="s">
        <v>775</v>
      </c>
      <c r="AA370" t="s">
        <v>1825</v>
      </c>
      <c r="AB370" t="s">
        <v>425</v>
      </c>
      <c r="AC370" t="s">
        <v>425</v>
      </c>
      <c r="AD370" t="s">
        <v>1826</v>
      </c>
      <c r="AE370" t="s">
        <v>1960</v>
      </c>
      <c r="AG370" s="8" t="s">
        <v>218</v>
      </c>
      <c r="AH370" t="s">
        <v>219</v>
      </c>
      <c r="AI370" s="9" t="s">
        <v>218</v>
      </c>
      <c r="AJ370" s="9" t="s">
        <v>218</v>
      </c>
      <c r="AK370" t="s">
        <v>234</v>
      </c>
      <c r="AL370" s="9" t="s">
        <v>218</v>
      </c>
      <c r="AM370" s="8" t="s">
        <v>221</v>
      </c>
      <c r="AN370" s="8" t="s">
        <v>221</v>
      </c>
      <c r="AO370" s="8" t="s">
        <v>222</v>
      </c>
      <c r="AP370" s="8">
        <v>0</v>
      </c>
      <c r="AQ370" s="8">
        <v>0</v>
      </c>
      <c r="AR370" s="9">
        <v>22</v>
      </c>
      <c r="AS370" s="8">
        <v>0</v>
      </c>
      <c r="AT370" s="8">
        <v>0</v>
      </c>
      <c r="AU370" s="8">
        <v>0</v>
      </c>
      <c r="AV370" s="8">
        <v>0</v>
      </c>
      <c r="AW370" s="9">
        <v>22</v>
      </c>
      <c r="AX370" s="8"/>
      <c r="AY370" s="8"/>
      <c r="AZ370">
        <v>0</v>
      </c>
      <c r="BB370" t="s">
        <v>1961</v>
      </c>
      <c r="BC370" t="s">
        <v>1962</v>
      </c>
    </row>
    <row r="371" spans="1:55">
      <c r="A371" s="6">
        <v>45793</v>
      </c>
      <c r="B371" s="7" t="s">
        <v>1422</v>
      </c>
      <c r="C371" t="s">
        <v>668</v>
      </c>
      <c r="D371" t="s">
        <v>43</v>
      </c>
      <c r="G371" t="s">
        <v>1077</v>
      </c>
      <c r="H371" s="8" t="s">
        <v>221</v>
      </c>
      <c r="I371" s="8" t="s">
        <v>221</v>
      </c>
      <c r="J371" s="8" t="s">
        <v>221</v>
      </c>
      <c r="K371" s="8" t="s">
        <v>221</v>
      </c>
      <c r="L371" s="8" t="s">
        <v>208</v>
      </c>
      <c r="M371" s="8" t="s">
        <v>208</v>
      </c>
      <c r="N371" s="8" t="s">
        <v>221</v>
      </c>
      <c r="O371" s="8" t="s">
        <v>221</v>
      </c>
      <c r="Q371" t="s">
        <v>1423</v>
      </c>
      <c r="R371" t="s">
        <v>1424</v>
      </c>
      <c r="S371" t="s">
        <v>1424</v>
      </c>
      <c r="T371" t="s">
        <v>1422</v>
      </c>
      <c r="U371" t="s">
        <v>1425</v>
      </c>
      <c r="V371" t="s">
        <v>140</v>
      </c>
      <c r="W371" t="s">
        <v>212</v>
      </c>
      <c r="X371" t="s">
        <v>212</v>
      </c>
      <c r="Y371" t="s">
        <v>275</v>
      </c>
      <c r="Z371" t="s">
        <v>213</v>
      </c>
      <c r="AA371" t="s">
        <v>214</v>
      </c>
      <c r="AB371" t="s">
        <v>672</v>
      </c>
      <c r="AC371" t="s">
        <v>215</v>
      </c>
      <c r="AD371" t="s">
        <v>1752</v>
      </c>
      <c r="AE371" t="s">
        <v>11</v>
      </c>
      <c r="AG371" s="9" t="s">
        <v>221</v>
      </c>
      <c r="AH371" t="s">
        <v>219</v>
      </c>
      <c r="AI371" s="9" t="s">
        <v>218</v>
      </c>
      <c r="AJ371" s="9" t="s">
        <v>218</v>
      </c>
      <c r="AK371" t="s">
        <v>234</v>
      </c>
      <c r="AL371" s="8" t="s">
        <v>221</v>
      </c>
      <c r="AM371" s="9" t="s">
        <v>218</v>
      </c>
      <c r="AN371" s="8" t="s">
        <v>221</v>
      </c>
      <c r="AO371" s="8" t="s">
        <v>222</v>
      </c>
      <c r="AP371" s="8">
        <v>0</v>
      </c>
      <c r="AQ371" s="8">
        <v>0</v>
      </c>
      <c r="AR371" s="9">
        <v>143</v>
      </c>
      <c r="AS371" s="8">
        <v>0</v>
      </c>
      <c r="AT371" s="8">
        <v>0</v>
      </c>
      <c r="AU371" s="8">
        <v>0</v>
      </c>
      <c r="AV371" s="8">
        <v>0</v>
      </c>
      <c r="AW371" s="9">
        <v>143</v>
      </c>
      <c r="AX371" s="8"/>
      <c r="AY371" s="9" t="s">
        <v>1426</v>
      </c>
      <c r="AZ371">
        <v>2</v>
      </c>
      <c r="BA371" t="s">
        <v>1963</v>
      </c>
      <c r="BB371" t="s">
        <v>1428</v>
      </c>
      <c r="BC371" t="s">
        <v>1429</v>
      </c>
    </row>
    <row r="372" spans="1:55">
      <c r="A372" s="6">
        <v>45793</v>
      </c>
      <c r="B372" s="7" t="s">
        <v>1964</v>
      </c>
      <c r="C372" t="s">
        <v>1821</v>
      </c>
      <c r="D372" t="s">
        <v>43</v>
      </c>
      <c r="G372" t="s">
        <v>1077</v>
      </c>
      <c r="H372" s="8" t="s">
        <v>221</v>
      </c>
      <c r="I372" s="8" t="s">
        <v>221</v>
      </c>
      <c r="J372" s="8" t="s">
        <v>221</v>
      </c>
      <c r="K372" s="8" t="s">
        <v>221</v>
      </c>
      <c r="L372" s="8" t="s">
        <v>208</v>
      </c>
      <c r="M372" s="8" t="s">
        <v>208</v>
      </c>
      <c r="N372" s="8" t="s">
        <v>221</v>
      </c>
      <c r="O372" s="8" t="s">
        <v>221</v>
      </c>
      <c r="Q372" t="s">
        <v>1965</v>
      </c>
      <c r="R372" t="s">
        <v>1966</v>
      </c>
      <c r="S372" t="s">
        <v>1966</v>
      </c>
      <c r="T372" t="s">
        <v>1964</v>
      </c>
      <c r="U372" t="s">
        <v>1967</v>
      </c>
      <c r="V372" t="s">
        <v>136</v>
      </c>
      <c r="W372" t="s">
        <v>774</v>
      </c>
      <c r="X372" t="s">
        <v>774</v>
      </c>
      <c r="Y372" t="s">
        <v>1082</v>
      </c>
      <c r="Z372" t="s">
        <v>775</v>
      </c>
      <c r="AA372" t="s">
        <v>1968</v>
      </c>
      <c r="AB372" t="s">
        <v>425</v>
      </c>
      <c r="AC372" t="s">
        <v>465</v>
      </c>
      <c r="AD372" t="s">
        <v>1826</v>
      </c>
      <c r="AE372" t="s">
        <v>1969</v>
      </c>
      <c r="AG372" s="8" t="s">
        <v>218</v>
      </c>
      <c r="AH372" t="s">
        <v>219</v>
      </c>
      <c r="AI372" s="9" t="s">
        <v>218</v>
      </c>
      <c r="AJ372" s="9" t="s">
        <v>218</v>
      </c>
      <c r="AK372" t="s">
        <v>234</v>
      </c>
      <c r="AL372" s="8" t="s">
        <v>221</v>
      </c>
      <c r="AM372" s="9" t="s">
        <v>218</v>
      </c>
      <c r="AN372" s="8" t="s">
        <v>221</v>
      </c>
      <c r="AO372" s="8" t="s">
        <v>222</v>
      </c>
      <c r="AP372" s="8">
        <v>0</v>
      </c>
      <c r="AQ372" s="8">
        <v>0</v>
      </c>
      <c r="AR372" s="8">
        <v>0</v>
      </c>
      <c r="AS372" s="8">
        <v>0</v>
      </c>
      <c r="AT372" s="8">
        <v>0</v>
      </c>
      <c r="AU372" s="8">
        <v>0</v>
      </c>
      <c r="AV372" s="8">
        <v>0</v>
      </c>
      <c r="AW372" s="8">
        <v>0</v>
      </c>
      <c r="AX372" s="8"/>
      <c r="AY372" s="8"/>
      <c r="AZ372">
        <v>2</v>
      </c>
      <c r="BA372" t="s">
        <v>1970</v>
      </c>
      <c r="BB372" t="s">
        <v>1971</v>
      </c>
      <c r="BC372" t="s">
        <v>1972</v>
      </c>
    </row>
    <row r="373" spans="1:55">
      <c r="A373" s="6">
        <v>45793</v>
      </c>
      <c r="B373" s="7" t="s">
        <v>1973</v>
      </c>
      <c r="C373" t="s">
        <v>668</v>
      </c>
      <c r="D373" t="s">
        <v>43</v>
      </c>
      <c r="G373" t="s">
        <v>1077</v>
      </c>
      <c r="H373" s="8" t="s">
        <v>221</v>
      </c>
      <c r="I373" s="8" t="s">
        <v>221</v>
      </c>
      <c r="J373" s="8" t="s">
        <v>221</v>
      </c>
      <c r="K373" s="8" t="s">
        <v>221</v>
      </c>
      <c r="L373" s="8" t="s">
        <v>208</v>
      </c>
      <c r="M373" s="8" t="s">
        <v>208</v>
      </c>
      <c r="N373" s="8" t="s">
        <v>221</v>
      </c>
      <c r="O373" s="8" t="s">
        <v>221</v>
      </c>
      <c r="Q373" t="s">
        <v>1974</v>
      </c>
      <c r="R373" t="s">
        <v>1975</v>
      </c>
      <c r="S373" t="s">
        <v>1975</v>
      </c>
      <c r="T373" t="s">
        <v>1973</v>
      </c>
      <c r="U373" t="s">
        <v>1976</v>
      </c>
      <c r="V373" t="s">
        <v>136</v>
      </c>
      <c r="W373" t="s">
        <v>212</v>
      </c>
      <c r="X373" t="s">
        <v>212</v>
      </c>
      <c r="Y373" t="s">
        <v>275</v>
      </c>
      <c r="Z373" t="s">
        <v>213</v>
      </c>
      <c r="AA373" t="s">
        <v>214</v>
      </c>
      <c r="AB373" t="s">
        <v>701</v>
      </c>
      <c r="AC373" t="s">
        <v>242</v>
      </c>
      <c r="AD373" t="s">
        <v>1752</v>
      </c>
      <c r="AE373" t="s">
        <v>11</v>
      </c>
      <c r="AG373" s="8" t="s">
        <v>218</v>
      </c>
      <c r="AH373" t="s">
        <v>219</v>
      </c>
      <c r="AI373" s="9" t="s">
        <v>218</v>
      </c>
      <c r="AJ373" s="9" t="s">
        <v>218</v>
      </c>
      <c r="AK373" t="s">
        <v>234</v>
      </c>
      <c r="AL373" s="8" t="s">
        <v>221</v>
      </c>
      <c r="AM373" s="9" t="s">
        <v>218</v>
      </c>
      <c r="AN373" s="8" t="s">
        <v>221</v>
      </c>
      <c r="AO373" s="8" t="s">
        <v>222</v>
      </c>
      <c r="AP373" s="8">
        <v>0</v>
      </c>
      <c r="AQ373" s="8">
        <v>0</v>
      </c>
      <c r="AR373" s="8">
        <v>0</v>
      </c>
      <c r="AS373" s="8">
        <v>0</v>
      </c>
      <c r="AT373" s="8">
        <v>0</v>
      </c>
      <c r="AU373" s="8">
        <v>0</v>
      </c>
      <c r="AV373" s="8">
        <v>0</v>
      </c>
      <c r="AW373" s="8">
        <v>0</v>
      </c>
      <c r="AX373" s="8"/>
      <c r="AY373" s="8"/>
      <c r="AZ373">
        <v>2</v>
      </c>
      <c r="BA373" t="s">
        <v>1977</v>
      </c>
      <c r="BB373" t="s">
        <v>1978</v>
      </c>
      <c r="BC373" t="s">
        <v>1979</v>
      </c>
    </row>
    <row r="374" spans="1:55">
      <c r="A374" s="6">
        <v>45793</v>
      </c>
      <c r="B374" s="7" t="s">
        <v>686</v>
      </c>
      <c r="C374" t="s">
        <v>687</v>
      </c>
      <c r="D374" t="s">
        <v>43</v>
      </c>
      <c r="G374" t="s">
        <v>1077</v>
      </c>
      <c r="H374" s="8" t="s">
        <v>221</v>
      </c>
      <c r="I374" s="8" t="s">
        <v>221</v>
      </c>
      <c r="J374" s="8" t="s">
        <v>221</v>
      </c>
      <c r="K374" s="8" t="s">
        <v>221</v>
      </c>
      <c r="L374" s="8" t="s">
        <v>208</v>
      </c>
      <c r="M374" s="8" t="s">
        <v>208</v>
      </c>
      <c r="N374" s="8" t="s">
        <v>221</v>
      </c>
      <c r="O374" s="8" t="s">
        <v>221</v>
      </c>
      <c r="Q374" t="s">
        <v>688</v>
      </c>
      <c r="R374" t="s">
        <v>689</v>
      </c>
      <c r="S374" t="s">
        <v>689</v>
      </c>
      <c r="T374" t="s">
        <v>686</v>
      </c>
      <c r="U374" t="s">
        <v>690</v>
      </c>
      <c r="V374" t="s">
        <v>662</v>
      </c>
      <c r="W374" t="s">
        <v>232</v>
      </c>
      <c r="X374" t="s">
        <v>232</v>
      </c>
      <c r="Y374" t="s">
        <v>275</v>
      </c>
      <c r="Z374" t="s">
        <v>233</v>
      </c>
      <c r="AA374" t="s">
        <v>663</v>
      </c>
      <c r="AB374" t="s">
        <v>1980</v>
      </c>
      <c r="AC374" t="s">
        <v>681</v>
      </c>
      <c r="AD374" t="s">
        <v>1752</v>
      </c>
      <c r="AE374" t="s">
        <v>217</v>
      </c>
      <c r="AG374" s="8" t="s">
        <v>218</v>
      </c>
      <c r="AH374" t="s">
        <v>219</v>
      </c>
      <c r="AI374" s="9" t="s">
        <v>218</v>
      </c>
      <c r="AJ374" s="9" t="s">
        <v>218</v>
      </c>
      <c r="AK374" t="s">
        <v>234</v>
      </c>
      <c r="AL374" s="8" t="s">
        <v>221</v>
      </c>
      <c r="AM374" s="9" t="s">
        <v>218</v>
      </c>
      <c r="AN374" s="8" t="s">
        <v>221</v>
      </c>
      <c r="AO374" s="8" t="s">
        <v>222</v>
      </c>
      <c r="AP374" s="8">
        <v>0</v>
      </c>
      <c r="AQ374" s="8">
        <v>0</v>
      </c>
      <c r="AR374" s="9">
        <v>677</v>
      </c>
      <c r="AS374" s="8">
        <v>0</v>
      </c>
      <c r="AT374" s="8">
        <v>0</v>
      </c>
      <c r="AU374" s="8">
        <v>0</v>
      </c>
      <c r="AV374" s="8">
        <v>0</v>
      </c>
      <c r="AW374" s="9">
        <v>677</v>
      </c>
      <c r="AX374" s="9" t="s">
        <v>692</v>
      </c>
      <c r="AY374" s="8"/>
      <c r="AZ374">
        <v>2</v>
      </c>
      <c r="BA374" t="s">
        <v>1981</v>
      </c>
      <c r="BB374" t="s">
        <v>694</v>
      </c>
      <c r="BC374" t="s">
        <v>695</v>
      </c>
    </row>
    <row r="375" spans="1:55">
      <c r="A375" s="6">
        <v>45793</v>
      </c>
      <c r="B375" s="7" t="s">
        <v>1982</v>
      </c>
      <c r="C375" t="s">
        <v>387</v>
      </c>
      <c r="D375" t="s">
        <v>43</v>
      </c>
      <c r="G375" t="s">
        <v>1077</v>
      </c>
      <c r="H375" s="8" t="s">
        <v>221</v>
      </c>
      <c r="I375" s="8" t="s">
        <v>221</v>
      </c>
      <c r="J375" s="8" t="s">
        <v>221</v>
      </c>
      <c r="K375" s="8" t="s">
        <v>221</v>
      </c>
      <c r="L375" s="8" t="s">
        <v>208</v>
      </c>
      <c r="M375" s="8" t="s">
        <v>208</v>
      </c>
      <c r="N375" s="8" t="s">
        <v>221</v>
      </c>
      <c r="O375" s="8" t="s">
        <v>221</v>
      </c>
      <c r="P375" t="s">
        <v>1841</v>
      </c>
      <c r="Q375" t="s">
        <v>1983</v>
      </c>
      <c r="R375" t="s">
        <v>1984</v>
      </c>
      <c r="S375" t="s">
        <v>1984</v>
      </c>
      <c r="T375" t="s">
        <v>1982</v>
      </c>
      <c r="U375" t="s">
        <v>1985</v>
      </c>
      <c r="V375" t="s">
        <v>1986</v>
      </c>
      <c r="W375" t="s">
        <v>298</v>
      </c>
      <c r="X375" t="s">
        <v>298</v>
      </c>
      <c r="Y375" t="s">
        <v>299</v>
      </c>
      <c r="Z375" t="s">
        <v>299</v>
      </c>
      <c r="AA375" t="s">
        <v>1987</v>
      </c>
      <c r="AB375" t="s">
        <v>312</v>
      </c>
      <c r="AC375" t="s">
        <v>312</v>
      </c>
      <c r="AD375" t="s">
        <v>1712</v>
      </c>
      <c r="AE375" t="s">
        <v>1988</v>
      </c>
      <c r="AG375" s="8" t="s">
        <v>218</v>
      </c>
      <c r="AH375" t="s">
        <v>302</v>
      </c>
      <c r="AI375" s="9" t="s">
        <v>218</v>
      </c>
      <c r="AJ375" s="9" t="s">
        <v>218</v>
      </c>
      <c r="AK375" t="s">
        <v>1989</v>
      </c>
      <c r="AL375" s="9" t="s">
        <v>218</v>
      </c>
      <c r="AM375" s="8" t="s">
        <v>221</v>
      </c>
      <c r="AN375" s="8" t="s">
        <v>221</v>
      </c>
      <c r="AO375" s="8" t="s">
        <v>222</v>
      </c>
      <c r="AP375" s="8">
        <v>0</v>
      </c>
      <c r="AQ375" s="8">
        <v>0</v>
      </c>
      <c r="AR375" s="8">
        <v>0</v>
      </c>
      <c r="AS375" s="8">
        <v>0</v>
      </c>
      <c r="AT375" s="8">
        <v>0</v>
      </c>
      <c r="AU375" s="8">
        <v>0</v>
      </c>
      <c r="AV375" s="8">
        <v>0</v>
      </c>
      <c r="AW375" s="8">
        <v>0</v>
      </c>
      <c r="AX375" s="8"/>
      <c r="AY375" s="8"/>
      <c r="AZ375">
        <v>1</v>
      </c>
      <c r="BA375" t="s">
        <v>484</v>
      </c>
      <c r="BB375" t="s">
        <v>1990</v>
      </c>
      <c r="BC375" t="s">
        <v>1991</v>
      </c>
    </row>
    <row r="376" spans="1:55">
      <c r="A376" s="6">
        <v>45793</v>
      </c>
      <c r="B376" s="7" t="s">
        <v>1992</v>
      </c>
      <c r="C376" t="s">
        <v>387</v>
      </c>
      <c r="D376" t="s">
        <v>43</v>
      </c>
      <c r="G376" t="s">
        <v>1077</v>
      </c>
      <c r="H376" s="8" t="s">
        <v>221</v>
      </c>
      <c r="I376" s="8" t="s">
        <v>221</v>
      </c>
      <c r="J376" s="8" t="s">
        <v>221</v>
      </c>
      <c r="K376" s="8" t="s">
        <v>221</v>
      </c>
      <c r="L376" s="8" t="s">
        <v>208</v>
      </c>
      <c r="M376" s="8" t="s">
        <v>208</v>
      </c>
      <c r="N376" s="8" t="s">
        <v>221</v>
      </c>
      <c r="O376" s="8" t="s">
        <v>221</v>
      </c>
      <c r="Q376" t="s">
        <v>1993</v>
      </c>
      <c r="R376" t="s">
        <v>1994</v>
      </c>
      <c r="S376" t="s">
        <v>1994</v>
      </c>
      <c r="T376" t="s">
        <v>1992</v>
      </c>
      <c r="U376" t="s">
        <v>1995</v>
      </c>
      <c r="V376" t="s">
        <v>1835</v>
      </c>
      <c r="W376" t="s">
        <v>298</v>
      </c>
      <c r="X376" t="s">
        <v>298</v>
      </c>
      <c r="Y376" t="s">
        <v>1103</v>
      </c>
      <c r="Z376" t="s">
        <v>299</v>
      </c>
      <c r="AA376" t="s">
        <v>1836</v>
      </c>
      <c r="AB376" t="s">
        <v>301</v>
      </c>
      <c r="AC376" t="s">
        <v>312</v>
      </c>
      <c r="AD376" t="s">
        <v>1712</v>
      </c>
      <c r="AE376" t="s">
        <v>1836</v>
      </c>
      <c r="AG376" s="8" t="s">
        <v>218</v>
      </c>
      <c r="AH376" t="s">
        <v>302</v>
      </c>
      <c r="AI376" s="9" t="s">
        <v>218</v>
      </c>
      <c r="AJ376" s="9" t="s">
        <v>218</v>
      </c>
      <c r="AK376" t="s">
        <v>1996</v>
      </c>
      <c r="AL376" s="8" t="s">
        <v>221</v>
      </c>
      <c r="AM376" s="9" t="s">
        <v>218</v>
      </c>
      <c r="AN376" s="8" t="s">
        <v>221</v>
      </c>
      <c r="AO376" s="8" t="s">
        <v>222</v>
      </c>
      <c r="AP376" s="8">
        <v>0</v>
      </c>
      <c r="AQ376" s="8">
        <v>0</v>
      </c>
      <c r="AR376" s="8">
        <v>0</v>
      </c>
      <c r="AS376" s="8">
        <v>0</v>
      </c>
      <c r="AT376" s="8">
        <v>0</v>
      </c>
      <c r="AU376" s="8">
        <v>0</v>
      </c>
      <c r="AV376" s="8">
        <v>0</v>
      </c>
      <c r="AW376" s="8">
        <v>0</v>
      </c>
      <c r="AX376" s="8"/>
      <c r="AY376" s="8"/>
      <c r="AZ376">
        <v>2</v>
      </c>
      <c r="BA376" t="s">
        <v>1997</v>
      </c>
      <c r="BB376" t="s">
        <v>1998</v>
      </c>
      <c r="BC376" t="s">
        <v>1999</v>
      </c>
    </row>
    <row r="377" spans="1:55">
      <c r="A377" s="6">
        <v>45793</v>
      </c>
      <c r="B377" s="7" t="s">
        <v>2000</v>
      </c>
      <c r="C377" t="s">
        <v>387</v>
      </c>
      <c r="D377" t="s">
        <v>43</v>
      </c>
      <c r="G377" t="s">
        <v>1077</v>
      </c>
      <c r="H377" s="8" t="s">
        <v>221</v>
      </c>
      <c r="I377" s="8" t="s">
        <v>221</v>
      </c>
      <c r="J377" s="8" t="s">
        <v>221</v>
      </c>
      <c r="K377" s="8" t="s">
        <v>221</v>
      </c>
      <c r="L377" s="8" t="s">
        <v>208</v>
      </c>
      <c r="M377" s="8" t="s">
        <v>208</v>
      </c>
      <c r="N377" s="8" t="s">
        <v>221</v>
      </c>
      <c r="O377" s="8" t="s">
        <v>221</v>
      </c>
      <c r="Q377" t="s">
        <v>2001</v>
      </c>
      <c r="R377" t="s">
        <v>2002</v>
      </c>
      <c r="S377" t="s">
        <v>2002</v>
      </c>
      <c r="T377" t="s">
        <v>2000</v>
      </c>
      <c r="U377" t="s">
        <v>2003</v>
      </c>
      <c r="V377" t="s">
        <v>1835</v>
      </c>
      <c r="W377" t="s">
        <v>298</v>
      </c>
      <c r="X377" t="s">
        <v>298</v>
      </c>
      <c r="Y377" t="s">
        <v>1103</v>
      </c>
      <c r="Z377" t="s">
        <v>299</v>
      </c>
      <c r="AA377" t="s">
        <v>1836</v>
      </c>
      <c r="AB377" t="s">
        <v>465</v>
      </c>
      <c r="AC377" t="s">
        <v>301</v>
      </c>
      <c r="AD377" t="s">
        <v>1712</v>
      </c>
      <c r="AE377" t="s">
        <v>1836</v>
      </c>
      <c r="AG377" s="8" t="s">
        <v>218</v>
      </c>
      <c r="AH377" t="s">
        <v>302</v>
      </c>
      <c r="AI377" s="9" t="s">
        <v>218</v>
      </c>
      <c r="AJ377" s="9" t="s">
        <v>218</v>
      </c>
      <c r="AK377" t="s">
        <v>2004</v>
      </c>
      <c r="AL377" s="8" t="s">
        <v>221</v>
      </c>
      <c r="AM377" s="9" t="s">
        <v>218</v>
      </c>
      <c r="AN377" s="8" t="s">
        <v>221</v>
      </c>
      <c r="AO377" s="8" t="s">
        <v>222</v>
      </c>
      <c r="AP377" s="8">
        <v>0</v>
      </c>
      <c r="AQ377" s="8">
        <v>0</v>
      </c>
      <c r="AR377" s="8">
        <v>0</v>
      </c>
      <c r="AS377" s="8">
        <v>0</v>
      </c>
      <c r="AT377" s="8">
        <v>0</v>
      </c>
      <c r="AU377" s="8">
        <v>0</v>
      </c>
      <c r="AV377" s="8">
        <v>0</v>
      </c>
      <c r="AW377" s="8">
        <v>0</v>
      </c>
      <c r="AX377" s="8"/>
      <c r="AY377" s="8"/>
      <c r="AZ377">
        <v>2</v>
      </c>
      <c r="BA377" t="s">
        <v>2005</v>
      </c>
      <c r="BB377" t="s">
        <v>2006</v>
      </c>
      <c r="BC377" t="s">
        <v>2007</v>
      </c>
    </row>
    <row r="378" spans="1:55">
      <c r="A378" s="6">
        <v>45793</v>
      </c>
      <c r="B378" s="7" t="s">
        <v>2008</v>
      </c>
      <c r="C378" t="s">
        <v>668</v>
      </c>
      <c r="D378" t="s">
        <v>43</v>
      </c>
      <c r="G378" t="s">
        <v>1077</v>
      </c>
      <c r="H378" s="8" t="s">
        <v>221</v>
      </c>
      <c r="I378" s="8" t="s">
        <v>221</v>
      </c>
      <c r="J378" s="8" t="s">
        <v>221</v>
      </c>
      <c r="K378" s="8" t="s">
        <v>221</v>
      </c>
      <c r="L378" s="8" t="s">
        <v>208</v>
      </c>
      <c r="M378" s="8" t="s">
        <v>208</v>
      </c>
      <c r="N378" s="8" t="s">
        <v>221</v>
      </c>
      <c r="O378" s="8" t="s">
        <v>221</v>
      </c>
      <c r="P378" t="s">
        <v>2009</v>
      </c>
      <c r="Q378" t="s">
        <v>2010</v>
      </c>
      <c r="R378" t="s">
        <v>2011</v>
      </c>
      <c r="S378" t="s">
        <v>2011</v>
      </c>
      <c r="T378" t="s">
        <v>2008</v>
      </c>
      <c r="U378" t="s">
        <v>2012</v>
      </c>
      <c r="V378" t="s">
        <v>140</v>
      </c>
      <c r="W378" t="s">
        <v>212</v>
      </c>
      <c r="X378" t="s">
        <v>212</v>
      </c>
      <c r="Y378" t="s">
        <v>275</v>
      </c>
      <c r="Z378" t="s">
        <v>213</v>
      </c>
      <c r="AA378" t="s">
        <v>214</v>
      </c>
      <c r="AB378" t="s">
        <v>285</v>
      </c>
      <c r="AC378" t="s">
        <v>242</v>
      </c>
      <c r="AD378" t="s">
        <v>1752</v>
      </c>
      <c r="AE378" t="s">
        <v>217</v>
      </c>
      <c r="AG378" s="8" t="s">
        <v>218</v>
      </c>
      <c r="AH378" t="s">
        <v>219</v>
      </c>
      <c r="AI378" s="9" t="s">
        <v>218</v>
      </c>
      <c r="AJ378" s="9" t="s">
        <v>218</v>
      </c>
      <c r="AK378" t="s">
        <v>234</v>
      </c>
      <c r="AL378" s="8" t="s">
        <v>221</v>
      </c>
      <c r="AM378" s="9" t="s">
        <v>218</v>
      </c>
      <c r="AN378" s="8" t="s">
        <v>221</v>
      </c>
      <c r="AO378" s="8" t="s">
        <v>222</v>
      </c>
      <c r="AP378" s="8">
        <v>0</v>
      </c>
      <c r="AQ378" s="8">
        <v>0</v>
      </c>
      <c r="AR378" s="8">
        <v>0</v>
      </c>
      <c r="AS378" s="8">
        <v>0</v>
      </c>
      <c r="AT378" s="8">
        <v>0</v>
      </c>
      <c r="AU378" s="8">
        <v>0</v>
      </c>
      <c r="AV378" s="8">
        <v>0</v>
      </c>
      <c r="AW378" s="8">
        <v>0</v>
      </c>
      <c r="AX378" s="8"/>
      <c r="AY378" s="9" t="s">
        <v>2013</v>
      </c>
      <c r="AZ378">
        <v>2</v>
      </c>
      <c r="BA378" t="s">
        <v>2014</v>
      </c>
      <c r="BB378" t="s">
        <v>2015</v>
      </c>
      <c r="BC378" t="s">
        <v>2016</v>
      </c>
    </row>
    <row r="379" spans="1:55">
      <c r="A379" s="6">
        <v>45793</v>
      </c>
      <c r="B379" s="7" t="s">
        <v>2017</v>
      </c>
      <c r="C379" t="s">
        <v>714</v>
      </c>
      <c r="D379" t="s">
        <v>2018</v>
      </c>
      <c r="G379" t="s">
        <v>754</v>
      </c>
      <c r="H379" s="8" t="s">
        <v>208</v>
      </c>
      <c r="I379" s="8" t="s">
        <v>208</v>
      </c>
      <c r="J379" s="8" t="s">
        <v>208</v>
      </c>
      <c r="K379" s="8" t="s">
        <v>208</v>
      </c>
      <c r="L379" s="8" t="s">
        <v>208</v>
      </c>
      <c r="M379" s="8" t="s">
        <v>208</v>
      </c>
      <c r="N379" s="8" t="s">
        <v>221</v>
      </c>
      <c r="O379" s="8" t="s">
        <v>208</v>
      </c>
      <c r="Q379" t="s">
        <v>2019</v>
      </c>
      <c r="R379" t="s">
        <v>2020</v>
      </c>
      <c r="S379" t="s">
        <v>2020</v>
      </c>
      <c r="T379" t="s">
        <v>2017</v>
      </c>
      <c r="U379" t="s">
        <v>2021</v>
      </c>
      <c r="V379" t="s">
        <v>140</v>
      </c>
      <c r="W379" t="s">
        <v>212</v>
      </c>
      <c r="X379" t="s">
        <v>212</v>
      </c>
      <c r="Y379" t="s">
        <v>213</v>
      </c>
      <c r="Z379" t="s">
        <v>213</v>
      </c>
      <c r="AA379" t="s">
        <v>214</v>
      </c>
      <c r="AB379" t="s">
        <v>285</v>
      </c>
      <c r="AC379" t="s">
        <v>701</v>
      </c>
      <c r="AD379" t="s">
        <v>216</v>
      </c>
      <c r="AE379" t="s">
        <v>11</v>
      </c>
      <c r="AG379" s="8" t="s">
        <v>218</v>
      </c>
      <c r="AH379" t="s">
        <v>219</v>
      </c>
      <c r="AI379" s="9" t="s">
        <v>218</v>
      </c>
      <c r="AJ379" s="9" t="s">
        <v>218</v>
      </c>
      <c r="AK379" t="s">
        <v>234</v>
      </c>
      <c r="AL379" s="9" t="s">
        <v>218</v>
      </c>
      <c r="AM379" s="8" t="s">
        <v>221</v>
      </c>
      <c r="AN379" s="8" t="s">
        <v>221</v>
      </c>
      <c r="AO379" s="8" t="s">
        <v>222</v>
      </c>
      <c r="AP379" s="8">
        <v>0</v>
      </c>
      <c r="AQ379" s="8">
        <v>0</v>
      </c>
      <c r="AR379" s="9">
        <v>41</v>
      </c>
      <c r="AS379" s="8">
        <v>0</v>
      </c>
      <c r="AT379" s="8">
        <v>0</v>
      </c>
      <c r="AU379" s="8">
        <v>0</v>
      </c>
      <c r="AV379" s="8">
        <v>0</v>
      </c>
      <c r="AW379" s="9">
        <v>41</v>
      </c>
      <c r="AX379" s="8"/>
      <c r="AY379" s="8"/>
      <c r="AZ379">
        <v>0</v>
      </c>
      <c r="BB379" t="s">
        <v>2022</v>
      </c>
      <c r="BC379" t="s">
        <v>2023</v>
      </c>
    </row>
    <row r="380" spans="1:55">
      <c r="A380" s="6">
        <v>45793</v>
      </c>
      <c r="B380" s="7" t="s">
        <v>2024</v>
      </c>
      <c r="C380" t="s">
        <v>714</v>
      </c>
      <c r="D380" t="s">
        <v>2018</v>
      </c>
      <c r="G380" t="s">
        <v>754</v>
      </c>
      <c r="H380" s="8" t="s">
        <v>208</v>
      </c>
      <c r="I380" s="8" t="s">
        <v>208</v>
      </c>
      <c r="J380" s="8" t="s">
        <v>208</v>
      </c>
      <c r="K380" s="8" t="s">
        <v>208</v>
      </c>
      <c r="L380" s="8" t="s">
        <v>208</v>
      </c>
      <c r="M380" s="8" t="s">
        <v>208</v>
      </c>
      <c r="N380" s="8" t="s">
        <v>221</v>
      </c>
      <c r="O380" s="8" t="s">
        <v>208</v>
      </c>
      <c r="Q380" t="s">
        <v>2025</v>
      </c>
      <c r="R380" t="s">
        <v>2026</v>
      </c>
      <c r="S380" t="s">
        <v>2026</v>
      </c>
      <c r="T380" t="s">
        <v>2024</v>
      </c>
      <c r="U380" t="s">
        <v>2027</v>
      </c>
      <c r="V380" t="s">
        <v>2028</v>
      </c>
      <c r="W380" t="s">
        <v>298</v>
      </c>
      <c r="X380" t="s">
        <v>298</v>
      </c>
      <c r="Y380" t="s">
        <v>2029</v>
      </c>
      <c r="Z380" t="s">
        <v>299</v>
      </c>
      <c r="AA380" t="s">
        <v>2030</v>
      </c>
      <c r="AB380" t="s">
        <v>312</v>
      </c>
      <c r="AC380" t="s">
        <v>312</v>
      </c>
      <c r="AD380" t="s">
        <v>216</v>
      </c>
      <c r="AE380" t="s">
        <v>2030</v>
      </c>
      <c r="AG380" s="8" t="s">
        <v>218</v>
      </c>
      <c r="AH380" t="s">
        <v>302</v>
      </c>
      <c r="AI380" s="9" t="s">
        <v>218</v>
      </c>
      <c r="AJ380" s="9" t="s">
        <v>218</v>
      </c>
      <c r="AK380" t="s">
        <v>2031</v>
      </c>
      <c r="AL380" s="9" t="s">
        <v>218</v>
      </c>
      <c r="AM380" s="8" t="s">
        <v>221</v>
      </c>
      <c r="AN380" s="8" t="s">
        <v>221</v>
      </c>
      <c r="AO380" s="9" t="s">
        <v>1086</v>
      </c>
      <c r="AP380" s="8">
        <v>0</v>
      </c>
      <c r="AQ380" s="8">
        <v>0</v>
      </c>
      <c r="AR380" s="9">
        <v>4</v>
      </c>
      <c r="AS380" s="8">
        <v>0</v>
      </c>
      <c r="AT380" s="8">
        <v>0</v>
      </c>
      <c r="AU380" s="8">
        <v>0</v>
      </c>
      <c r="AV380" s="8">
        <v>0</v>
      </c>
      <c r="AW380" s="9">
        <v>4</v>
      </c>
      <c r="AX380" s="8"/>
      <c r="AY380" s="8"/>
      <c r="AZ380">
        <v>1</v>
      </c>
      <c r="BA380" t="s">
        <v>2032</v>
      </c>
      <c r="BB380" t="s">
        <v>2033</v>
      </c>
      <c r="BC380" t="s">
        <v>2034</v>
      </c>
    </row>
    <row r="381" spans="1:55">
      <c r="A381" s="6">
        <v>45793</v>
      </c>
      <c r="B381" s="7" t="s">
        <v>2035</v>
      </c>
      <c r="C381" t="s">
        <v>714</v>
      </c>
      <c r="D381" t="s">
        <v>2018</v>
      </c>
      <c r="G381" t="s">
        <v>754</v>
      </c>
      <c r="H381" s="8" t="s">
        <v>208</v>
      </c>
      <c r="I381" s="8" t="s">
        <v>208</v>
      </c>
      <c r="J381" s="8" t="s">
        <v>208</v>
      </c>
      <c r="K381" s="8" t="s">
        <v>208</v>
      </c>
      <c r="L381" s="8" t="s">
        <v>208</v>
      </c>
      <c r="M381" s="8" t="s">
        <v>208</v>
      </c>
      <c r="N381" s="8" t="s">
        <v>221</v>
      </c>
      <c r="O381" s="8" t="s">
        <v>208</v>
      </c>
      <c r="Q381" t="s">
        <v>2036</v>
      </c>
      <c r="R381" t="s">
        <v>2037</v>
      </c>
      <c r="S381" t="s">
        <v>2037</v>
      </c>
      <c r="T381" t="s">
        <v>2035</v>
      </c>
      <c r="U381" t="s">
        <v>2038</v>
      </c>
      <c r="V381" t="s">
        <v>825</v>
      </c>
      <c r="W381" t="s">
        <v>298</v>
      </c>
      <c r="X381" t="s">
        <v>298</v>
      </c>
      <c r="Y381" t="s">
        <v>299</v>
      </c>
      <c r="Z381" t="s">
        <v>299</v>
      </c>
      <c r="AA381" t="s">
        <v>2030</v>
      </c>
      <c r="AB381" t="s">
        <v>301</v>
      </c>
      <c r="AC381" t="s">
        <v>312</v>
      </c>
      <c r="AD381" t="s">
        <v>216</v>
      </c>
      <c r="AE381" t="s">
        <v>2039</v>
      </c>
      <c r="AG381" s="8" t="s">
        <v>218</v>
      </c>
      <c r="AH381" t="s">
        <v>302</v>
      </c>
      <c r="AI381" s="9" t="s">
        <v>218</v>
      </c>
      <c r="AJ381" s="9" t="s">
        <v>218</v>
      </c>
      <c r="AK381" t="s">
        <v>2040</v>
      </c>
      <c r="AL381" s="9" t="s">
        <v>218</v>
      </c>
      <c r="AM381" s="8" t="s">
        <v>221</v>
      </c>
      <c r="AN381" s="8" t="s">
        <v>221</v>
      </c>
      <c r="AO381" s="8" t="s">
        <v>222</v>
      </c>
      <c r="AP381" s="8">
        <v>0</v>
      </c>
      <c r="AQ381" s="8">
        <v>0</v>
      </c>
      <c r="AR381" s="9">
        <v>3</v>
      </c>
      <c r="AS381" s="8">
        <v>0</v>
      </c>
      <c r="AT381" s="8">
        <v>0</v>
      </c>
      <c r="AU381" s="8">
        <v>0</v>
      </c>
      <c r="AV381" s="8">
        <v>0</v>
      </c>
      <c r="AW381" s="9">
        <v>3</v>
      </c>
      <c r="AX381" s="8"/>
      <c r="AY381" s="8"/>
      <c r="AZ381">
        <v>0</v>
      </c>
      <c r="BB381" t="s">
        <v>2041</v>
      </c>
      <c r="BC381" t="s">
        <v>2042</v>
      </c>
    </row>
    <row r="382" spans="1:55">
      <c r="A382" s="6">
        <v>45793</v>
      </c>
      <c r="B382" s="7" t="s">
        <v>1260</v>
      </c>
      <c r="C382" t="s">
        <v>668</v>
      </c>
      <c r="D382" t="s">
        <v>2018</v>
      </c>
      <c r="G382" t="s">
        <v>754</v>
      </c>
      <c r="H382" s="8" t="s">
        <v>208</v>
      </c>
      <c r="I382" s="8" t="s">
        <v>208</v>
      </c>
      <c r="J382" s="8" t="s">
        <v>208</v>
      </c>
      <c r="K382" s="8" t="s">
        <v>208</v>
      </c>
      <c r="L382" s="8" t="s">
        <v>208</v>
      </c>
      <c r="M382" s="8" t="s">
        <v>208</v>
      </c>
      <c r="N382" s="8" t="s">
        <v>221</v>
      </c>
      <c r="O382" s="8" t="s">
        <v>208</v>
      </c>
      <c r="Q382" t="s">
        <v>1261</v>
      </c>
      <c r="R382" t="s">
        <v>1262</v>
      </c>
      <c r="S382" t="s">
        <v>1262</v>
      </c>
      <c r="T382" t="s">
        <v>1260</v>
      </c>
      <c r="U382" t="s">
        <v>1263</v>
      </c>
      <c r="V382" t="s">
        <v>138</v>
      </c>
      <c r="W382" t="s">
        <v>212</v>
      </c>
      <c r="X382" t="s">
        <v>212</v>
      </c>
      <c r="Y382" t="s">
        <v>275</v>
      </c>
      <c r="Z382" t="s">
        <v>213</v>
      </c>
      <c r="AA382" t="s">
        <v>214</v>
      </c>
      <c r="AB382" t="s">
        <v>285</v>
      </c>
      <c r="AC382" t="s">
        <v>701</v>
      </c>
      <c r="AD382" t="s">
        <v>2043</v>
      </c>
      <c r="AE382" t="s">
        <v>217</v>
      </c>
      <c r="AG382" s="9" t="s">
        <v>221</v>
      </c>
      <c r="AH382" t="s">
        <v>219</v>
      </c>
      <c r="AI382" s="9" t="s">
        <v>218</v>
      </c>
      <c r="AJ382" s="9" t="s">
        <v>218</v>
      </c>
      <c r="AK382" t="s">
        <v>234</v>
      </c>
      <c r="AL382" s="8" t="s">
        <v>221</v>
      </c>
      <c r="AM382" s="9" t="s">
        <v>218</v>
      </c>
      <c r="AN382" s="8" t="s">
        <v>221</v>
      </c>
      <c r="AO382" s="8" t="s">
        <v>222</v>
      </c>
      <c r="AP382" s="8">
        <v>0</v>
      </c>
      <c r="AQ382" s="8">
        <v>0</v>
      </c>
      <c r="AR382" s="9">
        <v>6</v>
      </c>
      <c r="AS382" s="8">
        <v>0</v>
      </c>
      <c r="AT382" s="8">
        <v>0</v>
      </c>
      <c r="AU382" s="8">
        <v>0</v>
      </c>
      <c r="AV382" s="8">
        <v>0</v>
      </c>
      <c r="AW382" s="9">
        <v>6</v>
      </c>
      <c r="AX382" s="8"/>
      <c r="AY382" s="8"/>
      <c r="AZ382">
        <v>2</v>
      </c>
      <c r="BA382" t="s">
        <v>2044</v>
      </c>
      <c r="BB382" t="s">
        <v>1265</v>
      </c>
      <c r="BC382" t="s">
        <v>1266</v>
      </c>
    </row>
    <row r="383" spans="1:55">
      <c r="A383" s="6">
        <v>45793</v>
      </c>
      <c r="B383" s="7" t="s">
        <v>1357</v>
      </c>
      <c r="C383" t="s">
        <v>668</v>
      </c>
      <c r="D383" t="s">
        <v>2018</v>
      </c>
      <c r="G383" t="s">
        <v>754</v>
      </c>
      <c r="H383" s="8" t="s">
        <v>208</v>
      </c>
      <c r="I383" s="8" t="s">
        <v>208</v>
      </c>
      <c r="J383" s="8" t="s">
        <v>208</v>
      </c>
      <c r="K383" s="8" t="s">
        <v>208</v>
      </c>
      <c r="L383" s="8" t="s">
        <v>208</v>
      </c>
      <c r="M383" s="8" t="s">
        <v>208</v>
      </c>
      <c r="N383" s="8" t="s">
        <v>221</v>
      </c>
      <c r="O383" s="8" t="s">
        <v>208</v>
      </c>
      <c r="Q383" t="s">
        <v>1358</v>
      </c>
      <c r="R383" t="s">
        <v>1359</v>
      </c>
      <c r="S383" t="s">
        <v>1359</v>
      </c>
      <c r="T383" t="s">
        <v>1357</v>
      </c>
      <c r="U383" t="s">
        <v>1360</v>
      </c>
      <c r="V383" t="s">
        <v>138</v>
      </c>
      <c r="W383" t="s">
        <v>212</v>
      </c>
      <c r="X383" t="s">
        <v>212</v>
      </c>
      <c r="Y383" t="s">
        <v>275</v>
      </c>
      <c r="Z383" t="s">
        <v>213</v>
      </c>
      <c r="AA383" t="s">
        <v>214</v>
      </c>
      <c r="AB383" t="s">
        <v>285</v>
      </c>
      <c r="AC383" t="s">
        <v>701</v>
      </c>
      <c r="AD383" t="s">
        <v>1826</v>
      </c>
      <c r="AE383" t="s">
        <v>217</v>
      </c>
      <c r="AG383" s="8" t="s">
        <v>218</v>
      </c>
      <c r="AH383" t="s">
        <v>219</v>
      </c>
      <c r="AI383" s="9" t="s">
        <v>218</v>
      </c>
      <c r="AJ383" s="9" t="s">
        <v>218</v>
      </c>
      <c r="AK383" t="s">
        <v>234</v>
      </c>
      <c r="AL383" s="8" t="s">
        <v>221</v>
      </c>
      <c r="AM383" s="9" t="s">
        <v>218</v>
      </c>
      <c r="AN383" s="8" t="s">
        <v>221</v>
      </c>
      <c r="AO383" s="8" t="s">
        <v>222</v>
      </c>
      <c r="AP383" s="8">
        <v>0</v>
      </c>
      <c r="AQ383" s="8">
        <v>0</v>
      </c>
      <c r="AR383" s="9">
        <v>4</v>
      </c>
      <c r="AS383" s="8">
        <v>0</v>
      </c>
      <c r="AT383" s="8">
        <v>0</v>
      </c>
      <c r="AU383" s="8">
        <v>0</v>
      </c>
      <c r="AV383" s="8">
        <v>0</v>
      </c>
      <c r="AW383" s="9">
        <v>4</v>
      </c>
      <c r="AX383" s="8"/>
      <c r="AY383" s="8"/>
      <c r="AZ383">
        <v>2</v>
      </c>
      <c r="BA383" t="s">
        <v>2045</v>
      </c>
      <c r="BB383" t="s">
        <v>1362</v>
      </c>
      <c r="BC383" t="s">
        <v>1363</v>
      </c>
    </row>
    <row r="384" spans="1:55">
      <c r="A384" s="6">
        <v>45793</v>
      </c>
      <c r="B384" s="7" t="s">
        <v>1618</v>
      </c>
      <c r="C384" t="s">
        <v>668</v>
      </c>
      <c r="D384" t="s">
        <v>2018</v>
      </c>
      <c r="G384" t="s">
        <v>754</v>
      </c>
      <c r="H384" s="8" t="s">
        <v>208</v>
      </c>
      <c r="I384" s="8" t="s">
        <v>208</v>
      </c>
      <c r="J384" s="8" t="s">
        <v>208</v>
      </c>
      <c r="K384" s="8" t="s">
        <v>208</v>
      </c>
      <c r="L384" s="8" t="s">
        <v>208</v>
      </c>
      <c r="M384" s="8" t="s">
        <v>208</v>
      </c>
      <c r="N384" s="8" t="s">
        <v>221</v>
      </c>
      <c r="O384" s="8" t="s">
        <v>208</v>
      </c>
      <c r="Q384" t="s">
        <v>1619</v>
      </c>
      <c r="R384" t="s">
        <v>1620</v>
      </c>
      <c r="S384" t="s">
        <v>1620</v>
      </c>
      <c r="T384" t="s">
        <v>1618</v>
      </c>
      <c r="U384" t="s">
        <v>1621</v>
      </c>
      <c r="V384" t="s">
        <v>140</v>
      </c>
      <c r="W384" t="s">
        <v>212</v>
      </c>
      <c r="X384" t="s">
        <v>212</v>
      </c>
      <c r="Y384" t="s">
        <v>275</v>
      </c>
      <c r="Z384" t="s">
        <v>213</v>
      </c>
      <c r="AA384" t="s">
        <v>214</v>
      </c>
      <c r="AB384" t="s">
        <v>1335</v>
      </c>
      <c r="AC384" t="s">
        <v>215</v>
      </c>
      <c r="AD384" t="s">
        <v>1826</v>
      </c>
      <c r="AE384" t="s">
        <v>217</v>
      </c>
      <c r="AG384" s="8" t="s">
        <v>218</v>
      </c>
      <c r="AH384" t="s">
        <v>219</v>
      </c>
      <c r="AI384" s="9" t="s">
        <v>218</v>
      </c>
      <c r="AJ384" s="9" t="s">
        <v>218</v>
      </c>
      <c r="AK384" t="s">
        <v>234</v>
      </c>
      <c r="AL384" s="8" t="s">
        <v>221</v>
      </c>
      <c r="AM384" s="9" t="s">
        <v>218</v>
      </c>
      <c r="AN384" s="8" t="s">
        <v>221</v>
      </c>
      <c r="AO384" s="8" t="s">
        <v>222</v>
      </c>
      <c r="AP384" s="8">
        <v>0</v>
      </c>
      <c r="AQ384" s="8">
        <v>0</v>
      </c>
      <c r="AR384" s="9">
        <v>35</v>
      </c>
      <c r="AS384" s="8">
        <v>0</v>
      </c>
      <c r="AT384" s="8">
        <v>0</v>
      </c>
      <c r="AU384" s="8">
        <v>0</v>
      </c>
      <c r="AV384" s="8">
        <v>0</v>
      </c>
      <c r="AW384" s="9">
        <v>35</v>
      </c>
      <c r="AX384" s="8"/>
      <c r="AY384" s="9" t="s">
        <v>2046</v>
      </c>
      <c r="AZ384">
        <v>2</v>
      </c>
      <c r="BA384" t="s">
        <v>2047</v>
      </c>
      <c r="BB384" t="s">
        <v>1624</v>
      </c>
      <c r="BC384" t="s">
        <v>1625</v>
      </c>
    </row>
    <row r="385" spans="1:55">
      <c r="A385" s="6">
        <v>45793</v>
      </c>
      <c r="B385" s="7" t="s">
        <v>2048</v>
      </c>
      <c r="C385" t="s">
        <v>714</v>
      </c>
      <c r="D385" t="s">
        <v>2018</v>
      </c>
      <c r="G385" t="s">
        <v>754</v>
      </c>
      <c r="H385" s="8" t="s">
        <v>208</v>
      </c>
      <c r="I385" s="8" t="s">
        <v>208</v>
      </c>
      <c r="J385" s="8" t="s">
        <v>208</v>
      </c>
      <c r="K385" s="8" t="s">
        <v>208</v>
      </c>
      <c r="L385" s="8" t="s">
        <v>208</v>
      </c>
      <c r="M385" s="8" t="s">
        <v>208</v>
      </c>
      <c r="N385" s="8" t="s">
        <v>221</v>
      </c>
      <c r="O385" s="8" t="s">
        <v>208</v>
      </c>
      <c r="Q385" t="s">
        <v>2049</v>
      </c>
      <c r="R385" t="s">
        <v>2050</v>
      </c>
      <c r="S385" t="s">
        <v>2050</v>
      </c>
      <c r="T385" t="s">
        <v>2048</v>
      </c>
      <c r="U385" t="s">
        <v>2051</v>
      </c>
      <c r="V385" t="s">
        <v>662</v>
      </c>
      <c r="W385" t="s">
        <v>298</v>
      </c>
      <c r="X385" t="s">
        <v>298</v>
      </c>
      <c r="Y385" t="s">
        <v>2029</v>
      </c>
      <c r="Z385" t="s">
        <v>299</v>
      </c>
      <c r="AA385" t="s">
        <v>663</v>
      </c>
      <c r="AB385" t="s">
        <v>465</v>
      </c>
      <c r="AC385" t="s">
        <v>465</v>
      </c>
      <c r="AD385" t="s">
        <v>216</v>
      </c>
      <c r="AE385" t="s">
        <v>663</v>
      </c>
      <c r="AG385" s="8" t="s">
        <v>218</v>
      </c>
      <c r="AH385" t="s">
        <v>302</v>
      </c>
      <c r="AI385" s="9" t="s">
        <v>218</v>
      </c>
      <c r="AJ385" s="9" t="s">
        <v>218</v>
      </c>
      <c r="AK385" t="s">
        <v>234</v>
      </c>
      <c r="AL385" s="9" t="s">
        <v>218</v>
      </c>
      <c r="AM385" s="8" t="s">
        <v>221</v>
      </c>
      <c r="AN385" s="8" t="s">
        <v>221</v>
      </c>
      <c r="AO385" s="9" t="s">
        <v>1086</v>
      </c>
      <c r="AP385" s="8">
        <v>0</v>
      </c>
      <c r="AQ385" s="8">
        <v>0</v>
      </c>
      <c r="AR385" s="9">
        <v>2</v>
      </c>
      <c r="AS385" s="8">
        <v>0</v>
      </c>
      <c r="AT385" s="8">
        <v>0</v>
      </c>
      <c r="AU385" s="8">
        <v>0</v>
      </c>
      <c r="AV385" s="8">
        <v>0</v>
      </c>
      <c r="AW385" s="9">
        <v>2</v>
      </c>
      <c r="AX385" s="8"/>
      <c r="AY385" s="8"/>
      <c r="AZ385">
        <v>1</v>
      </c>
      <c r="BA385" t="s">
        <v>2032</v>
      </c>
      <c r="BB385" t="s">
        <v>2052</v>
      </c>
      <c r="BC385" t="s">
        <v>2053</v>
      </c>
    </row>
    <row r="386" spans="1:55">
      <c r="A386" s="6">
        <v>45793</v>
      </c>
      <c r="B386" s="7" t="s">
        <v>2054</v>
      </c>
      <c r="C386" t="s">
        <v>714</v>
      </c>
      <c r="D386" t="s">
        <v>2018</v>
      </c>
      <c r="G386" t="s">
        <v>754</v>
      </c>
      <c r="H386" s="8" t="s">
        <v>208</v>
      </c>
      <c r="I386" s="8" t="s">
        <v>208</v>
      </c>
      <c r="J386" s="8" t="s">
        <v>208</v>
      </c>
      <c r="K386" s="8" t="s">
        <v>208</v>
      </c>
      <c r="L386" s="8" t="s">
        <v>208</v>
      </c>
      <c r="M386" s="8" t="s">
        <v>208</v>
      </c>
      <c r="N386" s="8" t="s">
        <v>221</v>
      </c>
      <c r="O386" s="8" t="s">
        <v>208</v>
      </c>
      <c r="Q386" t="s">
        <v>2055</v>
      </c>
      <c r="R386" t="s">
        <v>2056</v>
      </c>
      <c r="S386" t="s">
        <v>2056</v>
      </c>
      <c r="T386" t="s">
        <v>2054</v>
      </c>
      <c r="U386" t="s">
        <v>2057</v>
      </c>
      <c r="V386" t="s">
        <v>38</v>
      </c>
      <c r="W386" t="s">
        <v>298</v>
      </c>
      <c r="X386" t="s">
        <v>298</v>
      </c>
      <c r="Y386" t="s">
        <v>2029</v>
      </c>
      <c r="Z386" t="s">
        <v>299</v>
      </c>
      <c r="AA386" t="s">
        <v>653</v>
      </c>
      <c r="AB386" t="s">
        <v>417</v>
      </c>
      <c r="AC386" t="s">
        <v>417</v>
      </c>
      <c r="AD386" t="s">
        <v>216</v>
      </c>
      <c r="AE386" t="s">
        <v>654</v>
      </c>
      <c r="AG386" s="8" t="s">
        <v>218</v>
      </c>
      <c r="AH386" t="s">
        <v>302</v>
      </c>
      <c r="AI386" s="9" t="s">
        <v>218</v>
      </c>
      <c r="AJ386" s="9" t="s">
        <v>218</v>
      </c>
      <c r="AK386" t="s">
        <v>2058</v>
      </c>
      <c r="AL386" s="9" t="s">
        <v>218</v>
      </c>
      <c r="AM386" s="8" t="s">
        <v>221</v>
      </c>
      <c r="AN386" s="8" t="s">
        <v>221</v>
      </c>
      <c r="AO386" s="9" t="s">
        <v>1086</v>
      </c>
      <c r="AP386" s="8">
        <v>0</v>
      </c>
      <c r="AQ386" s="8">
        <v>0</v>
      </c>
      <c r="AR386" s="8">
        <v>0</v>
      </c>
      <c r="AS386" s="8">
        <v>0</v>
      </c>
      <c r="AT386" s="8">
        <v>0</v>
      </c>
      <c r="AU386" s="8">
        <v>0</v>
      </c>
      <c r="AV386" s="8">
        <v>0</v>
      </c>
      <c r="AW386" s="8">
        <v>0</v>
      </c>
      <c r="AX386" s="8"/>
      <c r="AY386" s="9" t="s">
        <v>2059</v>
      </c>
      <c r="AZ386">
        <v>2</v>
      </c>
      <c r="BA386" t="s">
        <v>2060</v>
      </c>
      <c r="BB386" t="s">
        <v>2061</v>
      </c>
      <c r="BC386" t="s">
        <v>2062</v>
      </c>
    </row>
    <row r="387" spans="1:55">
      <c r="A387" s="6">
        <v>45793</v>
      </c>
      <c r="B387" s="7" t="s">
        <v>2063</v>
      </c>
      <c r="C387" t="s">
        <v>714</v>
      </c>
      <c r="D387" t="s">
        <v>2018</v>
      </c>
      <c r="G387" t="s">
        <v>754</v>
      </c>
      <c r="H387" s="8" t="s">
        <v>208</v>
      </c>
      <c r="I387" s="8" t="s">
        <v>208</v>
      </c>
      <c r="J387" s="8" t="s">
        <v>208</v>
      </c>
      <c r="K387" s="8" t="s">
        <v>208</v>
      </c>
      <c r="L387" s="8" t="s">
        <v>208</v>
      </c>
      <c r="M387" s="8" t="s">
        <v>208</v>
      </c>
      <c r="N387" s="8" t="s">
        <v>221</v>
      </c>
      <c r="O387" s="8" t="s">
        <v>208</v>
      </c>
      <c r="Q387" t="s">
        <v>2064</v>
      </c>
      <c r="R387" t="s">
        <v>2065</v>
      </c>
      <c r="S387" t="s">
        <v>2065</v>
      </c>
      <c r="T387" t="s">
        <v>2063</v>
      </c>
      <c r="U387" t="s">
        <v>2066</v>
      </c>
      <c r="V387" t="s">
        <v>2067</v>
      </c>
      <c r="W387" t="s">
        <v>298</v>
      </c>
      <c r="X387" t="s">
        <v>298</v>
      </c>
      <c r="Y387" t="s">
        <v>2029</v>
      </c>
      <c r="Z387" t="s">
        <v>299</v>
      </c>
      <c r="AA387" t="s">
        <v>2068</v>
      </c>
      <c r="AB387" t="s">
        <v>301</v>
      </c>
      <c r="AC387" t="s">
        <v>301</v>
      </c>
      <c r="AD387" t="s">
        <v>216</v>
      </c>
      <c r="AE387" t="s">
        <v>2068</v>
      </c>
      <c r="AG387" s="8" t="s">
        <v>218</v>
      </c>
      <c r="AH387" t="s">
        <v>302</v>
      </c>
      <c r="AI387" s="9" t="s">
        <v>218</v>
      </c>
      <c r="AJ387" s="9" t="s">
        <v>218</v>
      </c>
      <c r="AK387" t="s">
        <v>2069</v>
      </c>
      <c r="AL387" s="9" t="s">
        <v>218</v>
      </c>
      <c r="AM387" s="8" t="s">
        <v>221</v>
      </c>
      <c r="AN387" s="8" t="s">
        <v>221</v>
      </c>
      <c r="AO387" s="9" t="s">
        <v>1086</v>
      </c>
      <c r="AP387" s="8">
        <v>0</v>
      </c>
      <c r="AQ387" s="8">
        <v>0</v>
      </c>
      <c r="AR387" s="8">
        <v>0</v>
      </c>
      <c r="AS387" s="8">
        <v>0</v>
      </c>
      <c r="AT387" s="8">
        <v>0</v>
      </c>
      <c r="AU387" s="8">
        <v>0</v>
      </c>
      <c r="AV387" s="8">
        <v>0</v>
      </c>
      <c r="AW387" s="8">
        <v>0</v>
      </c>
      <c r="AX387" s="8"/>
      <c r="AY387" s="8"/>
      <c r="AZ387">
        <v>1</v>
      </c>
      <c r="BA387" t="s">
        <v>2032</v>
      </c>
      <c r="BB387" t="s">
        <v>2070</v>
      </c>
      <c r="BC387" t="s">
        <v>2071</v>
      </c>
    </row>
    <row r="388" spans="1:55">
      <c r="A388" s="6">
        <v>45793</v>
      </c>
      <c r="B388" s="7" t="s">
        <v>2072</v>
      </c>
      <c r="C388" t="s">
        <v>714</v>
      </c>
      <c r="D388" t="s">
        <v>2018</v>
      </c>
      <c r="G388" t="s">
        <v>754</v>
      </c>
      <c r="H388" s="8" t="s">
        <v>208</v>
      </c>
      <c r="I388" s="8" t="s">
        <v>208</v>
      </c>
      <c r="J388" s="8" t="s">
        <v>208</v>
      </c>
      <c r="K388" s="8" t="s">
        <v>208</v>
      </c>
      <c r="L388" s="8" t="s">
        <v>208</v>
      </c>
      <c r="M388" s="8" t="s">
        <v>208</v>
      </c>
      <c r="N388" s="8" t="s">
        <v>221</v>
      </c>
      <c r="O388" s="8" t="s">
        <v>208</v>
      </c>
      <c r="Q388" t="s">
        <v>2073</v>
      </c>
      <c r="R388" t="s">
        <v>2074</v>
      </c>
      <c r="S388" t="s">
        <v>2074</v>
      </c>
      <c r="T388" t="s">
        <v>2072</v>
      </c>
      <c r="U388" t="s">
        <v>2075</v>
      </c>
      <c r="V388" t="s">
        <v>2067</v>
      </c>
      <c r="W388" t="s">
        <v>298</v>
      </c>
      <c r="X388" t="s">
        <v>298</v>
      </c>
      <c r="Y388" t="s">
        <v>2029</v>
      </c>
      <c r="Z388" t="s">
        <v>299</v>
      </c>
      <c r="AA388" t="s">
        <v>2068</v>
      </c>
      <c r="AB388" t="s">
        <v>301</v>
      </c>
      <c r="AC388" t="s">
        <v>301</v>
      </c>
      <c r="AD388" t="s">
        <v>216</v>
      </c>
      <c r="AE388" t="s">
        <v>2068</v>
      </c>
      <c r="AG388" s="8" t="s">
        <v>218</v>
      </c>
      <c r="AH388" t="s">
        <v>302</v>
      </c>
      <c r="AI388" s="9" t="s">
        <v>218</v>
      </c>
      <c r="AJ388" s="9" t="s">
        <v>218</v>
      </c>
      <c r="AK388" t="s">
        <v>2076</v>
      </c>
      <c r="AL388" s="9" t="s">
        <v>218</v>
      </c>
      <c r="AM388" s="8" t="s">
        <v>221</v>
      </c>
      <c r="AN388" s="8" t="s">
        <v>221</v>
      </c>
      <c r="AO388" s="9" t="s">
        <v>1086</v>
      </c>
      <c r="AP388" s="8">
        <v>0</v>
      </c>
      <c r="AQ388" s="8">
        <v>0</v>
      </c>
      <c r="AR388" s="9">
        <v>1</v>
      </c>
      <c r="AS388" s="8">
        <v>0</v>
      </c>
      <c r="AT388" s="8">
        <v>0</v>
      </c>
      <c r="AU388" s="8">
        <v>0</v>
      </c>
      <c r="AV388" s="8">
        <v>0</v>
      </c>
      <c r="AW388" s="9">
        <v>1</v>
      </c>
      <c r="AX388" s="8"/>
      <c r="AY388" s="8"/>
      <c r="AZ388">
        <v>1</v>
      </c>
      <c r="BA388" t="s">
        <v>2032</v>
      </c>
      <c r="BB388" t="s">
        <v>2077</v>
      </c>
      <c r="BC388" t="s">
        <v>2078</v>
      </c>
    </row>
    <row r="389" spans="1:55">
      <c r="A389" s="6">
        <v>45793</v>
      </c>
      <c r="B389" s="7" t="s">
        <v>2079</v>
      </c>
      <c r="C389" t="s">
        <v>714</v>
      </c>
      <c r="D389" t="s">
        <v>2018</v>
      </c>
      <c r="G389" t="s">
        <v>754</v>
      </c>
      <c r="H389" s="8" t="s">
        <v>208</v>
      </c>
      <c r="I389" s="8" t="s">
        <v>208</v>
      </c>
      <c r="J389" s="8" t="s">
        <v>208</v>
      </c>
      <c r="K389" s="8" t="s">
        <v>208</v>
      </c>
      <c r="L389" s="8" t="s">
        <v>208</v>
      </c>
      <c r="M389" s="8" t="s">
        <v>208</v>
      </c>
      <c r="N389" s="8" t="s">
        <v>221</v>
      </c>
      <c r="O389" s="8" t="s">
        <v>208</v>
      </c>
      <c r="Q389" t="s">
        <v>2080</v>
      </c>
      <c r="R389" t="s">
        <v>2081</v>
      </c>
      <c r="S389" t="s">
        <v>2081</v>
      </c>
      <c r="T389" t="s">
        <v>2079</v>
      </c>
      <c r="U389" t="s">
        <v>2082</v>
      </c>
      <c r="V389" t="s">
        <v>837</v>
      </c>
      <c r="W389" t="s">
        <v>298</v>
      </c>
      <c r="X389" t="s">
        <v>298</v>
      </c>
      <c r="Y389" t="s">
        <v>2029</v>
      </c>
      <c r="Z389" t="s">
        <v>299</v>
      </c>
      <c r="AA389" t="s">
        <v>838</v>
      </c>
      <c r="AB389" t="s">
        <v>312</v>
      </c>
      <c r="AC389" t="s">
        <v>312</v>
      </c>
      <c r="AD389" t="s">
        <v>216</v>
      </c>
      <c r="AE389" t="s">
        <v>838</v>
      </c>
      <c r="AG389" s="8" t="s">
        <v>218</v>
      </c>
      <c r="AH389" t="s">
        <v>302</v>
      </c>
      <c r="AI389" s="9" t="s">
        <v>218</v>
      </c>
      <c r="AJ389" s="9" t="s">
        <v>218</v>
      </c>
      <c r="AK389" t="s">
        <v>234</v>
      </c>
      <c r="AL389" s="9" t="s">
        <v>218</v>
      </c>
      <c r="AM389" s="8" t="s">
        <v>221</v>
      </c>
      <c r="AN389" s="8" t="s">
        <v>221</v>
      </c>
      <c r="AO389" s="9" t="s">
        <v>1086</v>
      </c>
      <c r="AP389" s="8">
        <v>0</v>
      </c>
      <c r="AQ389" s="8">
        <v>0</v>
      </c>
      <c r="AR389" s="8">
        <v>0</v>
      </c>
      <c r="AS389" s="8">
        <v>0</v>
      </c>
      <c r="AT389" s="8">
        <v>0</v>
      </c>
      <c r="AU389" s="8">
        <v>0</v>
      </c>
      <c r="AV389" s="8">
        <v>0</v>
      </c>
      <c r="AW389" s="8">
        <v>0</v>
      </c>
      <c r="AX389" s="8"/>
      <c r="AY389" s="8"/>
      <c r="AZ389">
        <v>1</v>
      </c>
      <c r="BA389" t="s">
        <v>2032</v>
      </c>
      <c r="BB389" t="s">
        <v>2083</v>
      </c>
      <c r="BC389" t="s">
        <v>2084</v>
      </c>
    </row>
    <row r="390" spans="1:55">
      <c r="A390" s="6">
        <v>45793</v>
      </c>
      <c r="B390" s="7" t="s">
        <v>2085</v>
      </c>
      <c r="C390" t="s">
        <v>714</v>
      </c>
      <c r="D390" t="s">
        <v>2018</v>
      </c>
      <c r="G390" t="s">
        <v>754</v>
      </c>
      <c r="H390" s="8" t="s">
        <v>208</v>
      </c>
      <c r="I390" s="8" t="s">
        <v>208</v>
      </c>
      <c r="J390" s="8" t="s">
        <v>208</v>
      </c>
      <c r="K390" s="8" t="s">
        <v>208</v>
      </c>
      <c r="L390" s="8" t="s">
        <v>208</v>
      </c>
      <c r="M390" s="8" t="s">
        <v>208</v>
      </c>
      <c r="N390" s="8" t="s">
        <v>221</v>
      </c>
      <c r="O390" s="8" t="s">
        <v>208</v>
      </c>
      <c r="Q390" t="s">
        <v>2086</v>
      </c>
      <c r="R390" t="s">
        <v>2087</v>
      </c>
      <c r="S390" t="s">
        <v>2087</v>
      </c>
      <c r="T390" t="s">
        <v>2085</v>
      </c>
      <c r="U390" t="s">
        <v>2088</v>
      </c>
      <c r="V390" t="s">
        <v>1128</v>
      </c>
      <c r="W390" t="s">
        <v>298</v>
      </c>
      <c r="X390" t="s">
        <v>298</v>
      </c>
      <c r="Y390" t="s">
        <v>2029</v>
      </c>
      <c r="Z390" t="s">
        <v>299</v>
      </c>
      <c r="AA390" t="s">
        <v>2089</v>
      </c>
      <c r="AB390" t="s">
        <v>425</v>
      </c>
      <c r="AC390" t="s">
        <v>425</v>
      </c>
      <c r="AD390" t="s">
        <v>216</v>
      </c>
      <c r="AE390" t="s">
        <v>2089</v>
      </c>
      <c r="AG390" s="8" t="s">
        <v>218</v>
      </c>
      <c r="AH390" t="s">
        <v>302</v>
      </c>
      <c r="AI390" s="9" t="s">
        <v>218</v>
      </c>
      <c r="AJ390" s="9" t="s">
        <v>218</v>
      </c>
      <c r="AK390" t="s">
        <v>2090</v>
      </c>
      <c r="AL390" s="9" t="s">
        <v>218</v>
      </c>
      <c r="AM390" s="8" t="s">
        <v>221</v>
      </c>
      <c r="AN390" s="8" t="s">
        <v>221</v>
      </c>
      <c r="AO390" s="9" t="s">
        <v>1086</v>
      </c>
      <c r="AP390" s="8">
        <v>0</v>
      </c>
      <c r="AQ390" s="8">
        <v>0</v>
      </c>
      <c r="AR390" s="8">
        <v>0</v>
      </c>
      <c r="AS390" s="8">
        <v>0</v>
      </c>
      <c r="AT390" s="8">
        <v>0</v>
      </c>
      <c r="AU390" s="8">
        <v>0</v>
      </c>
      <c r="AV390" s="8">
        <v>0</v>
      </c>
      <c r="AW390" s="8">
        <v>0</v>
      </c>
      <c r="AX390" s="8"/>
      <c r="AY390" s="8"/>
      <c r="AZ390">
        <v>1</v>
      </c>
      <c r="BA390" t="s">
        <v>2032</v>
      </c>
      <c r="BB390" t="s">
        <v>2091</v>
      </c>
      <c r="BC390" t="s">
        <v>2092</v>
      </c>
    </row>
    <row r="391" spans="1:55">
      <c r="A391" s="6">
        <v>45793</v>
      </c>
      <c r="B391" s="7" t="s">
        <v>2093</v>
      </c>
      <c r="C391" t="s">
        <v>668</v>
      </c>
      <c r="D391" t="s">
        <v>2018</v>
      </c>
      <c r="G391" t="s">
        <v>754</v>
      </c>
      <c r="H391" s="8" t="s">
        <v>208</v>
      </c>
      <c r="I391" s="8" t="s">
        <v>208</v>
      </c>
      <c r="J391" s="8" t="s">
        <v>208</v>
      </c>
      <c r="K391" s="8" t="s">
        <v>208</v>
      </c>
      <c r="L391" s="8" t="s">
        <v>208</v>
      </c>
      <c r="M391" s="8" t="s">
        <v>208</v>
      </c>
      <c r="N391" s="8" t="s">
        <v>221</v>
      </c>
      <c r="O391" s="8" t="s">
        <v>208</v>
      </c>
      <c r="Q391" t="s">
        <v>2094</v>
      </c>
      <c r="R391" t="s">
        <v>2095</v>
      </c>
      <c r="S391" t="s">
        <v>2095</v>
      </c>
      <c r="T391" t="s">
        <v>2093</v>
      </c>
      <c r="U391" t="s">
        <v>2096</v>
      </c>
      <c r="V391" t="s">
        <v>140</v>
      </c>
      <c r="W391" t="s">
        <v>212</v>
      </c>
      <c r="X391" t="s">
        <v>212</v>
      </c>
      <c r="Y391" t="s">
        <v>275</v>
      </c>
      <c r="Z391" t="s">
        <v>213</v>
      </c>
      <c r="AA391" t="s">
        <v>214</v>
      </c>
      <c r="AB391" t="s">
        <v>701</v>
      </c>
      <c r="AC391" t="s">
        <v>242</v>
      </c>
      <c r="AD391" t="s">
        <v>1826</v>
      </c>
      <c r="AE391" t="s">
        <v>11</v>
      </c>
      <c r="AG391" s="8" t="s">
        <v>218</v>
      </c>
      <c r="AH391" t="s">
        <v>219</v>
      </c>
      <c r="AI391" s="9" t="s">
        <v>218</v>
      </c>
      <c r="AJ391" s="9" t="s">
        <v>218</v>
      </c>
      <c r="AK391" t="s">
        <v>2097</v>
      </c>
      <c r="AL391" s="8" t="s">
        <v>221</v>
      </c>
      <c r="AM391" s="9" t="s">
        <v>218</v>
      </c>
      <c r="AN391" s="8" t="s">
        <v>221</v>
      </c>
      <c r="AO391" s="8" t="s">
        <v>222</v>
      </c>
      <c r="AP391" s="8">
        <v>0</v>
      </c>
      <c r="AQ391" s="8">
        <v>0</v>
      </c>
      <c r="AR391" s="8">
        <v>0</v>
      </c>
      <c r="AS391" s="8">
        <v>0</v>
      </c>
      <c r="AT391" s="8">
        <v>0</v>
      </c>
      <c r="AU391" s="8">
        <v>0</v>
      </c>
      <c r="AV391" s="8">
        <v>0</v>
      </c>
      <c r="AW391" s="8">
        <v>0</v>
      </c>
      <c r="AX391" s="8"/>
      <c r="AY391" s="8"/>
      <c r="AZ391">
        <v>3</v>
      </c>
      <c r="BA391" t="s">
        <v>2098</v>
      </c>
      <c r="BB391" t="s">
        <v>2099</v>
      </c>
      <c r="BC391" t="s">
        <v>2100</v>
      </c>
    </row>
    <row r="392" spans="1:55">
      <c r="A392" s="6">
        <v>45793</v>
      </c>
      <c r="B392" s="7" t="s">
        <v>2101</v>
      </c>
      <c r="C392" t="s">
        <v>714</v>
      </c>
      <c r="D392" t="s">
        <v>2018</v>
      </c>
      <c r="G392" t="s">
        <v>754</v>
      </c>
      <c r="H392" s="8" t="s">
        <v>208</v>
      </c>
      <c r="I392" s="8" t="s">
        <v>208</v>
      </c>
      <c r="J392" s="8" t="s">
        <v>208</v>
      </c>
      <c r="K392" s="8" t="s">
        <v>208</v>
      </c>
      <c r="L392" s="8" t="s">
        <v>208</v>
      </c>
      <c r="M392" s="8" t="s">
        <v>208</v>
      </c>
      <c r="N392" s="8" t="s">
        <v>221</v>
      </c>
      <c r="O392" s="8" t="s">
        <v>208</v>
      </c>
      <c r="Q392" t="s">
        <v>2102</v>
      </c>
      <c r="R392" t="s">
        <v>2103</v>
      </c>
      <c r="S392" t="s">
        <v>2103</v>
      </c>
      <c r="T392" t="s">
        <v>2101</v>
      </c>
      <c r="U392" t="s">
        <v>2104</v>
      </c>
      <c r="V392" t="s">
        <v>138</v>
      </c>
      <c r="W392" t="s">
        <v>212</v>
      </c>
      <c r="X392" t="s">
        <v>212</v>
      </c>
      <c r="Y392" t="s">
        <v>213</v>
      </c>
      <c r="Z392" t="s">
        <v>213</v>
      </c>
      <c r="AA392" t="s">
        <v>214</v>
      </c>
      <c r="AB392" t="s">
        <v>701</v>
      </c>
      <c r="AC392" t="s">
        <v>242</v>
      </c>
      <c r="AD392" t="s">
        <v>216</v>
      </c>
      <c r="AE392" t="s">
        <v>11</v>
      </c>
      <c r="AG392" s="8" t="s">
        <v>218</v>
      </c>
      <c r="AH392" t="s">
        <v>219</v>
      </c>
      <c r="AI392" s="9" t="s">
        <v>218</v>
      </c>
      <c r="AJ392" s="9" t="s">
        <v>218</v>
      </c>
      <c r="AK392" t="s">
        <v>234</v>
      </c>
      <c r="AL392" s="9" t="s">
        <v>218</v>
      </c>
      <c r="AM392" s="8" t="s">
        <v>221</v>
      </c>
      <c r="AN392" s="8" t="s">
        <v>221</v>
      </c>
      <c r="AO392" s="8" t="s">
        <v>222</v>
      </c>
      <c r="AP392" s="8">
        <v>0</v>
      </c>
      <c r="AQ392" s="8">
        <v>0</v>
      </c>
      <c r="AR392" s="9">
        <v>6</v>
      </c>
      <c r="AS392" s="8">
        <v>0</v>
      </c>
      <c r="AT392" s="8">
        <v>0</v>
      </c>
      <c r="AU392" s="8">
        <v>0</v>
      </c>
      <c r="AV392" s="8">
        <v>0</v>
      </c>
      <c r="AW392" s="9">
        <v>6</v>
      </c>
      <c r="AX392" s="8"/>
      <c r="AY392" s="8"/>
      <c r="AZ392">
        <v>0</v>
      </c>
      <c r="BB392" t="s">
        <v>2105</v>
      </c>
      <c r="BC392" t="s">
        <v>2106</v>
      </c>
    </row>
    <row r="393" spans="1:55">
      <c r="A393" s="6">
        <v>45793</v>
      </c>
      <c r="B393" s="7" t="s">
        <v>2107</v>
      </c>
      <c r="C393" t="s">
        <v>714</v>
      </c>
      <c r="D393" t="s">
        <v>2018</v>
      </c>
      <c r="G393" t="s">
        <v>754</v>
      </c>
      <c r="H393" s="8" t="s">
        <v>208</v>
      </c>
      <c r="I393" s="8" t="s">
        <v>208</v>
      </c>
      <c r="J393" s="8" t="s">
        <v>208</v>
      </c>
      <c r="K393" s="8" t="s">
        <v>208</v>
      </c>
      <c r="L393" s="8" t="s">
        <v>208</v>
      </c>
      <c r="M393" s="8" t="s">
        <v>208</v>
      </c>
      <c r="N393" s="8" t="s">
        <v>221</v>
      </c>
      <c r="O393" s="8" t="s">
        <v>208</v>
      </c>
      <c r="Q393" t="s">
        <v>2108</v>
      </c>
      <c r="R393" t="s">
        <v>2109</v>
      </c>
      <c r="S393" t="s">
        <v>2109</v>
      </c>
      <c r="T393" t="s">
        <v>2107</v>
      </c>
      <c r="U393" t="s">
        <v>2110</v>
      </c>
      <c r="V393" t="s">
        <v>2111</v>
      </c>
      <c r="W393" t="s">
        <v>298</v>
      </c>
      <c r="X393" t="s">
        <v>298</v>
      </c>
      <c r="Y393" t="s">
        <v>2029</v>
      </c>
      <c r="Z393" t="s">
        <v>299</v>
      </c>
      <c r="AA393" t="s">
        <v>2112</v>
      </c>
      <c r="AB393" t="s">
        <v>301</v>
      </c>
      <c r="AC393" t="s">
        <v>301</v>
      </c>
      <c r="AD393" t="s">
        <v>216</v>
      </c>
      <c r="AE393" t="s">
        <v>2112</v>
      </c>
      <c r="AG393" s="8" t="s">
        <v>218</v>
      </c>
      <c r="AH393" t="s">
        <v>302</v>
      </c>
      <c r="AI393" s="9" t="s">
        <v>218</v>
      </c>
      <c r="AJ393" s="9" t="s">
        <v>218</v>
      </c>
      <c r="AK393" t="s">
        <v>2113</v>
      </c>
      <c r="AL393" s="9" t="s">
        <v>218</v>
      </c>
      <c r="AM393" s="8" t="s">
        <v>221</v>
      </c>
      <c r="AN393" s="8" t="s">
        <v>221</v>
      </c>
      <c r="AO393" s="9" t="s">
        <v>1086</v>
      </c>
      <c r="AP393" s="8">
        <v>0</v>
      </c>
      <c r="AQ393" s="8">
        <v>0</v>
      </c>
      <c r="AR393" s="8">
        <v>0</v>
      </c>
      <c r="AS393" s="8">
        <v>0</v>
      </c>
      <c r="AT393" s="8">
        <v>0</v>
      </c>
      <c r="AU393" s="8">
        <v>0</v>
      </c>
      <c r="AV393" s="8">
        <v>0</v>
      </c>
      <c r="AW393" s="8">
        <v>0</v>
      </c>
      <c r="AX393" s="8"/>
      <c r="AY393" s="8"/>
      <c r="BB393" t="s">
        <v>2114</v>
      </c>
      <c r="BC393" t="s">
        <v>2115</v>
      </c>
    </row>
    <row r="394" spans="1:55">
      <c r="A394" s="6">
        <v>45793</v>
      </c>
      <c r="B394" s="7" t="s">
        <v>2116</v>
      </c>
      <c r="C394" t="s">
        <v>668</v>
      </c>
      <c r="D394" t="s">
        <v>2117</v>
      </c>
      <c r="G394" t="s">
        <v>754</v>
      </c>
      <c r="H394" s="8" t="s">
        <v>208</v>
      </c>
      <c r="I394" s="8" t="s">
        <v>208</v>
      </c>
      <c r="J394" s="8" t="s">
        <v>208</v>
      </c>
      <c r="K394" s="8" t="s">
        <v>208</v>
      </c>
      <c r="L394" s="8" t="s">
        <v>208</v>
      </c>
      <c r="M394" s="8" t="s">
        <v>208</v>
      </c>
      <c r="N394" s="8" t="s">
        <v>221</v>
      </c>
      <c r="O394" s="8" t="s">
        <v>208</v>
      </c>
      <c r="Q394" t="s">
        <v>2118</v>
      </c>
      <c r="R394" t="s">
        <v>2119</v>
      </c>
      <c r="S394" t="s">
        <v>2119</v>
      </c>
      <c r="T394" t="s">
        <v>2116</v>
      </c>
      <c r="U394" t="s">
        <v>2120</v>
      </c>
      <c r="V394" t="s">
        <v>137</v>
      </c>
      <c r="W394" t="s">
        <v>212</v>
      </c>
      <c r="X394" t="s">
        <v>212</v>
      </c>
      <c r="Y394" t="s">
        <v>275</v>
      </c>
      <c r="Z394" t="s">
        <v>213</v>
      </c>
      <c r="AA394" t="s">
        <v>214</v>
      </c>
      <c r="AB394" t="s">
        <v>701</v>
      </c>
      <c r="AC394" t="s">
        <v>242</v>
      </c>
      <c r="AD394" t="s">
        <v>2043</v>
      </c>
      <c r="AE394" t="s">
        <v>2121</v>
      </c>
      <c r="AG394" s="9" t="s">
        <v>221</v>
      </c>
      <c r="AH394" t="s">
        <v>219</v>
      </c>
      <c r="AI394" s="9" t="s">
        <v>218</v>
      </c>
      <c r="AJ394" s="9" t="s">
        <v>218</v>
      </c>
      <c r="AK394" t="s">
        <v>234</v>
      </c>
      <c r="AL394" s="8" t="s">
        <v>221</v>
      </c>
      <c r="AM394" s="9" t="s">
        <v>218</v>
      </c>
      <c r="AN394" s="8" t="s">
        <v>221</v>
      </c>
      <c r="AO394" s="8" t="s">
        <v>222</v>
      </c>
      <c r="AP394" s="8">
        <v>0</v>
      </c>
      <c r="AQ394" s="8">
        <v>0</v>
      </c>
      <c r="AR394" s="8">
        <v>0</v>
      </c>
      <c r="AS394" s="8">
        <v>0</v>
      </c>
      <c r="AT394" s="8">
        <v>0</v>
      </c>
      <c r="AU394" s="8">
        <v>0</v>
      </c>
      <c r="AV394" s="8">
        <v>0</v>
      </c>
      <c r="AW394" s="8">
        <v>0</v>
      </c>
      <c r="AX394" s="8"/>
      <c r="AY394" s="8"/>
      <c r="AZ394">
        <v>4</v>
      </c>
      <c r="BA394" t="s">
        <v>2122</v>
      </c>
      <c r="BB394" t="s">
        <v>2123</v>
      </c>
      <c r="BC394" t="s">
        <v>2124</v>
      </c>
    </row>
    <row r="395" spans="1:55">
      <c r="A395" s="6">
        <v>45793</v>
      </c>
      <c r="B395" s="7" t="s">
        <v>1029</v>
      </c>
      <c r="C395" t="s">
        <v>687</v>
      </c>
      <c r="D395" t="s">
        <v>2117</v>
      </c>
      <c r="G395" t="s">
        <v>754</v>
      </c>
      <c r="H395" s="8" t="s">
        <v>208</v>
      </c>
      <c r="I395" s="8" t="s">
        <v>208</v>
      </c>
      <c r="J395" s="8" t="s">
        <v>208</v>
      </c>
      <c r="K395" s="8" t="s">
        <v>208</v>
      </c>
      <c r="L395" s="8" t="s">
        <v>208</v>
      </c>
      <c r="M395" s="8" t="s">
        <v>208</v>
      </c>
      <c r="N395" s="8" t="s">
        <v>221</v>
      </c>
      <c r="O395" s="8" t="s">
        <v>208</v>
      </c>
      <c r="Q395" t="s">
        <v>1030</v>
      </c>
      <c r="R395" t="s">
        <v>1031</v>
      </c>
      <c r="S395" t="s">
        <v>1031</v>
      </c>
      <c r="T395" t="s">
        <v>1029</v>
      </c>
      <c r="U395" t="s">
        <v>1032</v>
      </c>
      <c r="V395" t="s">
        <v>849</v>
      </c>
      <c r="W395" t="s">
        <v>232</v>
      </c>
      <c r="Y395" t="s">
        <v>765</v>
      </c>
      <c r="AA395" t="s">
        <v>776</v>
      </c>
      <c r="AB395" t="s">
        <v>701</v>
      </c>
      <c r="AD395" t="s">
        <v>2043</v>
      </c>
      <c r="AG395" s="8" t="s">
        <v>218</v>
      </c>
      <c r="AI395" s="9" t="s">
        <v>218</v>
      </c>
      <c r="AJ395" s="9" t="s">
        <v>218</v>
      </c>
      <c r="AK395" t="s">
        <v>1033</v>
      </c>
      <c r="AL395" s="9" t="s">
        <v>218</v>
      </c>
      <c r="AM395" s="8" t="s">
        <v>221</v>
      </c>
      <c r="AN395" s="8" t="s">
        <v>221</v>
      </c>
      <c r="AO395" s="8" t="s">
        <v>222</v>
      </c>
      <c r="AP395" s="8">
        <v>0</v>
      </c>
      <c r="AQ395" s="8">
        <v>0</v>
      </c>
      <c r="AR395" s="8">
        <v>0</v>
      </c>
      <c r="AS395" s="8">
        <v>0</v>
      </c>
      <c r="AT395" s="8">
        <v>0</v>
      </c>
      <c r="AU395" s="8">
        <v>0</v>
      </c>
      <c r="AV395" s="8">
        <v>0</v>
      </c>
      <c r="AW395" s="8">
        <v>0</v>
      </c>
      <c r="AX395" s="8"/>
      <c r="AY395" s="8"/>
      <c r="AZ395">
        <v>0</v>
      </c>
      <c r="BC395" t="s">
        <v>1034</v>
      </c>
    </row>
    <row r="396" spans="1:55">
      <c r="A396" s="6">
        <v>45793</v>
      </c>
      <c r="B396" s="7" t="s">
        <v>1040</v>
      </c>
      <c r="C396" t="s">
        <v>687</v>
      </c>
      <c r="D396" t="s">
        <v>2117</v>
      </c>
      <c r="G396" t="s">
        <v>754</v>
      </c>
      <c r="H396" s="8" t="s">
        <v>208</v>
      </c>
      <c r="I396" s="8" t="s">
        <v>208</v>
      </c>
      <c r="J396" s="8" t="s">
        <v>208</v>
      </c>
      <c r="K396" s="8" t="s">
        <v>208</v>
      </c>
      <c r="L396" s="8" t="s">
        <v>208</v>
      </c>
      <c r="M396" s="8" t="s">
        <v>208</v>
      </c>
      <c r="N396" s="8" t="s">
        <v>221</v>
      </c>
      <c r="O396" s="8" t="s">
        <v>208</v>
      </c>
      <c r="Q396" t="s">
        <v>1041</v>
      </c>
      <c r="R396" t="s">
        <v>1042</v>
      </c>
      <c r="S396" t="s">
        <v>1042</v>
      </c>
      <c r="T396" t="s">
        <v>1040</v>
      </c>
      <c r="U396" t="s">
        <v>1043</v>
      </c>
      <c r="V396" t="s">
        <v>849</v>
      </c>
      <c r="W396" t="s">
        <v>232</v>
      </c>
      <c r="Y396" t="s">
        <v>765</v>
      </c>
      <c r="AA396" t="s">
        <v>776</v>
      </c>
      <c r="AB396" t="s">
        <v>701</v>
      </c>
      <c r="AD396" t="s">
        <v>2043</v>
      </c>
      <c r="AG396" s="8" t="s">
        <v>218</v>
      </c>
      <c r="AI396" s="9" t="s">
        <v>218</v>
      </c>
      <c r="AJ396" s="9" t="s">
        <v>218</v>
      </c>
      <c r="AK396" t="s">
        <v>1033</v>
      </c>
      <c r="AL396" s="9" t="s">
        <v>218</v>
      </c>
      <c r="AM396" s="8" t="s">
        <v>221</v>
      </c>
      <c r="AN396" s="8" t="s">
        <v>221</v>
      </c>
      <c r="AO396" s="8" t="s">
        <v>222</v>
      </c>
      <c r="AP396" s="8">
        <v>0</v>
      </c>
      <c r="AQ396" s="8">
        <v>0</v>
      </c>
      <c r="AR396" s="8">
        <v>0</v>
      </c>
      <c r="AS396" s="8">
        <v>0</v>
      </c>
      <c r="AT396" s="8">
        <v>0</v>
      </c>
      <c r="AU396" s="8">
        <v>0</v>
      </c>
      <c r="AV396" s="8">
        <v>0</v>
      </c>
      <c r="AW396" s="8">
        <v>0</v>
      </c>
      <c r="AX396" s="8"/>
      <c r="AY396" s="8"/>
      <c r="AZ396">
        <v>0</v>
      </c>
      <c r="BC396" t="s">
        <v>1044</v>
      </c>
    </row>
    <row r="397" spans="1:55">
      <c r="A397" s="6">
        <v>45793</v>
      </c>
      <c r="B397" s="7" t="s">
        <v>761</v>
      </c>
      <c r="C397" t="s">
        <v>668</v>
      </c>
      <c r="D397" t="s">
        <v>2117</v>
      </c>
      <c r="G397" t="s">
        <v>754</v>
      </c>
      <c r="H397" s="8" t="s">
        <v>208</v>
      </c>
      <c r="I397" s="8" t="s">
        <v>208</v>
      </c>
      <c r="J397" s="8" t="s">
        <v>208</v>
      </c>
      <c r="K397" s="8" t="s">
        <v>208</v>
      </c>
      <c r="L397" s="8" t="s">
        <v>208</v>
      </c>
      <c r="M397" s="8" t="s">
        <v>208</v>
      </c>
      <c r="N397" s="8" t="s">
        <v>221</v>
      </c>
      <c r="O397" s="8" t="s">
        <v>208</v>
      </c>
      <c r="Q397" t="s">
        <v>762</v>
      </c>
      <c r="R397" t="s">
        <v>763</v>
      </c>
      <c r="S397" t="s">
        <v>763</v>
      </c>
      <c r="T397" t="s">
        <v>761</v>
      </c>
      <c r="U397" t="s">
        <v>848</v>
      </c>
      <c r="V397" t="s">
        <v>849</v>
      </c>
      <c r="W397" t="s">
        <v>232</v>
      </c>
      <c r="Y397" t="s">
        <v>765</v>
      </c>
      <c r="AA397" t="s">
        <v>776</v>
      </c>
      <c r="AB397" t="s">
        <v>215</v>
      </c>
      <c r="AD397" t="s">
        <v>2043</v>
      </c>
      <c r="AG397" s="8" t="s">
        <v>218</v>
      </c>
      <c r="AI397" s="9" t="s">
        <v>218</v>
      </c>
      <c r="AJ397" s="9" t="s">
        <v>218</v>
      </c>
      <c r="AK397" t="s">
        <v>767</v>
      </c>
      <c r="AL397" s="9" t="s">
        <v>218</v>
      </c>
      <c r="AM397" s="8" t="s">
        <v>221</v>
      </c>
      <c r="AN397" s="8" t="s">
        <v>221</v>
      </c>
      <c r="AO397" s="8" t="s">
        <v>222</v>
      </c>
      <c r="AP397" s="8">
        <v>0</v>
      </c>
      <c r="AQ397" s="8">
        <v>0</v>
      </c>
      <c r="AR397" s="8">
        <v>0</v>
      </c>
      <c r="AS397" s="8">
        <v>0</v>
      </c>
      <c r="AT397" s="8">
        <v>0</v>
      </c>
      <c r="AU397" s="8">
        <v>0</v>
      </c>
      <c r="AV397" s="8">
        <v>0</v>
      </c>
      <c r="AW397" s="8">
        <v>0</v>
      </c>
      <c r="AX397" s="8"/>
      <c r="AY397" s="8"/>
      <c r="BC397" t="s">
        <v>768</v>
      </c>
    </row>
    <row r="398" spans="1:55">
      <c r="A398" s="6">
        <v>45793</v>
      </c>
      <c r="B398" s="7" t="s">
        <v>2125</v>
      </c>
      <c r="C398" t="s">
        <v>205</v>
      </c>
      <c r="D398" t="s">
        <v>2117</v>
      </c>
      <c r="G398" t="s">
        <v>754</v>
      </c>
      <c r="H398" s="8" t="s">
        <v>208</v>
      </c>
      <c r="I398" s="8" t="s">
        <v>208</v>
      </c>
      <c r="J398" s="8" t="s">
        <v>208</v>
      </c>
      <c r="K398" s="8" t="s">
        <v>208</v>
      </c>
      <c r="L398" s="8" t="s">
        <v>208</v>
      </c>
      <c r="M398" s="8" t="s">
        <v>208</v>
      </c>
      <c r="N398" s="8" t="s">
        <v>221</v>
      </c>
      <c r="O398" s="8" t="s">
        <v>221</v>
      </c>
      <c r="Q398" t="s">
        <v>2126</v>
      </c>
      <c r="R398" t="s">
        <v>2127</v>
      </c>
      <c r="S398" t="s">
        <v>2127</v>
      </c>
      <c r="T398" t="s">
        <v>2125</v>
      </c>
      <c r="U398" t="s">
        <v>2128</v>
      </c>
      <c r="V398" t="s">
        <v>2129</v>
      </c>
      <c r="W398" t="s">
        <v>774</v>
      </c>
      <c r="Y398" t="s">
        <v>1082</v>
      </c>
      <c r="AA398" t="s">
        <v>776</v>
      </c>
      <c r="AB398" t="s">
        <v>312</v>
      </c>
      <c r="AD398" t="s">
        <v>2043</v>
      </c>
      <c r="AG398" s="8" t="s">
        <v>218</v>
      </c>
      <c r="AI398" s="9" t="s">
        <v>218</v>
      </c>
      <c r="AJ398" s="9" t="s">
        <v>218</v>
      </c>
      <c r="AK398" t="s">
        <v>2130</v>
      </c>
      <c r="AL398" s="8" t="s">
        <v>221</v>
      </c>
      <c r="AM398" s="9" t="s">
        <v>218</v>
      </c>
      <c r="AN398" s="8" t="s">
        <v>221</v>
      </c>
      <c r="AO398" s="8" t="s">
        <v>222</v>
      </c>
      <c r="AP398" s="8">
        <v>0</v>
      </c>
      <c r="AQ398" s="8">
        <v>0</v>
      </c>
      <c r="AR398" s="8">
        <v>0</v>
      </c>
      <c r="AS398" s="8">
        <v>0</v>
      </c>
      <c r="AT398" s="8">
        <v>0</v>
      </c>
      <c r="AU398" s="8">
        <v>0</v>
      </c>
      <c r="AV398" s="8">
        <v>0</v>
      </c>
      <c r="AW398" s="8">
        <v>0</v>
      </c>
      <c r="AX398" s="8"/>
      <c r="AY398" s="8"/>
      <c r="BC398" t="s">
        <v>2131</v>
      </c>
    </row>
    <row r="399" spans="1:55">
      <c r="A399" s="6">
        <v>45793</v>
      </c>
      <c r="B399" s="7" t="s">
        <v>2132</v>
      </c>
      <c r="C399" t="s">
        <v>205</v>
      </c>
      <c r="D399" t="s">
        <v>2117</v>
      </c>
      <c r="G399" t="s">
        <v>754</v>
      </c>
      <c r="H399" s="8" t="s">
        <v>208</v>
      </c>
      <c r="I399" s="8" t="s">
        <v>208</v>
      </c>
      <c r="J399" s="8" t="s">
        <v>208</v>
      </c>
      <c r="K399" s="8" t="s">
        <v>208</v>
      </c>
      <c r="L399" s="8" t="s">
        <v>208</v>
      </c>
      <c r="M399" s="8" t="s">
        <v>208</v>
      </c>
      <c r="N399" s="8" t="s">
        <v>221</v>
      </c>
      <c r="O399" s="8" t="s">
        <v>221</v>
      </c>
      <c r="Q399" t="s">
        <v>2133</v>
      </c>
      <c r="R399" t="s">
        <v>2134</v>
      </c>
      <c r="S399" t="s">
        <v>2134</v>
      </c>
      <c r="T399" t="s">
        <v>2132</v>
      </c>
      <c r="U399" t="s">
        <v>2135</v>
      </c>
      <c r="V399" t="s">
        <v>2129</v>
      </c>
      <c r="W399" t="s">
        <v>774</v>
      </c>
      <c r="Y399" t="s">
        <v>1082</v>
      </c>
      <c r="AA399" t="s">
        <v>776</v>
      </c>
      <c r="AB399" t="s">
        <v>312</v>
      </c>
      <c r="AD399" t="s">
        <v>2136</v>
      </c>
      <c r="AG399" s="8" t="s">
        <v>218</v>
      </c>
      <c r="AI399" s="9" t="s">
        <v>218</v>
      </c>
      <c r="AJ399" s="9" t="s">
        <v>218</v>
      </c>
      <c r="AK399" t="s">
        <v>2137</v>
      </c>
      <c r="AL399" s="8" t="s">
        <v>221</v>
      </c>
      <c r="AM399" s="9" t="s">
        <v>218</v>
      </c>
      <c r="AN399" s="8" t="s">
        <v>221</v>
      </c>
      <c r="AO399" s="8" t="s">
        <v>222</v>
      </c>
      <c r="AP399" s="8">
        <v>0</v>
      </c>
      <c r="AQ399" s="8">
        <v>0</v>
      </c>
      <c r="AR399" s="8">
        <v>0</v>
      </c>
      <c r="AS399" s="8">
        <v>0</v>
      </c>
      <c r="AT399" s="8">
        <v>0</v>
      </c>
      <c r="AU399" s="8">
        <v>0</v>
      </c>
      <c r="AV399" s="8">
        <v>0</v>
      </c>
      <c r="AW399" s="8">
        <v>0</v>
      </c>
      <c r="AX399" s="8"/>
      <c r="AY399" s="8"/>
      <c r="BC399" t="s">
        <v>2138</v>
      </c>
    </row>
    <row r="400" spans="1:55">
      <c r="A400" s="6">
        <v>45793</v>
      </c>
      <c r="B400" s="7" t="s">
        <v>2139</v>
      </c>
      <c r="C400" t="s">
        <v>205</v>
      </c>
      <c r="D400" t="s">
        <v>2117</v>
      </c>
      <c r="G400" t="s">
        <v>754</v>
      </c>
      <c r="H400" s="8" t="s">
        <v>208</v>
      </c>
      <c r="I400" s="8" t="s">
        <v>208</v>
      </c>
      <c r="J400" s="8" t="s">
        <v>208</v>
      </c>
      <c r="K400" s="8" t="s">
        <v>208</v>
      </c>
      <c r="L400" s="8" t="s">
        <v>208</v>
      </c>
      <c r="M400" s="8" t="s">
        <v>208</v>
      </c>
      <c r="N400" s="8" t="s">
        <v>221</v>
      </c>
      <c r="O400" s="8" t="s">
        <v>221</v>
      </c>
      <c r="Q400" t="s">
        <v>2140</v>
      </c>
      <c r="R400" t="s">
        <v>2141</v>
      </c>
      <c r="S400" t="s">
        <v>2141</v>
      </c>
      <c r="T400" t="s">
        <v>2139</v>
      </c>
      <c r="U400" t="s">
        <v>2142</v>
      </c>
      <c r="V400" t="s">
        <v>2129</v>
      </c>
      <c r="W400" t="s">
        <v>774</v>
      </c>
      <c r="Y400" t="s">
        <v>1082</v>
      </c>
      <c r="AA400" t="s">
        <v>776</v>
      </c>
      <c r="AB400" t="s">
        <v>312</v>
      </c>
      <c r="AD400" t="s">
        <v>2136</v>
      </c>
      <c r="AG400" s="8" t="s">
        <v>218</v>
      </c>
      <c r="AI400" s="9" t="s">
        <v>218</v>
      </c>
      <c r="AJ400" s="9" t="s">
        <v>218</v>
      </c>
      <c r="AK400" t="s">
        <v>2137</v>
      </c>
      <c r="AL400" s="8" t="s">
        <v>221</v>
      </c>
      <c r="AM400" s="9" t="s">
        <v>218</v>
      </c>
      <c r="AN400" s="8" t="s">
        <v>221</v>
      </c>
      <c r="AO400" s="8" t="s">
        <v>222</v>
      </c>
      <c r="AP400" s="8">
        <v>0</v>
      </c>
      <c r="AQ400" s="8">
        <v>0</v>
      </c>
      <c r="AR400" s="8">
        <v>0</v>
      </c>
      <c r="AS400" s="8">
        <v>0</v>
      </c>
      <c r="AT400" s="8">
        <v>0</v>
      </c>
      <c r="AU400" s="8">
        <v>0</v>
      </c>
      <c r="AV400" s="8">
        <v>0</v>
      </c>
      <c r="AW400" s="8">
        <v>0</v>
      </c>
      <c r="AX400" s="8"/>
      <c r="AY400" s="8"/>
      <c r="BC400" t="s">
        <v>2143</v>
      </c>
    </row>
    <row r="401" spans="1:55">
      <c r="A401" s="6">
        <v>45793</v>
      </c>
      <c r="B401" s="7" t="s">
        <v>2144</v>
      </c>
      <c r="C401" t="s">
        <v>205</v>
      </c>
      <c r="D401" t="s">
        <v>2117</v>
      </c>
      <c r="G401" t="s">
        <v>754</v>
      </c>
      <c r="H401" s="8" t="s">
        <v>208</v>
      </c>
      <c r="I401" s="8" t="s">
        <v>208</v>
      </c>
      <c r="J401" s="8" t="s">
        <v>208</v>
      </c>
      <c r="K401" s="8" t="s">
        <v>208</v>
      </c>
      <c r="L401" s="8" t="s">
        <v>208</v>
      </c>
      <c r="M401" s="8" t="s">
        <v>208</v>
      </c>
      <c r="N401" s="8" t="s">
        <v>221</v>
      </c>
      <c r="O401" s="8" t="s">
        <v>221</v>
      </c>
      <c r="Q401" t="s">
        <v>2145</v>
      </c>
      <c r="R401" t="s">
        <v>2146</v>
      </c>
      <c r="S401" t="s">
        <v>2146</v>
      </c>
      <c r="T401" t="s">
        <v>2144</v>
      </c>
      <c r="U401" t="s">
        <v>2147</v>
      </c>
      <c r="V401" t="s">
        <v>2129</v>
      </c>
      <c r="W401" t="s">
        <v>774</v>
      </c>
      <c r="Y401" t="s">
        <v>1082</v>
      </c>
      <c r="AA401" t="s">
        <v>776</v>
      </c>
      <c r="AB401" t="s">
        <v>312</v>
      </c>
      <c r="AD401" t="s">
        <v>2136</v>
      </c>
      <c r="AG401" s="8" t="s">
        <v>218</v>
      </c>
      <c r="AI401" s="9" t="s">
        <v>218</v>
      </c>
      <c r="AJ401" s="9" t="s">
        <v>218</v>
      </c>
      <c r="AK401" t="s">
        <v>2137</v>
      </c>
      <c r="AL401" s="8" t="s">
        <v>221</v>
      </c>
      <c r="AM401" s="9" t="s">
        <v>218</v>
      </c>
      <c r="AN401" s="8" t="s">
        <v>221</v>
      </c>
      <c r="AO401" s="8" t="s">
        <v>222</v>
      </c>
      <c r="AP401" s="8">
        <v>0</v>
      </c>
      <c r="AQ401" s="8">
        <v>0</v>
      </c>
      <c r="AR401" s="8">
        <v>0</v>
      </c>
      <c r="AS401" s="8">
        <v>0</v>
      </c>
      <c r="AT401" s="8">
        <v>0</v>
      </c>
      <c r="AU401" s="8">
        <v>0</v>
      </c>
      <c r="AV401" s="8">
        <v>0</v>
      </c>
      <c r="AW401" s="8">
        <v>0</v>
      </c>
      <c r="AX401" s="8"/>
      <c r="AY401" s="8"/>
      <c r="BC401" t="s">
        <v>2148</v>
      </c>
    </row>
    <row r="402" spans="1:55">
      <c r="A402" s="6">
        <v>45793</v>
      </c>
      <c r="B402" s="7" t="s">
        <v>2149</v>
      </c>
      <c r="C402" t="s">
        <v>205</v>
      </c>
      <c r="D402" t="s">
        <v>2117</v>
      </c>
      <c r="G402" t="s">
        <v>754</v>
      </c>
      <c r="H402" s="8" t="s">
        <v>208</v>
      </c>
      <c r="I402" s="8" t="s">
        <v>208</v>
      </c>
      <c r="J402" s="8" t="s">
        <v>208</v>
      </c>
      <c r="K402" s="8" t="s">
        <v>208</v>
      </c>
      <c r="L402" s="8" t="s">
        <v>208</v>
      </c>
      <c r="M402" s="8" t="s">
        <v>208</v>
      </c>
      <c r="N402" s="8" t="s">
        <v>221</v>
      </c>
      <c r="O402" s="8" t="s">
        <v>221</v>
      </c>
      <c r="Q402" t="s">
        <v>2150</v>
      </c>
      <c r="R402" t="s">
        <v>2151</v>
      </c>
      <c r="S402" t="s">
        <v>2151</v>
      </c>
      <c r="T402" t="s">
        <v>2149</v>
      </c>
      <c r="U402" t="s">
        <v>2152</v>
      </c>
      <c r="V402" t="s">
        <v>2129</v>
      </c>
      <c r="W402" t="s">
        <v>774</v>
      </c>
      <c r="Y402" t="s">
        <v>1082</v>
      </c>
      <c r="AA402" t="s">
        <v>776</v>
      </c>
      <c r="AB402" t="s">
        <v>312</v>
      </c>
      <c r="AD402" t="s">
        <v>2136</v>
      </c>
      <c r="AG402" s="8" t="s">
        <v>218</v>
      </c>
      <c r="AI402" s="9" t="s">
        <v>218</v>
      </c>
      <c r="AJ402" s="9" t="s">
        <v>218</v>
      </c>
      <c r="AK402" t="s">
        <v>2137</v>
      </c>
      <c r="AL402" s="8" t="s">
        <v>221</v>
      </c>
      <c r="AM402" s="9" t="s">
        <v>218</v>
      </c>
      <c r="AN402" s="8" t="s">
        <v>221</v>
      </c>
      <c r="AO402" s="8" t="s">
        <v>222</v>
      </c>
      <c r="AP402" s="8">
        <v>0</v>
      </c>
      <c r="AQ402" s="8">
        <v>0</v>
      </c>
      <c r="AR402" s="8">
        <v>0</v>
      </c>
      <c r="AS402" s="8">
        <v>0</v>
      </c>
      <c r="AT402" s="8">
        <v>0</v>
      </c>
      <c r="AU402" s="8">
        <v>0</v>
      </c>
      <c r="AV402" s="8">
        <v>0</v>
      </c>
      <c r="AW402" s="8">
        <v>0</v>
      </c>
      <c r="AX402" s="8"/>
      <c r="AY402" s="8"/>
      <c r="BC402" t="s">
        <v>2153</v>
      </c>
    </row>
    <row r="403" spans="1:55">
      <c r="A403" s="6">
        <v>45793</v>
      </c>
      <c r="B403" s="7" t="s">
        <v>2154</v>
      </c>
      <c r="C403" t="s">
        <v>205</v>
      </c>
      <c r="D403" t="s">
        <v>2117</v>
      </c>
      <c r="G403" t="s">
        <v>754</v>
      </c>
      <c r="H403" s="8" t="s">
        <v>208</v>
      </c>
      <c r="I403" s="8" t="s">
        <v>208</v>
      </c>
      <c r="J403" s="8" t="s">
        <v>208</v>
      </c>
      <c r="K403" s="8" t="s">
        <v>208</v>
      </c>
      <c r="L403" s="8" t="s">
        <v>208</v>
      </c>
      <c r="M403" s="8" t="s">
        <v>208</v>
      </c>
      <c r="N403" s="8" t="s">
        <v>221</v>
      </c>
      <c r="O403" s="8" t="s">
        <v>221</v>
      </c>
      <c r="Q403" t="s">
        <v>2155</v>
      </c>
      <c r="R403" t="s">
        <v>2156</v>
      </c>
      <c r="S403" t="s">
        <v>2156</v>
      </c>
      <c r="T403" t="s">
        <v>2154</v>
      </c>
      <c r="U403" t="s">
        <v>2157</v>
      </c>
      <c r="V403" t="s">
        <v>2129</v>
      </c>
      <c r="W403" t="s">
        <v>774</v>
      </c>
      <c r="Y403" t="s">
        <v>1082</v>
      </c>
      <c r="AA403" t="s">
        <v>776</v>
      </c>
      <c r="AB403" t="s">
        <v>312</v>
      </c>
      <c r="AD403" t="s">
        <v>2136</v>
      </c>
      <c r="AG403" s="8" t="s">
        <v>218</v>
      </c>
      <c r="AI403" s="9" t="s">
        <v>218</v>
      </c>
      <c r="AJ403" s="9" t="s">
        <v>218</v>
      </c>
      <c r="AK403" t="s">
        <v>2137</v>
      </c>
      <c r="AL403" s="8" t="s">
        <v>221</v>
      </c>
      <c r="AM403" s="9" t="s">
        <v>218</v>
      </c>
      <c r="AN403" s="8" t="s">
        <v>221</v>
      </c>
      <c r="AO403" s="8" t="s">
        <v>222</v>
      </c>
      <c r="AP403" s="8">
        <v>0</v>
      </c>
      <c r="AQ403" s="8">
        <v>0</v>
      </c>
      <c r="AR403" s="8">
        <v>0</v>
      </c>
      <c r="AS403" s="8">
        <v>0</v>
      </c>
      <c r="AT403" s="8">
        <v>0</v>
      </c>
      <c r="AU403" s="8">
        <v>0</v>
      </c>
      <c r="AV403" s="8">
        <v>0</v>
      </c>
      <c r="AW403" s="8">
        <v>0</v>
      </c>
      <c r="AX403" s="8"/>
      <c r="AY403" s="8"/>
      <c r="BC403" t="s">
        <v>2158</v>
      </c>
    </row>
    <row r="404" spans="1:55">
      <c r="A404" s="6">
        <v>45793</v>
      </c>
      <c r="B404" s="7" t="s">
        <v>2159</v>
      </c>
      <c r="C404" t="s">
        <v>668</v>
      </c>
      <c r="D404" t="s">
        <v>2117</v>
      </c>
      <c r="G404" t="s">
        <v>754</v>
      </c>
      <c r="H404" s="8" t="s">
        <v>208</v>
      </c>
      <c r="I404" s="8" t="s">
        <v>208</v>
      </c>
      <c r="J404" s="8" t="s">
        <v>208</v>
      </c>
      <c r="K404" s="8" t="s">
        <v>208</v>
      </c>
      <c r="L404" s="8" t="s">
        <v>208</v>
      </c>
      <c r="M404" s="8" t="s">
        <v>208</v>
      </c>
      <c r="N404" s="8" t="s">
        <v>221</v>
      </c>
      <c r="O404" s="8" t="s">
        <v>221</v>
      </c>
      <c r="Q404" t="s">
        <v>2160</v>
      </c>
      <c r="R404" t="s">
        <v>2161</v>
      </c>
      <c r="S404" t="s">
        <v>2161</v>
      </c>
      <c r="T404" t="s">
        <v>2159</v>
      </c>
      <c r="U404" t="s">
        <v>2162</v>
      </c>
      <c r="V404" t="s">
        <v>800</v>
      </c>
      <c r="W404" t="s">
        <v>212</v>
      </c>
      <c r="Y404" t="s">
        <v>275</v>
      </c>
      <c r="AA404" t="s">
        <v>776</v>
      </c>
      <c r="AB404" t="s">
        <v>242</v>
      </c>
      <c r="AD404" t="s">
        <v>2043</v>
      </c>
      <c r="AG404" s="8" t="s">
        <v>218</v>
      </c>
      <c r="AI404" s="9" t="s">
        <v>218</v>
      </c>
      <c r="AJ404" s="9" t="s">
        <v>218</v>
      </c>
      <c r="AK404" t="s">
        <v>2130</v>
      </c>
      <c r="AL404" s="8" t="s">
        <v>221</v>
      </c>
      <c r="AM404" s="9" t="s">
        <v>218</v>
      </c>
      <c r="AN404" s="8" t="s">
        <v>221</v>
      </c>
      <c r="AO404" s="8" t="s">
        <v>222</v>
      </c>
      <c r="AP404" s="8">
        <v>0</v>
      </c>
      <c r="AQ404" s="8">
        <v>0</v>
      </c>
      <c r="AR404" s="8">
        <v>0</v>
      </c>
      <c r="AS404" s="8">
        <v>0</v>
      </c>
      <c r="AT404" s="8">
        <v>0</v>
      </c>
      <c r="AU404" s="8">
        <v>0</v>
      </c>
      <c r="AV404" s="8">
        <v>0</v>
      </c>
      <c r="AW404" s="8">
        <v>0</v>
      </c>
      <c r="AX404" s="8"/>
      <c r="AY404" s="8"/>
      <c r="BC404" t="s">
        <v>2163</v>
      </c>
    </row>
    <row r="405" spans="1:55">
      <c r="A405" s="6">
        <v>45793</v>
      </c>
      <c r="B405" s="7" t="s">
        <v>2164</v>
      </c>
      <c r="C405" t="s">
        <v>668</v>
      </c>
      <c r="D405" t="s">
        <v>2117</v>
      </c>
      <c r="G405" t="s">
        <v>754</v>
      </c>
      <c r="H405" s="8" t="s">
        <v>208</v>
      </c>
      <c r="I405" s="8" t="s">
        <v>208</v>
      </c>
      <c r="J405" s="8" t="s">
        <v>208</v>
      </c>
      <c r="K405" s="8" t="s">
        <v>208</v>
      </c>
      <c r="L405" s="8" t="s">
        <v>208</v>
      </c>
      <c r="M405" s="8" t="s">
        <v>208</v>
      </c>
      <c r="N405" s="8" t="s">
        <v>221</v>
      </c>
      <c r="O405" s="8" t="s">
        <v>208</v>
      </c>
      <c r="Q405" t="s">
        <v>2165</v>
      </c>
      <c r="R405" t="s">
        <v>2166</v>
      </c>
      <c r="S405" t="s">
        <v>2166</v>
      </c>
      <c r="T405" t="s">
        <v>2164</v>
      </c>
      <c r="U405" t="s">
        <v>2167</v>
      </c>
      <c r="V405" t="s">
        <v>2129</v>
      </c>
      <c r="W405" t="s">
        <v>212</v>
      </c>
      <c r="Y405" t="s">
        <v>275</v>
      </c>
      <c r="AA405" t="s">
        <v>776</v>
      </c>
      <c r="AB405" t="s">
        <v>242</v>
      </c>
      <c r="AD405" t="s">
        <v>2043</v>
      </c>
      <c r="AG405" s="8" t="s">
        <v>218</v>
      </c>
      <c r="AI405" s="9" t="s">
        <v>218</v>
      </c>
      <c r="AJ405" s="9" t="s">
        <v>218</v>
      </c>
      <c r="AK405" t="s">
        <v>2168</v>
      </c>
      <c r="AL405" s="8" t="s">
        <v>221</v>
      </c>
      <c r="AM405" s="9" t="s">
        <v>218</v>
      </c>
      <c r="AN405" s="8" t="s">
        <v>221</v>
      </c>
      <c r="AO405" s="8" t="s">
        <v>222</v>
      </c>
      <c r="AP405" s="8">
        <v>0</v>
      </c>
      <c r="AQ405" s="8">
        <v>0</v>
      </c>
      <c r="AR405" s="8">
        <v>0</v>
      </c>
      <c r="AS405" s="8">
        <v>0</v>
      </c>
      <c r="AT405" s="8">
        <v>0</v>
      </c>
      <c r="AU405" s="8">
        <v>0</v>
      </c>
      <c r="AV405" s="8">
        <v>0</v>
      </c>
      <c r="AW405" s="8">
        <v>0</v>
      </c>
      <c r="AX405" s="8"/>
      <c r="AY405" s="8"/>
      <c r="BC405" t="s">
        <v>2169</v>
      </c>
    </row>
    <row r="406" spans="1:55">
      <c r="A406" s="6">
        <v>45793</v>
      </c>
      <c r="B406" s="7" t="s">
        <v>1594</v>
      </c>
      <c r="C406" t="s">
        <v>205</v>
      </c>
      <c r="D406" t="s">
        <v>2170</v>
      </c>
      <c r="G406" t="s">
        <v>207</v>
      </c>
      <c r="H406" s="8" t="s">
        <v>208</v>
      </c>
      <c r="I406" s="8" t="s">
        <v>208</v>
      </c>
      <c r="J406" s="8" t="s">
        <v>208</v>
      </c>
      <c r="K406" s="8" t="s">
        <v>208</v>
      </c>
      <c r="L406" s="8" t="s">
        <v>208</v>
      </c>
      <c r="M406" s="8" t="s">
        <v>208</v>
      </c>
      <c r="N406" s="8" t="s">
        <v>221</v>
      </c>
      <c r="O406" s="8" t="s">
        <v>208</v>
      </c>
      <c r="Q406" t="s">
        <v>1595</v>
      </c>
      <c r="R406" t="s">
        <v>1596</v>
      </c>
      <c r="S406" t="s">
        <v>1596</v>
      </c>
      <c r="T406" t="s">
        <v>1594</v>
      </c>
      <c r="U406" t="s">
        <v>1597</v>
      </c>
      <c r="V406" t="s">
        <v>140</v>
      </c>
      <c r="W406" t="s">
        <v>774</v>
      </c>
      <c r="X406" t="s">
        <v>774</v>
      </c>
      <c r="Y406" t="s">
        <v>1082</v>
      </c>
      <c r="Z406" t="s">
        <v>775</v>
      </c>
      <c r="AA406" t="s">
        <v>1164</v>
      </c>
      <c r="AB406" t="s">
        <v>391</v>
      </c>
      <c r="AC406" t="s">
        <v>301</v>
      </c>
      <c r="AD406" t="s">
        <v>2043</v>
      </c>
      <c r="AE406" t="s">
        <v>1166</v>
      </c>
      <c r="AG406" s="8" t="s">
        <v>218</v>
      </c>
      <c r="AH406" t="s">
        <v>219</v>
      </c>
      <c r="AI406" s="9" t="s">
        <v>218</v>
      </c>
      <c r="AJ406" s="9" t="s">
        <v>218</v>
      </c>
      <c r="AK406" t="s">
        <v>1138</v>
      </c>
      <c r="AL406" s="8" t="s">
        <v>221</v>
      </c>
      <c r="AM406" s="9" t="s">
        <v>218</v>
      </c>
      <c r="AN406" s="8" t="s">
        <v>221</v>
      </c>
      <c r="AO406" s="8" t="s">
        <v>222</v>
      </c>
      <c r="AP406" s="8">
        <v>0</v>
      </c>
      <c r="AQ406" s="8">
        <v>0</v>
      </c>
      <c r="AR406" s="9">
        <v>12</v>
      </c>
      <c r="AS406" s="8">
        <v>0</v>
      </c>
      <c r="AT406" s="8">
        <v>0</v>
      </c>
      <c r="AU406" s="8">
        <v>0</v>
      </c>
      <c r="AV406" s="8">
        <v>0</v>
      </c>
      <c r="AW406" s="9">
        <v>12</v>
      </c>
      <c r="AX406" s="8"/>
      <c r="AY406" s="9" t="s">
        <v>2171</v>
      </c>
      <c r="AZ406">
        <v>2</v>
      </c>
      <c r="BA406" t="s">
        <v>2172</v>
      </c>
      <c r="BB406" t="s">
        <v>1600</v>
      </c>
      <c r="BC406" t="s">
        <v>1601</v>
      </c>
    </row>
    <row r="407" spans="1:55">
      <c r="A407" s="6">
        <v>45793</v>
      </c>
      <c r="B407" s="7" t="s">
        <v>2173</v>
      </c>
      <c r="C407" t="s">
        <v>205</v>
      </c>
      <c r="D407" t="s">
        <v>2170</v>
      </c>
      <c r="G407" t="s">
        <v>207</v>
      </c>
      <c r="H407" s="8" t="s">
        <v>208</v>
      </c>
      <c r="I407" s="8" t="s">
        <v>208</v>
      </c>
      <c r="J407" s="8" t="s">
        <v>208</v>
      </c>
      <c r="K407" s="8" t="s">
        <v>208</v>
      </c>
      <c r="L407" s="8" t="s">
        <v>208</v>
      </c>
      <c r="M407" s="8" t="s">
        <v>208</v>
      </c>
      <c r="N407" s="8" t="s">
        <v>221</v>
      </c>
      <c r="O407" s="8" t="s">
        <v>208</v>
      </c>
      <c r="Q407" t="s">
        <v>2174</v>
      </c>
      <c r="R407" t="s">
        <v>2175</v>
      </c>
      <c r="S407" t="s">
        <v>2175</v>
      </c>
      <c r="T407" t="s">
        <v>2173</v>
      </c>
      <c r="U407" t="s">
        <v>2176</v>
      </c>
      <c r="V407" t="s">
        <v>140</v>
      </c>
      <c r="W407" t="s">
        <v>212</v>
      </c>
      <c r="X407" t="s">
        <v>212</v>
      </c>
      <c r="Y407" t="s">
        <v>275</v>
      </c>
      <c r="Z407" t="s">
        <v>213</v>
      </c>
      <c r="AA407" t="s">
        <v>214</v>
      </c>
      <c r="AB407" t="s">
        <v>285</v>
      </c>
      <c r="AC407" t="s">
        <v>701</v>
      </c>
      <c r="AD407" t="s">
        <v>2043</v>
      </c>
      <c r="AE407" t="s">
        <v>217</v>
      </c>
      <c r="AG407" s="8" t="s">
        <v>218</v>
      </c>
      <c r="AH407" t="s">
        <v>219</v>
      </c>
      <c r="AI407" s="9" t="s">
        <v>218</v>
      </c>
      <c r="AJ407" s="9" t="s">
        <v>218</v>
      </c>
      <c r="AK407" t="s">
        <v>234</v>
      </c>
      <c r="AL407" s="8" t="s">
        <v>221</v>
      </c>
      <c r="AM407" s="9" t="s">
        <v>218</v>
      </c>
      <c r="AN407" s="8" t="s">
        <v>221</v>
      </c>
      <c r="AO407" s="8" t="s">
        <v>222</v>
      </c>
      <c r="AP407" s="8">
        <v>0</v>
      </c>
      <c r="AQ407" s="8">
        <v>0</v>
      </c>
      <c r="AR407" s="9">
        <v>1</v>
      </c>
      <c r="AS407" s="8">
        <v>0</v>
      </c>
      <c r="AT407" s="8">
        <v>0</v>
      </c>
      <c r="AU407" s="8">
        <v>0</v>
      </c>
      <c r="AV407" s="8">
        <v>0</v>
      </c>
      <c r="AW407" s="9">
        <v>1</v>
      </c>
      <c r="AX407" s="8"/>
      <c r="AY407" s="8"/>
      <c r="AZ407">
        <v>2</v>
      </c>
      <c r="BA407" t="s">
        <v>2177</v>
      </c>
      <c r="BB407" t="s">
        <v>2178</v>
      </c>
      <c r="BC407" t="s">
        <v>2179</v>
      </c>
    </row>
    <row r="408" spans="1:55">
      <c r="A408" s="6">
        <v>45793</v>
      </c>
      <c r="B408" s="7" t="s">
        <v>2180</v>
      </c>
      <c r="C408" t="s">
        <v>205</v>
      </c>
      <c r="D408" t="s">
        <v>2170</v>
      </c>
      <c r="G408" t="s">
        <v>207</v>
      </c>
      <c r="H408" s="8" t="s">
        <v>208</v>
      </c>
      <c r="I408" s="8" t="s">
        <v>208</v>
      </c>
      <c r="J408" s="8" t="s">
        <v>208</v>
      </c>
      <c r="K408" s="8" t="s">
        <v>208</v>
      </c>
      <c r="L408" s="8" t="s">
        <v>208</v>
      </c>
      <c r="M408" s="8" t="s">
        <v>208</v>
      </c>
      <c r="N408" s="8" t="s">
        <v>221</v>
      </c>
      <c r="O408" s="8" t="s">
        <v>208</v>
      </c>
      <c r="Q408" t="s">
        <v>2181</v>
      </c>
      <c r="R408" t="s">
        <v>2182</v>
      </c>
      <c r="S408" t="s">
        <v>2182</v>
      </c>
      <c r="T408" t="s">
        <v>2180</v>
      </c>
      <c r="U408" t="s">
        <v>2183</v>
      </c>
      <c r="V408" t="s">
        <v>140</v>
      </c>
      <c r="W408" t="s">
        <v>212</v>
      </c>
      <c r="X408" t="s">
        <v>212</v>
      </c>
      <c r="Y408" t="s">
        <v>275</v>
      </c>
      <c r="Z408" t="s">
        <v>213</v>
      </c>
      <c r="AA408" t="s">
        <v>214</v>
      </c>
      <c r="AB408" t="s">
        <v>701</v>
      </c>
      <c r="AC408" t="s">
        <v>242</v>
      </c>
      <c r="AD408" t="s">
        <v>2043</v>
      </c>
      <c r="AE408" t="s">
        <v>11</v>
      </c>
      <c r="AG408" s="8" t="s">
        <v>218</v>
      </c>
      <c r="AH408" t="s">
        <v>219</v>
      </c>
      <c r="AI408" s="9" t="s">
        <v>218</v>
      </c>
      <c r="AJ408" s="9" t="s">
        <v>218</v>
      </c>
      <c r="AK408" t="s">
        <v>2184</v>
      </c>
      <c r="AL408" s="8" t="s">
        <v>221</v>
      </c>
      <c r="AM408" s="9" t="s">
        <v>218</v>
      </c>
      <c r="AN408" s="8" t="s">
        <v>221</v>
      </c>
      <c r="AO408" s="8" t="s">
        <v>222</v>
      </c>
      <c r="AP408" s="8">
        <v>0</v>
      </c>
      <c r="AQ408" s="8">
        <v>0</v>
      </c>
      <c r="AR408" s="8">
        <v>0</v>
      </c>
      <c r="AS408" s="8">
        <v>0</v>
      </c>
      <c r="AT408" s="8">
        <v>0</v>
      </c>
      <c r="AU408" s="8">
        <v>0</v>
      </c>
      <c r="AV408" s="8">
        <v>0</v>
      </c>
      <c r="AW408" s="8">
        <v>0</v>
      </c>
      <c r="AX408" s="8"/>
      <c r="AY408" s="8"/>
      <c r="AZ408">
        <v>2</v>
      </c>
      <c r="BA408" t="s">
        <v>2185</v>
      </c>
      <c r="BB408" t="s">
        <v>2186</v>
      </c>
      <c r="BC408" t="s">
        <v>2187</v>
      </c>
    </row>
    <row r="409" spans="1:55">
      <c r="A409" s="6">
        <v>45793</v>
      </c>
      <c r="B409" s="7" t="s">
        <v>1260</v>
      </c>
      <c r="C409" t="s">
        <v>205</v>
      </c>
      <c r="D409" t="s">
        <v>2170</v>
      </c>
      <c r="G409" t="s">
        <v>207</v>
      </c>
      <c r="H409" s="8" t="s">
        <v>208</v>
      </c>
      <c r="I409" s="8" t="s">
        <v>208</v>
      </c>
      <c r="J409" s="8" t="s">
        <v>208</v>
      </c>
      <c r="K409" s="8" t="s">
        <v>208</v>
      </c>
      <c r="L409" s="8" t="s">
        <v>208</v>
      </c>
      <c r="M409" s="8" t="s">
        <v>208</v>
      </c>
      <c r="N409" s="8" t="s">
        <v>221</v>
      </c>
      <c r="O409" s="8" t="s">
        <v>208</v>
      </c>
      <c r="Q409" t="s">
        <v>1261</v>
      </c>
      <c r="R409" t="s">
        <v>1262</v>
      </c>
      <c r="S409" t="s">
        <v>1262</v>
      </c>
      <c r="T409" t="s">
        <v>1260</v>
      </c>
      <c r="U409" t="s">
        <v>1263</v>
      </c>
      <c r="V409" t="s">
        <v>138</v>
      </c>
      <c r="W409" t="s">
        <v>212</v>
      </c>
      <c r="X409" t="s">
        <v>212</v>
      </c>
      <c r="Y409" t="s">
        <v>275</v>
      </c>
      <c r="Z409" t="s">
        <v>213</v>
      </c>
      <c r="AA409" t="s">
        <v>214</v>
      </c>
      <c r="AB409" t="s">
        <v>285</v>
      </c>
      <c r="AC409" t="s">
        <v>701</v>
      </c>
      <c r="AD409" t="s">
        <v>2043</v>
      </c>
      <c r="AE409" t="s">
        <v>217</v>
      </c>
      <c r="AG409" s="9" t="s">
        <v>221</v>
      </c>
      <c r="AH409" t="s">
        <v>219</v>
      </c>
      <c r="AI409" s="9" t="s">
        <v>218</v>
      </c>
      <c r="AJ409" s="9" t="s">
        <v>218</v>
      </c>
      <c r="AK409" t="s">
        <v>234</v>
      </c>
      <c r="AL409" s="8" t="s">
        <v>221</v>
      </c>
      <c r="AM409" s="9" t="s">
        <v>218</v>
      </c>
      <c r="AN409" s="8" t="s">
        <v>221</v>
      </c>
      <c r="AO409" s="8" t="s">
        <v>222</v>
      </c>
      <c r="AP409" s="8">
        <v>0</v>
      </c>
      <c r="AQ409" s="8">
        <v>0</v>
      </c>
      <c r="AR409" s="9">
        <v>6</v>
      </c>
      <c r="AS409" s="8">
        <v>0</v>
      </c>
      <c r="AT409" s="8">
        <v>0</v>
      </c>
      <c r="AU409" s="8">
        <v>0</v>
      </c>
      <c r="AV409" s="8">
        <v>0</v>
      </c>
      <c r="AW409" s="9">
        <v>6</v>
      </c>
      <c r="AX409" s="8"/>
      <c r="AY409" s="8"/>
      <c r="AZ409">
        <v>2</v>
      </c>
      <c r="BA409" t="s">
        <v>2044</v>
      </c>
      <c r="BB409" t="s">
        <v>1265</v>
      </c>
      <c r="BC409" t="s">
        <v>1266</v>
      </c>
    </row>
    <row r="410" spans="1:55">
      <c r="A410" s="6">
        <v>45793</v>
      </c>
      <c r="B410" s="7" t="s">
        <v>2188</v>
      </c>
      <c r="C410" t="s">
        <v>205</v>
      </c>
      <c r="D410" t="s">
        <v>2170</v>
      </c>
      <c r="G410" t="s">
        <v>207</v>
      </c>
      <c r="H410" s="8" t="s">
        <v>208</v>
      </c>
      <c r="I410" s="8" t="s">
        <v>208</v>
      </c>
      <c r="J410" s="8" t="s">
        <v>208</v>
      </c>
      <c r="K410" s="8" t="s">
        <v>208</v>
      </c>
      <c r="L410" s="8" t="s">
        <v>208</v>
      </c>
      <c r="M410" s="8" t="s">
        <v>208</v>
      </c>
      <c r="N410" s="8" t="s">
        <v>221</v>
      </c>
      <c r="O410" s="8" t="s">
        <v>208</v>
      </c>
      <c r="Q410" t="s">
        <v>2189</v>
      </c>
      <c r="R410" t="s">
        <v>2190</v>
      </c>
      <c r="S410" t="s">
        <v>2190</v>
      </c>
      <c r="T410" t="s">
        <v>2188</v>
      </c>
      <c r="U410" t="s">
        <v>2191</v>
      </c>
      <c r="V410" t="s">
        <v>140</v>
      </c>
      <c r="W410" t="s">
        <v>774</v>
      </c>
      <c r="X410" t="s">
        <v>774</v>
      </c>
      <c r="Y410" t="s">
        <v>1082</v>
      </c>
      <c r="Z410" t="s">
        <v>775</v>
      </c>
      <c r="AA410" t="s">
        <v>1164</v>
      </c>
      <c r="AB410" t="s">
        <v>827</v>
      </c>
      <c r="AC410" t="s">
        <v>1480</v>
      </c>
      <c r="AD410" t="s">
        <v>2043</v>
      </c>
      <c r="AE410" t="s">
        <v>1166</v>
      </c>
      <c r="AG410" s="8" t="s">
        <v>218</v>
      </c>
      <c r="AH410" t="s">
        <v>219</v>
      </c>
      <c r="AI410" s="9" t="s">
        <v>218</v>
      </c>
      <c r="AJ410" s="9" t="s">
        <v>218</v>
      </c>
      <c r="AK410" t="s">
        <v>234</v>
      </c>
      <c r="AL410" s="8" t="s">
        <v>221</v>
      </c>
      <c r="AM410" s="9" t="s">
        <v>218</v>
      </c>
      <c r="AN410" s="8" t="s">
        <v>221</v>
      </c>
      <c r="AO410" s="8" t="s">
        <v>222</v>
      </c>
      <c r="AP410" s="8">
        <v>0</v>
      </c>
      <c r="AQ410" s="8">
        <v>0</v>
      </c>
      <c r="AR410" s="9">
        <v>1</v>
      </c>
      <c r="AS410" s="8">
        <v>0</v>
      </c>
      <c r="AT410" s="8">
        <v>0</v>
      </c>
      <c r="AU410" s="8">
        <v>0</v>
      </c>
      <c r="AV410" s="8">
        <v>0</v>
      </c>
      <c r="AW410" s="9">
        <v>1</v>
      </c>
      <c r="AX410" s="8"/>
      <c r="AY410" s="9" t="s">
        <v>2192</v>
      </c>
      <c r="AZ410">
        <v>2</v>
      </c>
      <c r="BA410" t="s">
        <v>2193</v>
      </c>
      <c r="BB410" t="s">
        <v>2194</v>
      </c>
      <c r="BC410" t="s">
        <v>2195</v>
      </c>
    </row>
    <row r="411" spans="1:55">
      <c r="A411" s="6">
        <v>45793</v>
      </c>
      <c r="B411" s="7" t="s">
        <v>1158</v>
      </c>
      <c r="C411" t="s">
        <v>205</v>
      </c>
      <c r="D411" t="s">
        <v>2170</v>
      </c>
      <c r="G411" t="s">
        <v>207</v>
      </c>
      <c r="H411" s="8" t="s">
        <v>208</v>
      </c>
      <c r="I411" s="8" t="s">
        <v>208</v>
      </c>
      <c r="J411" s="8" t="s">
        <v>208</v>
      </c>
      <c r="K411" s="8" t="s">
        <v>208</v>
      </c>
      <c r="L411" s="8" t="s">
        <v>208</v>
      </c>
      <c r="M411" s="8" t="s">
        <v>208</v>
      </c>
      <c r="N411" s="8" t="s">
        <v>221</v>
      </c>
      <c r="O411" s="8" t="s">
        <v>208</v>
      </c>
      <c r="Q411" t="s">
        <v>1161</v>
      </c>
      <c r="R411" t="s">
        <v>1162</v>
      </c>
      <c r="S411" t="s">
        <v>1162</v>
      </c>
      <c r="T411" t="s">
        <v>1158</v>
      </c>
      <c r="U411" t="s">
        <v>1163</v>
      </c>
      <c r="V411" t="s">
        <v>140</v>
      </c>
      <c r="W411" t="s">
        <v>774</v>
      </c>
      <c r="X411" t="s">
        <v>774</v>
      </c>
      <c r="Y411" t="s">
        <v>1082</v>
      </c>
      <c r="Z411" t="s">
        <v>775</v>
      </c>
      <c r="AA411" t="s">
        <v>1164</v>
      </c>
      <c r="AB411" t="s">
        <v>465</v>
      </c>
      <c r="AC411" t="s">
        <v>312</v>
      </c>
      <c r="AD411" t="s">
        <v>2043</v>
      </c>
      <c r="AE411" t="s">
        <v>1166</v>
      </c>
      <c r="AG411" s="8" t="s">
        <v>218</v>
      </c>
      <c r="AH411" t="s">
        <v>219</v>
      </c>
      <c r="AI411" s="9" t="s">
        <v>218</v>
      </c>
      <c r="AJ411" s="9" t="s">
        <v>218</v>
      </c>
      <c r="AK411" t="s">
        <v>1167</v>
      </c>
      <c r="AL411" s="8" t="s">
        <v>221</v>
      </c>
      <c r="AM411" s="9" t="s">
        <v>218</v>
      </c>
      <c r="AN411" s="8" t="s">
        <v>221</v>
      </c>
      <c r="AO411" s="8" t="s">
        <v>222</v>
      </c>
      <c r="AP411" s="8">
        <v>0</v>
      </c>
      <c r="AQ411" s="8">
        <v>0</v>
      </c>
      <c r="AR411" s="9">
        <v>48</v>
      </c>
      <c r="AS411" s="8">
        <v>0</v>
      </c>
      <c r="AT411" s="8">
        <v>0</v>
      </c>
      <c r="AU411" s="8">
        <v>0</v>
      </c>
      <c r="AV411" s="8">
        <v>0</v>
      </c>
      <c r="AW411" s="9">
        <v>48</v>
      </c>
      <c r="AX411" s="8"/>
      <c r="AY411" s="9" t="s">
        <v>2196</v>
      </c>
      <c r="AZ411">
        <v>2</v>
      </c>
      <c r="BA411" t="s">
        <v>2197</v>
      </c>
      <c r="BB411" t="s">
        <v>1170</v>
      </c>
      <c r="BC411" t="s">
        <v>1171</v>
      </c>
    </row>
    <row r="412" spans="1:55">
      <c r="A412" s="6">
        <v>45793</v>
      </c>
      <c r="B412" s="7" t="s">
        <v>2198</v>
      </c>
      <c r="C412" t="s">
        <v>205</v>
      </c>
      <c r="D412" t="s">
        <v>2170</v>
      </c>
      <c r="G412" t="s">
        <v>207</v>
      </c>
      <c r="H412" s="8" t="s">
        <v>208</v>
      </c>
      <c r="I412" s="8" t="s">
        <v>208</v>
      </c>
      <c r="J412" s="8" t="s">
        <v>208</v>
      </c>
      <c r="K412" s="8" t="s">
        <v>208</v>
      </c>
      <c r="L412" s="8" t="s">
        <v>208</v>
      </c>
      <c r="M412" s="8" t="s">
        <v>208</v>
      </c>
      <c r="N412" s="8" t="s">
        <v>221</v>
      </c>
      <c r="O412" s="8" t="s">
        <v>208</v>
      </c>
      <c r="Q412" t="s">
        <v>2199</v>
      </c>
      <c r="R412" t="s">
        <v>2200</v>
      </c>
      <c r="S412" t="s">
        <v>2200</v>
      </c>
      <c r="T412" t="s">
        <v>2198</v>
      </c>
      <c r="U412" t="s">
        <v>2201</v>
      </c>
      <c r="V412" t="s">
        <v>140</v>
      </c>
      <c r="W412" t="s">
        <v>774</v>
      </c>
      <c r="X412" t="s">
        <v>774</v>
      </c>
      <c r="Y412" t="s">
        <v>1082</v>
      </c>
      <c r="Z412" t="s">
        <v>775</v>
      </c>
      <c r="AA412" t="s">
        <v>1164</v>
      </c>
      <c r="AB412" t="s">
        <v>465</v>
      </c>
      <c r="AC412" t="s">
        <v>465</v>
      </c>
      <c r="AD412" t="s">
        <v>2043</v>
      </c>
      <c r="AE412" t="s">
        <v>1166</v>
      </c>
      <c r="AG412" s="8" t="s">
        <v>218</v>
      </c>
      <c r="AH412" t="s">
        <v>219</v>
      </c>
      <c r="AI412" s="9" t="s">
        <v>218</v>
      </c>
      <c r="AJ412" s="9" t="s">
        <v>218</v>
      </c>
      <c r="AK412" t="s">
        <v>234</v>
      </c>
      <c r="AL412" s="8" t="s">
        <v>221</v>
      </c>
      <c r="AM412" s="9" t="s">
        <v>218</v>
      </c>
      <c r="AN412" s="8" t="s">
        <v>221</v>
      </c>
      <c r="AO412" s="8" t="s">
        <v>222</v>
      </c>
      <c r="AP412" s="8">
        <v>0</v>
      </c>
      <c r="AQ412" s="8">
        <v>0</v>
      </c>
      <c r="AR412" s="9">
        <v>2</v>
      </c>
      <c r="AS412" s="8">
        <v>0</v>
      </c>
      <c r="AT412" s="8">
        <v>0</v>
      </c>
      <c r="AU412" s="8">
        <v>0</v>
      </c>
      <c r="AV412" s="8">
        <v>0</v>
      </c>
      <c r="AW412" s="9">
        <v>2</v>
      </c>
      <c r="AX412" s="8"/>
      <c r="AY412" s="9" t="s">
        <v>2202</v>
      </c>
      <c r="AZ412">
        <v>2</v>
      </c>
      <c r="BA412" t="s">
        <v>2203</v>
      </c>
      <c r="BB412" t="s">
        <v>2204</v>
      </c>
      <c r="BC412" t="s">
        <v>2205</v>
      </c>
    </row>
    <row r="413" spans="1:55">
      <c r="A413" s="6">
        <v>45793</v>
      </c>
      <c r="B413" s="7" t="s">
        <v>1578</v>
      </c>
      <c r="C413" t="s">
        <v>205</v>
      </c>
      <c r="D413" t="s">
        <v>2170</v>
      </c>
      <c r="G413" t="s">
        <v>207</v>
      </c>
      <c r="H413" s="8" t="s">
        <v>208</v>
      </c>
      <c r="I413" s="8" t="s">
        <v>208</v>
      </c>
      <c r="J413" s="8" t="s">
        <v>208</v>
      </c>
      <c r="K413" s="8" t="s">
        <v>208</v>
      </c>
      <c r="L413" s="8" t="s">
        <v>208</v>
      </c>
      <c r="M413" s="8" t="s">
        <v>208</v>
      </c>
      <c r="N413" s="8" t="s">
        <v>221</v>
      </c>
      <c r="O413" s="8" t="s">
        <v>208</v>
      </c>
      <c r="Q413" t="s">
        <v>1579</v>
      </c>
      <c r="R413" t="s">
        <v>1580</v>
      </c>
      <c r="S413" t="s">
        <v>1580</v>
      </c>
      <c r="T413" t="s">
        <v>1578</v>
      </c>
      <c r="U413" t="s">
        <v>1581</v>
      </c>
      <c r="V413" t="s">
        <v>140</v>
      </c>
      <c r="W413" t="s">
        <v>774</v>
      </c>
      <c r="X413" t="s">
        <v>774</v>
      </c>
      <c r="Y413" t="s">
        <v>1082</v>
      </c>
      <c r="Z413" t="s">
        <v>775</v>
      </c>
      <c r="AA413" t="s">
        <v>1164</v>
      </c>
      <c r="AB413" t="s">
        <v>603</v>
      </c>
      <c r="AC413" t="s">
        <v>391</v>
      </c>
      <c r="AD413" t="s">
        <v>2043</v>
      </c>
      <c r="AE413" t="s">
        <v>1166</v>
      </c>
      <c r="AG413" s="8" t="s">
        <v>218</v>
      </c>
      <c r="AH413" t="s">
        <v>219</v>
      </c>
      <c r="AI413" s="9" t="s">
        <v>218</v>
      </c>
      <c r="AJ413" s="9" t="s">
        <v>218</v>
      </c>
      <c r="AK413" t="s">
        <v>234</v>
      </c>
      <c r="AL413" s="8" t="s">
        <v>221</v>
      </c>
      <c r="AM413" s="9" t="s">
        <v>218</v>
      </c>
      <c r="AN413" s="8" t="s">
        <v>221</v>
      </c>
      <c r="AO413" s="8" t="s">
        <v>222</v>
      </c>
      <c r="AP413" s="8">
        <v>0</v>
      </c>
      <c r="AQ413" s="8">
        <v>0</v>
      </c>
      <c r="AR413" s="9">
        <v>4</v>
      </c>
      <c r="AS413" s="8">
        <v>0</v>
      </c>
      <c r="AT413" s="8">
        <v>0</v>
      </c>
      <c r="AU413" s="8">
        <v>0</v>
      </c>
      <c r="AV413" s="8">
        <v>0</v>
      </c>
      <c r="AW413" s="9">
        <v>4</v>
      </c>
      <c r="AX413" s="8"/>
      <c r="AY413" s="9" t="s">
        <v>2206</v>
      </c>
      <c r="AZ413">
        <v>2</v>
      </c>
      <c r="BA413" t="s">
        <v>2207</v>
      </c>
      <c r="BB413" t="s">
        <v>1584</v>
      </c>
      <c r="BC413" t="s">
        <v>1585</v>
      </c>
    </row>
    <row r="414" spans="1:55">
      <c r="A414" s="6">
        <v>45793</v>
      </c>
      <c r="B414" s="7" t="s">
        <v>2208</v>
      </c>
      <c r="C414" t="s">
        <v>205</v>
      </c>
      <c r="D414" t="s">
        <v>2170</v>
      </c>
      <c r="G414" t="s">
        <v>207</v>
      </c>
      <c r="H414" s="8" t="s">
        <v>208</v>
      </c>
      <c r="I414" s="8" t="s">
        <v>208</v>
      </c>
      <c r="J414" s="8" t="s">
        <v>208</v>
      </c>
      <c r="K414" s="8" t="s">
        <v>208</v>
      </c>
      <c r="L414" s="8" t="s">
        <v>208</v>
      </c>
      <c r="M414" s="8" t="s">
        <v>208</v>
      </c>
      <c r="N414" s="8" t="s">
        <v>221</v>
      </c>
      <c r="O414" s="8" t="s">
        <v>208</v>
      </c>
      <c r="Q414" t="s">
        <v>2209</v>
      </c>
      <c r="R414" t="s">
        <v>2210</v>
      </c>
      <c r="S414" t="s">
        <v>2210</v>
      </c>
      <c r="T414" t="s">
        <v>2208</v>
      </c>
      <c r="U414" t="s">
        <v>2211</v>
      </c>
      <c r="V414" t="s">
        <v>140</v>
      </c>
      <c r="W414" t="s">
        <v>774</v>
      </c>
      <c r="X414" t="s">
        <v>774</v>
      </c>
      <c r="Y414" t="s">
        <v>1082</v>
      </c>
      <c r="Z414" t="s">
        <v>775</v>
      </c>
      <c r="AA414" t="s">
        <v>1164</v>
      </c>
      <c r="AB414" t="s">
        <v>465</v>
      </c>
      <c r="AC414" t="s">
        <v>301</v>
      </c>
      <c r="AD414" t="s">
        <v>2043</v>
      </c>
      <c r="AE414" t="s">
        <v>1166</v>
      </c>
      <c r="AG414" s="8" t="s">
        <v>218</v>
      </c>
      <c r="AH414" t="s">
        <v>219</v>
      </c>
      <c r="AI414" s="9" t="s">
        <v>218</v>
      </c>
      <c r="AJ414" s="9" t="s">
        <v>218</v>
      </c>
      <c r="AK414" t="s">
        <v>234</v>
      </c>
      <c r="AL414" s="8" t="s">
        <v>221</v>
      </c>
      <c r="AM414" s="9" t="s">
        <v>218</v>
      </c>
      <c r="AN414" s="8" t="s">
        <v>221</v>
      </c>
      <c r="AO414" s="8" t="s">
        <v>222</v>
      </c>
      <c r="AP414" s="8">
        <v>0</v>
      </c>
      <c r="AQ414" s="8">
        <v>0</v>
      </c>
      <c r="AR414" s="8">
        <v>0</v>
      </c>
      <c r="AS414" s="8">
        <v>0</v>
      </c>
      <c r="AT414" s="8">
        <v>0</v>
      </c>
      <c r="AU414" s="8">
        <v>0</v>
      </c>
      <c r="AV414" s="8">
        <v>0</v>
      </c>
      <c r="AW414" s="8">
        <v>0</v>
      </c>
      <c r="AX414" s="8"/>
      <c r="AY414" s="9" t="s">
        <v>2212</v>
      </c>
      <c r="AZ414">
        <v>2</v>
      </c>
      <c r="BA414" t="s">
        <v>2213</v>
      </c>
      <c r="BB414" t="s">
        <v>2214</v>
      </c>
      <c r="BC414" t="s">
        <v>2215</v>
      </c>
    </row>
    <row r="415" spans="1:55">
      <c r="A415" s="6">
        <v>45793</v>
      </c>
      <c r="B415" s="7" t="s">
        <v>1586</v>
      </c>
      <c r="C415" t="s">
        <v>205</v>
      </c>
      <c r="D415" t="s">
        <v>2170</v>
      </c>
      <c r="G415" t="s">
        <v>207</v>
      </c>
      <c r="H415" s="8" t="s">
        <v>208</v>
      </c>
      <c r="I415" s="8" t="s">
        <v>208</v>
      </c>
      <c r="J415" s="8" t="s">
        <v>208</v>
      </c>
      <c r="K415" s="8" t="s">
        <v>208</v>
      </c>
      <c r="L415" s="8" t="s">
        <v>208</v>
      </c>
      <c r="M415" s="8" t="s">
        <v>208</v>
      </c>
      <c r="N415" s="8" t="s">
        <v>221</v>
      </c>
      <c r="O415" s="8" t="s">
        <v>208</v>
      </c>
      <c r="Q415" t="s">
        <v>1587</v>
      </c>
      <c r="R415" t="s">
        <v>1588</v>
      </c>
      <c r="S415" t="s">
        <v>1588</v>
      </c>
      <c r="T415" t="s">
        <v>1586</v>
      </c>
      <c r="U415" t="s">
        <v>1589</v>
      </c>
      <c r="V415" t="s">
        <v>140</v>
      </c>
      <c r="W415" t="s">
        <v>774</v>
      </c>
      <c r="X415" t="s">
        <v>774</v>
      </c>
      <c r="Y415" t="s">
        <v>1082</v>
      </c>
      <c r="Z415" t="s">
        <v>775</v>
      </c>
      <c r="AA415" t="s">
        <v>1164</v>
      </c>
      <c r="AB415" t="s">
        <v>391</v>
      </c>
      <c r="AC415" t="s">
        <v>301</v>
      </c>
      <c r="AD415" t="s">
        <v>2043</v>
      </c>
      <c r="AE415" t="s">
        <v>1166</v>
      </c>
      <c r="AG415" s="8" t="s">
        <v>218</v>
      </c>
      <c r="AH415" t="s">
        <v>219</v>
      </c>
      <c r="AI415" s="9" t="s">
        <v>218</v>
      </c>
      <c r="AJ415" s="9" t="s">
        <v>218</v>
      </c>
      <c r="AK415" t="s">
        <v>234</v>
      </c>
      <c r="AL415" s="8" t="s">
        <v>221</v>
      </c>
      <c r="AM415" s="9" t="s">
        <v>218</v>
      </c>
      <c r="AN415" s="8" t="s">
        <v>221</v>
      </c>
      <c r="AO415" s="8" t="s">
        <v>222</v>
      </c>
      <c r="AP415" s="8">
        <v>0</v>
      </c>
      <c r="AQ415" s="8">
        <v>0</v>
      </c>
      <c r="AR415" s="8">
        <v>0</v>
      </c>
      <c r="AS415" s="8">
        <v>0</v>
      </c>
      <c r="AT415" s="8">
        <v>0</v>
      </c>
      <c r="AU415" s="8">
        <v>0</v>
      </c>
      <c r="AV415" s="8">
        <v>0</v>
      </c>
      <c r="AW415" s="8">
        <v>0</v>
      </c>
      <c r="AX415" s="8"/>
      <c r="AY415" s="9" t="s">
        <v>2216</v>
      </c>
      <c r="AZ415">
        <v>2</v>
      </c>
      <c r="BA415" t="s">
        <v>2217</v>
      </c>
      <c r="BB415" t="s">
        <v>1592</v>
      </c>
      <c r="BC415" t="s">
        <v>1593</v>
      </c>
    </row>
    <row r="416" spans="1:55">
      <c r="A416" s="6">
        <v>45793</v>
      </c>
      <c r="B416" s="7" t="s">
        <v>1422</v>
      </c>
      <c r="C416" t="s">
        <v>205</v>
      </c>
      <c r="D416" t="s">
        <v>2170</v>
      </c>
      <c r="G416" t="s">
        <v>207</v>
      </c>
      <c r="H416" s="8" t="s">
        <v>208</v>
      </c>
      <c r="I416" s="8" t="s">
        <v>208</v>
      </c>
      <c r="J416" s="8" t="s">
        <v>208</v>
      </c>
      <c r="K416" s="8" t="s">
        <v>208</v>
      </c>
      <c r="L416" s="8" t="s">
        <v>208</v>
      </c>
      <c r="M416" s="8" t="s">
        <v>208</v>
      </c>
      <c r="N416" s="8" t="s">
        <v>221</v>
      </c>
      <c r="O416" s="8" t="s">
        <v>208</v>
      </c>
      <c r="Q416" t="s">
        <v>1423</v>
      </c>
      <c r="R416" t="s">
        <v>1424</v>
      </c>
      <c r="S416" t="s">
        <v>1424</v>
      </c>
      <c r="T416" t="s">
        <v>1422</v>
      </c>
      <c r="U416" t="s">
        <v>1425</v>
      </c>
      <c r="V416" t="s">
        <v>140</v>
      </c>
      <c r="W416" t="s">
        <v>212</v>
      </c>
      <c r="X416" t="s">
        <v>212</v>
      </c>
      <c r="Y416" t="s">
        <v>275</v>
      </c>
      <c r="Z416" t="s">
        <v>213</v>
      </c>
      <c r="AA416" t="s">
        <v>214</v>
      </c>
      <c r="AB416" t="s">
        <v>672</v>
      </c>
      <c r="AC416" t="s">
        <v>215</v>
      </c>
      <c r="AD416" t="s">
        <v>1752</v>
      </c>
      <c r="AE416" t="s">
        <v>11</v>
      </c>
      <c r="AG416" s="9" t="s">
        <v>221</v>
      </c>
      <c r="AH416" t="s">
        <v>219</v>
      </c>
      <c r="AI416" s="9" t="s">
        <v>218</v>
      </c>
      <c r="AJ416" s="9" t="s">
        <v>218</v>
      </c>
      <c r="AK416" t="s">
        <v>234</v>
      </c>
      <c r="AL416" s="8" t="s">
        <v>221</v>
      </c>
      <c r="AM416" s="9" t="s">
        <v>218</v>
      </c>
      <c r="AN416" s="8" t="s">
        <v>221</v>
      </c>
      <c r="AO416" s="8" t="s">
        <v>222</v>
      </c>
      <c r="AP416" s="8">
        <v>0</v>
      </c>
      <c r="AQ416" s="8">
        <v>0</v>
      </c>
      <c r="AR416" s="9">
        <v>143</v>
      </c>
      <c r="AS416" s="8">
        <v>0</v>
      </c>
      <c r="AT416" s="8">
        <v>0</v>
      </c>
      <c r="AU416" s="8">
        <v>0</v>
      </c>
      <c r="AV416" s="8">
        <v>0</v>
      </c>
      <c r="AW416" s="9">
        <v>143</v>
      </c>
      <c r="AX416" s="8"/>
      <c r="AY416" s="9" t="s">
        <v>1426</v>
      </c>
      <c r="AZ416">
        <v>2</v>
      </c>
      <c r="BA416" t="s">
        <v>1963</v>
      </c>
      <c r="BB416" t="s">
        <v>1428</v>
      </c>
      <c r="BC416" t="s">
        <v>1429</v>
      </c>
    </row>
    <row r="417" spans="1:55">
      <c r="A417" s="6">
        <v>45793</v>
      </c>
      <c r="B417" s="7" t="s">
        <v>271</v>
      </c>
      <c r="C417" t="s">
        <v>205</v>
      </c>
      <c r="D417" t="s">
        <v>2170</v>
      </c>
      <c r="G417" t="s">
        <v>207</v>
      </c>
      <c r="H417" s="8" t="s">
        <v>208</v>
      </c>
      <c r="I417" s="8" t="s">
        <v>208</v>
      </c>
      <c r="J417" s="8" t="s">
        <v>208</v>
      </c>
      <c r="K417" s="8" t="s">
        <v>208</v>
      </c>
      <c r="L417" s="8" t="s">
        <v>208</v>
      </c>
      <c r="M417" s="8" t="s">
        <v>208</v>
      </c>
      <c r="N417" s="8" t="s">
        <v>221</v>
      </c>
      <c r="O417" s="8" t="s">
        <v>208</v>
      </c>
      <c r="Q417" t="s">
        <v>272</v>
      </c>
      <c r="R417" t="s">
        <v>273</v>
      </c>
      <c r="S417" t="s">
        <v>273</v>
      </c>
      <c r="T417" t="s">
        <v>271</v>
      </c>
      <c r="U417" t="s">
        <v>274</v>
      </c>
      <c r="V417" t="s">
        <v>140</v>
      </c>
      <c r="W417" t="s">
        <v>212</v>
      </c>
      <c r="X417" t="s">
        <v>212</v>
      </c>
      <c r="Y417" t="s">
        <v>213</v>
      </c>
      <c r="Z417" t="s">
        <v>213</v>
      </c>
      <c r="AA417" t="s">
        <v>214</v>
      </c>
      <c r="AB417" t="s">
        <v>276</v>
      </c>
      <c r="AC417" t="s">
        <v>1336</v>
      </c>
      <c r="AD417" t="s">
        <v>2043</v>
      </c>
      <c r="AE417" t="s">
        <v>217</v>
      </c>
      <c r="AG417" s="8" t="s">
        <v>218</v>
      </c>
      <c r="AH417" t="s">
        <v>219</v>
      </c>
      <c r="AI417" s="9" t="s">
        <v>218</v>
      </c>
      <c r="AJ417" s="9" t="s">
        <v>218</v>
      </c>
      <c r="AK417" t="s">
        <v>234</v>
      </c>
      <c r="AL417" s="9" t="s">
        <v>218</v>
      </c>
      <c r="AM417" s="8" t="s">
        <v>221</v>
      </c>
      <c r="AN417" s="8" t="s">
        <v>221</v>
      </c>
      <c r="AO417" s="8" t="s">
        <v>222</v>
      </c>
      <c r="AP417" s="8">
        <v>0</v>
      </c>
      <c r="AQ417" s="8">
        <v>0</v>
      </c>
      <c r="AR417" s="9">
        <v>71</v>
      </c>
      <c r="AS417" s="8">
        <v>0</v>
      </c>
      <c r="AT417" s="8">
        <v>0</v>
      </c>
      <c r="AU417" s="8">
        <v>0</v>
      </c>
      <c r="AV417" s="8">
        <v>0</v>
      </c>
      <c r="AW417" s="9">
        <v>71</v>
      </c>
      <c r="AX417" s="9" t="s">
        <v>278</v>
      </c>
      <c r="AY417" s="9" t="s">
        <v>2218</v>
      </c>
      <c r="AZ417">
        <v>0</v>
      </c>
      <c r="BB417" t="s">
        <v>279</v>
      </c>
      <c r="BC417" t="s">
        <v>280</v>
      </c>
    </row>
    <row r="418" spans="1:55">
      <c r="A418" s="6">
        <v>45793</v>
      </c>
      <c r="B418" s="7" t="s">
        <v>1331</v>
      </c>
      <c r="C418" t="s">
        <v>205</v>
      </c>
      <c r="D418" t="s">
        <v>2170</v>
      </c>
      <c r="G418" t="s">
        <v>207</v>
      </c>
      <c r="H418" s="8" t="s">
        <v>208</v>
      </c>
      <c r="I418" s="8" t="s">
        <v>208</v>
      </c>
      <c r="J418" s="8" t="s">
        <v>208</v>
      </c>
      <c r="K418" s="8" t="s">
        <v>208</v>
      </c>
      <c r="L418" s="8" t="s">
        <v>208</v>
      </c>
      <c r="M418" s="8" t="s">
        <v>208</v>
      </c>
      <c r="N418" s="8" t="s">
        <v>221</v>
      </c>
      <c r="O418" s="8" t="s">
        <v>208</v>
      </c>
      <c r="Q418" t="s">
        <v>1332</v>
      </c>
      <c r="R418" t="s">
        <v>1333</v>
      </c>
      <c r="S418" t="s">
        <v>1333</v>
      </c>
      <c r="T418" t="s">
        <v>1331</v>
      </c>
      <c r="U418" t="s">
        <v>1334</v>
      </c>
      <c r="V418" t="s">
        <v>14</v>
      </c>
      <c r="W418" t="s">
        <v>212</v>
      </c>
      <c r="X418" t="s">
        <v>212</v>
      </c>
      <c r="Y418" t="s">
        <v>275</v>
      </c>
      <c r="Z418" t="s">
        <v>213</v>
      </c>
      <c r="AA418" t="s">
        <v>214</v>
      </c>
      <c r="AB418" t="s">
        <v>681</v>
      </c>
      <c r="AC418" t="s">
        <v>1336</v>
      </c>
      <c r="AD418" t="s">
        <v>2043</v>
      </c>
      <c r="AE418" t="s">
        <v>217</v>
      </c>
      <c r="AG418" s="8" t="s">
        <v>218</v>
      </c>
      <c r="AH418" t="s">
        <v>219</v>
      </c>
      <c r="AI418" s="9" t="s">
        <v>218</v>
      </c>
      <c r="AJ418" s="9" t="s">
        <v>218</v>
      </c>
      <c r="AK418" t="s">
        <v>234</v>
      </c>
      <c r="AL418" s="8" t="s">
        <v>221</v>
      </c>
      <c r="AM418" s="9" t="s">
        <v>218</v>
      </c>
      <c r="AN418" s="8" t="s">
        <v>221</v>
      </c>
      <c r="AO418" s="8" t="s">
        <v>222</v>
      </c>
      <c r="AP418" s="8">
        <v>0</v>
      </c>
      <c r="AQ418" s="8">
        <v>0</v>
      </c>
      <c r="AR418" s="9">
        <v>61</v>
      </c>
      <c r="AS418" s="8">
        <v>0</v>
      </c>
      <c r="AT418" s="8">
        <v>0</v>
      </c>
      <c r="AU418" s="8">
        <v>0</v>
      </c>
      <c r="AV418" s="8">
        <v>0</v>
      </c>
      <c r="AW418" s="9">
        <v>61</v>
      </c>
      <c r="AX418" s="8"/>
      <c r="AY418" s="8"/>
      <c r="AZ418">
        <v>2</v>
      </c>
      <c r="BA418" t="s">
        <v>2219</v>
      </c>
      <c r="BB418" t="s">
        <v>1338</v>
      </c>
      <c r="BC418" t="s">
        <v>1339</v>
      </c>
    </row>
    <row r="419" spans="1:55">
      <c r="A419" s="6">
        <v>45793</v>
      </c>
      <c r="B419" s="7" t="s">
        <v>2220</v>
      </c>
      <c r="C419" t="s">
        <v>205</v>
      </c>
      <c r="D419" t="s">
        <v>2170</v>
      </c>
      <c r="G419" t="s">
        <v>207</v>
      </c>
      <c r="H419" s="8" t="s">
        <v>208</v>
      </c>
      <c r="I419" s="8" t="s">
        <v>208</v>
      </c>
      <c r="J419" s="8" t="s">
        <v>208</v>
      </c>
      <c r="K419" s="8" t="s">
        <v>208</v>
      </c>
      <c r="L419" s="8" t="s">
        <v>208</v>
      </c>
      <c r="M419" s="8" t="s">
        <v>208</v>
      </c>
      <c r="N419" s="8" t="s">
        <v>221</v>
      </c>
      <c r="O419" s="8" t="s">
        <v>208</v>
      </c>
      <c r="Q419" t="s">
        <v>2221</v>
      </c>
      <c r="R419" t="s">
        <v>2222</v>
      </c>
      <c r="S419" t="s">
        <v>2223</v>
      </c>
      <c r="T419" t="s">
        <v>2224</v>
      </c>
      <c r="U419" t="s">
        <v>1251</v>
      </c>
      <c r="V419" t="s">
        <v>140</v>
      </c>
      <c r="W419" t="s">
        <v>774</v>
      </c>
      <c r="Y419" t="s">
        <v>1082</v>
      </c>
      <c r="AA419" t="s">
        <v>1164</v>
      </c>
      <c r="AB419" t="s">
        <v>312</v>
      </c>
      <c r="AD419" t="s">
        <v>2043</v>
      </c>
      <c r="AG419" s="8" t="s">
        <v>218</v>
      </c>
      <c r="AI419" s="9" t="s">
        <v>218</v>
      </c>
      <c r="AJ419" s="9" t="s">
        <v>218</v>
      </c>
      <c r="AK419" t="s">
        <v>767</v>
      </c>
      <c r="AL419" s="8" t="s">
        <v>221</v>
      </c>
      <c r="AM419" s="9" t="s">
        <v>218</v>
      </c>
      <c r="AN419" s="8" t="s">
        <v>221</v>
      </c>
      <c r="AO419" s="8" t="s">
        <v>222</v>
      </c>
      <c r="AP419" s="8">
        <v>0</v>
      </c>
      <c r="AQ419" s="8">
        <v>0</v>
      </c>
      <c r="AR419" s="8">
        <v>0</v>
      </c>
      <c r="AS419" s="8">
        <v>0</v>
      </c>
      <c r="AT419" s="8">
        <v>0</v>
      </c>
      <c r="AU419" s="8">
        <v>0</v>
      </c>
      <c r="AV419" s="8">
        <v>0</v>
      </c>
      <c r="AW419" s="8">
        <v>0</v>
      </c>
      <c r="AX419" s="8"/>
      <c r="AY419" s="8"/>
      <c r="AZ419">
        <v>0</v>
      </c>
      <c r="BC419" t="s">
        <v>2225</v>
      </c>
    </row>
    <row r="420" spans="1:55">
      <c r="A420" s="6">
        <v>45793</v>
      </c>
      <c r="B420" s="7" t="s">
        <v>2226</v>
      </c>
      <c r="C420" t="s">
        <v>205</v>
      </c>
      <c r="D420" t="s">
        <v>2227</v>
      </c>
      <c r="G420" t="s">
        <v>207</v>
      </c>
      <c r="H420" s="8" t="s">
        <v>208</v>
      </c>
      <c r="I420" s="8" t="s">
        <v>208</v>
      </c>
      <c r="J420" s="8" t="s">
        <v>208</v>
      </c>
      <c r="K420" s="8" t="s">
        <v>208</v>
      </c>
      <c r="L420" s="8" t="s">
        <v>208</v>
      </c>
      <c r="M420" s="8" t="s">
        <v>208</v>
      </c>
      <c r="N420" s="8" t="s">
        <v>221</v>
      </c>
      <c r="O420" s="8" t="s">
        <v>208</v>
      </c>
      <c r="Q420" t="s">
        <v>2228</v>
      </c>
      <c r="R420" t="s">
        <v>2229</v>
      </c>
      <c r="S420" t="s">
        <v>2229</v>
      </c>
      <c r="T420" t="s">
        <v>2226</v>
      </c>
      <c r="U420" t="s">
        <v>2230</v>
      </c>
      <c r="V420" t="s">
        <v>14</v>
      </c>
      <c r="W420" t="s">
        <v>232</v>
      </c>
      <c r="X420" t="s">
        <v>232</v>
      </c>
      <c r="Y420" t="s">
        <v>2231</v>
      </c>
      <c r="Z420" t="s">
        <v>2231</v>
      </c>
      <c r="AA420" t="s">
        <v>214</v>
      </c>
      <c r="AB420" t="s">
        <v>285</v>
      </c>
      <c r="AC420" t="s">
        <v>701</v>
      </c>
      <c r="AD420" t="s">
        <v>1760</v>
      </c>
      <c r="AE420" t="s">
        <v>217</v>
      </c>
      <c r="AG420" s="8" t="s">
        <v>218</v>
      </c>
      <c r="AH420" t="s">
        <v>219</v>
      </c>
      <c r="AI420" s="9" t="s">
        <v>218</v>
      </c>
      <c r="AJ420" s="9" t="s">
        <v>218</v>
      </c>
      <c r="AK420" t="s">
        <v>234</v>
      </c>
      <c r="AL420" s="9" t="s">
        <v>218</v>
      </c>
      <c r="AM420" s="8" t="s">
        <v>221</v>
      </c>
      <c r="AN420" s="8" t="s">
        <v>221</v>
      </c>
      <c r="AO420" s="8" t="s">
        <v>222</v>
      </c>
      <c r="AP420" s="8">
        <v>0</v>
      </c>
      <c r="AQ420" s="8">
        <v>0</v>
      </c>
      <c r="AR420" s="8">
        <v>0</v>
      </c>
      <c r="AS420" s="8">
        <v>0</v>
      </c>
      <c r="AT420" s="8">
        <v>0</v>
      </c>
      <c r="AU420" s="8">
        <v>0</v>
      </c>
      <c r="AV420" s="8">
        <v>0</v>
      </c>
      <c r="AW420" s="8">
        <v>0</v>
      </c>
      <c r="AX420" s="8"/>
      <c r="AY420" s="8"/>
      <c r="AZ420">
        <v>1</v>
      </c>
      <c r="BA420" t="s">
        <v>2232</v>
      </c>
      <c r="BB420" t="s">
        <v>2233</v>
      </c>
      <c r="BC420" t="s">
        <v>2234</v>
      </c>
    </row>
    <row r="421" spans="1:55">
      <c r="A421" s="6">
        <v>45793</v>
      </c>
      <c r="B421" s="7" t="s">
        <v>2235</v>
      </c>
      <c r="C421" t="s">
        <v>205</v>
      </c>
      <c r="D421" t="s">
        <v>2227</v>
      </c>
      <c r="G421" t="s">
        <v>207</v>
      </c>
      <c r="H421" s="8" t="s">
        <v>208</v>
      </c>
      <c r="I421" s="8" t="s">
        <v>208</v>
      </c>
      <c r="J421" s="8" t="s">
        <v>208</v>
      </c>
      <c r="K421" s="8" t="s">
        <v>208</v>
      </c>
      <c r="L421" s="8" t="s">
        <v>208</v>
      </c>
      <c r="M421" s="8" t="s">
        <v>208</v>
      </c>
      <c r="N421" s="8" t="s">
        <v>221</v>
      </c>
      <c r="O421" s="8" t="s">
        <v>208</v>
      </c>
      <c r="Q421" t="s">
        <v>2236</v>
      </c>
      <c r="R421" t="s">
        <v>2237</v>
      </c>
      <c r="S421" t="s">
        <v>2237</v>
      </c>
      <c r="T421" t="s">
        <v>2235</v>
      </c>
      <c r="U421" t="s">
        <v>2238</v>
      </c>
      <c r="V421" t="s">
        <v>140</v>
      </c>
      <c r="W421" t="s">
        <v>232</v>
      </c>
      <c r="X421" t="s">
        <v>232</v>
      </c>
      <c r="Y421" t="s">
        <v>765</v>
      </c>
      <c r="Z421" t="s">
        <v>2231</v>
      </c>
      <c r="AA421" t="s">
        <v>1164</v>
      </c>
      <c r="AB421" t="s">
        <v>681</v>
      </c>
      <c r="AC421" t="s">
        <v>1336</v>
      </c>
      <c r="AD421" t="s">
        <v>1760</v>
      </c>
      <c r="AE421" t="s">
        <v>217</v>
      </c>
      <c r="AG421" s="8" t="s">
        <v>218</v>
      </c>
      <c r="AH421" t="s">
        <v>219</v>
      </c>
      <c r="AI421" s="9" t="s">
        <v>218</v>
      </c>
      <c r="AJ421" s="9" t="s">
        <v>218</v>
      </c>
      <c r="AK421" t="s">
        <v>2239</v>
      </c>
      <c r="AL421" s="9" t="s">
        <v>218</v>
      </c>
      <c r="AM421" s="8" t="s">
        <v>221</v>
      </c>
      <c r="AN421" s="8" t="s">
        <v>221</v>
      </c>
      <c r="AO421" s="8" t="s">
        <v>222</v>
      </c>
      <c r="AP421" s="8">
        <v>0</v>
      </c>
      <c r="AQ421" s="8">
        <v>0</v>
      </c>
      <c r="AR421" s="8">
        <v>0</v>
      </c>
      <c r="AS421" s="8">
        <v>0</v>
      </c>
      <c r="AT421" s="8">
        <v>0</v>
      </c>
      <c r="AU421" s="8">
        <v>0</v>
      </c>
      <c r="AV421" s="8">
        <v>0</v>
      </c>
      <c r="AW421" s="8">
        <v>0</v>
      </c>
      <c r="AX421" s="9" t="s">
        <v>2240</v>
      </c>
      <c r="AY421" s="8"/>
      <c r="AZ421">
        <v>1</v>
      </c>
      <c r="BA421" t="s">
        <v>2241</v>
      </c>
      <c r="BB421" t="s">
        <v>2242</v>
      </c>
      <c r="BC421" t="s">
        <v>2243</v>
      </c>
    </row>
    <row r="422" spans="1:55">
      <c r="A422" s="6">
        <v>45793</v>
      </c>
      <c r="B422" s="7" t="s">
        <v>2244</v>
      </c>
      <c r="C422" t="s">
        <v>205</v>
      </c>
      <c r="D422" t="s">
        <v>2227</v>
      </c>
      <c r="G422" t="s">
        <v>207</v>
      </c>
      <c r="H422" s="8" t="s">
        <v>208</v>
      </c>
      <c r="I422" s="8" t="s">
        <v>208</v>
      </c>
      <c r="J422" s="8" t="s">
        <v>208</v>
      </c>
      <c r="K422" s="8" t="s">
        <v>208</v>
      </c>
      <c r="L422" s="8" t="s">
        <v>208</v>
      </c>
      <c r="M422" s="8" t="s">
        <v>208</v>
      </c>
      <c r="N422" s="8" t="s">
        <v>221</v>
      </c>
      <c r="O422" s="8" t="s">
        <v>208</v>
      </c>
      <c r="Q422" t="s">
        <v>2245</v>
      </c>
      <c r="R422" t="s">
        <v>2246</v>
      </c>
      <c r="S422" t="s">
        <v>2247</v>
      </c>
      <c r="T422" t="s">
        <v>2248</v>
      </c>
      <c r="U422" t="s">
        <v>2249</v>
      </c>
      <c r="V422" t="s">
        <v>140</v>
      </c>
      <c r="W422" t="s">
        <v>232</v>
      </c>
      <c r="Y422" t="s">
        <v>765</v>
      </c>
      <c r="AA422" t="s">
        <v>1164</v>
      </c>
      <c r="AB422" t="s">
        <v>681</v>
      </c>
      <c r="AD422" t="s">
        <v>1760</v>
      </c>
      <c r="AG422" s="8" t="s">
        <v>218</v>
      </c>
      <c r="AI422" s="9" t="s">
        <v>218</v>
      </c>
      <c r="AJ422" s="9" t="s">
        <v>218</v>
      </c>
      <c r="AK422" t="s">
        <v>2250</v>
      </c>
      <c r="AL422" s="9" t="s">
        <v>218</v>
      </c>
      <c r="AM422" s="8" t="s">
        <v>221</v>
      </c>
      <c r="AN422" s="8" t="s">
        <v>221</v>
      </c>
      <c r="AO422" s="8" t="s">
        <v>222</v>
      </c>
      <c r="AP422" s="8">
        <v>0</v>
      </c>
      <c r="AQ422" s="8">
        <v>0</v>
      </c>
      <c r="AR422" s="8">
        <v>0</v>
      </c>
      <c r="AS422" s="8">
        <v>0</v>
      </c>
      <c r="AT422" s="8">
        <v>0</v>
      </c>
      <c r="AU422" s="8">
        <v>0</v>
      </c>
      <c r="AV422" s="8">
        <v>0</v>
      </c>
      <c r="AW422" s="8">
        <v>0</v>
      </c>
      <c r="AX422" s="9" t="s">
        <v>2251</v>
      </c>
      <c r="AY422" s="8"/>
      <c r="AZ422">
        <v>1</v>
      </c>
      <c r="BA422" t="s">
        <v>2252</v>
      </c>
      <c r="BC422" t="s">
        <v>2253</v>
      </c>
    </row>
    <row r="423" spans="1:55">
      <c r="A423" s="6">
        <v>45807</v>
      </c>
      <c r="B423" s="7" t="s">
        <v>1422</v>
      </c>
      <c r="C423" t="s">
        <v>205</v>
      </c>
      <c r="D423" t="s">
        <v>2254</v>
      </c>
      <c r="G423" t="s">
        <v>207</v>
      </c>
      <c r="H423" s="8" t="s">
        <v>208</v>
      </c>
      <c r="I423" s="8" t="s">
        <v>208</v>
      </c>
      <c r="J423" s="8" t="s">
        <v>208</v>
      </c>
      <c r="K423" s="8" t="s">
        <v>208</v>
      </c>
      <c r="L423" s="8" t="s">
        <v>208</v>
      </c>
      <c r="M423" s="8" t="s">
        <v>208</v>
      </c>
      <c r="N423" s="8" t="s">
        <v>208</v>
      </c>
      <c r="O423" s="8" t="s">
        <v>221</v>
      </c>
      <c r="Q423" t="s">
        <v>1423</v>
      </c>
      <c r="R423" t="s">
        <v>1424</v>
      </c>
      <c r="U423" t="s">
        <v>1425</v>
      </c>
      <c r="V423" t="s">
        <v>140</v>
      </c>
      <c r="W423" t="s">
        <v>212</v>
      </c>
      <c r="X423" t="s">
        <v>212</v>
      </c>
      <c r="Y423" t="s">
        <v>275</v>
      </c>
      <c r="Z423" t="s">
        <v>213</v>
      </c>
      <c r="AA423" t="s">
        <v>214</v>
      </c>
      <c r="AB423" t="s">
        <v>832</v>
      </c>
      <c r="AC423" t="s">
        <v>672</v>
      </c>
      <c r="AD423" t="s">
        <v>2255</v>
      </c>
      <c r="AE423" t="s">
        <v>217</v>
      </c>
      <c r="AG423" s="9" t="s">
        <v>221</v>
      </c>
      <c r="AH423" t="s">
        <v>2256</v>
      </c>
      <c r="AI423" s="8" t="s">
        <v>221</v>
      </c>
      <c r="AJ423" s="9" t="s">
        <v>218</v>
      </c>
      <c r="AK423" t="s">
        <v>234</v>
      </c>
      <c r="AL423" s="8" t="s">
        <v>221</v>
      </c>
      <c r="AM423" s="9" t="s">
        <v>218</v>
      </c>
      <c r="AN423" s="8" t="s">
        <v>221</v>
      </c>
      <c r="AO423" s="8" t="s">
        <v>222</v>
      </c>
      <c r="AP423" s="8">
        <v>0</v>
      </c>
      <c r="AQ423" s="8">
        <v>0</v>
      </c>
      <c r="AR423" s="9">
        <v>152</v>
      </c>
      <c r="AS423" s="8">
        <v>0</v>
      </c>
      <c r="AT423" s="8">
        <v>0</v>
      </c>
      <c r="AU423" s="8">
        <v>0</v>
      </c>
      <c r="AV423" s="8">
        <v>0</v>
      </c>
      <c r="AW423" s="9">
        <v>152</v>
      </c>
      <c r="AX423" s="8"/>
      <c r="AY423" s="9" t="s">
        <v>1426</v>
      </c>
      <c r="AZ423">
        <v>2</v>
      </c>
      <c r="BA423" t="s">
        <v>2257</v>
      </c>
      <c r="BB423" t="s">
        <v>1428</v>
      </c>
    </row>
    <row r="424" spans="1:55">
      <c r="A424" s="6">
        <v>45807</v>
      </c>
      <c r="B424" s="7" t="s">
        <v>1176</v>
      </c>
      <c r="C424" t="s">
        <v>205</v>
      </c>
      <c r="D424" t="s">
        <v>2254</v>
      </c>
      <c r="G424" t="s">
        <v>207</v>
      </c>
      <c r="H424" s="8" t="s">
        <v>208</v>
      </c>
      <c r="I424" s="8" t="s">
        <v>208</v>
      </c>
      <c r="J424" s="8" t="s">
        <v>208</v>
      </c>
      <c r="K424" s="8" t="s">
        <v>208</v>
      </c>
      <c r="L424" s="8" t="s">
        <v>208</v>
      </c>
      <c r="M424" s="8" t="s">
        <v>208</v>
      </c>
      <c r="N424" s="8" t="s">
        <v>208</v>
      </c>
      <c r="O424" s="8" t="s">
        <v>221</v>
      </c>
      <c r="Q424" t="s">
        <v>1173</v>
      </c>
      <c r="R424" t="s">
        <v>1175</v>
      </c>
      <c r="U424" t="s">
        <v>1177</v>
      </c>
      <c r="V424" t="s">
        <v>140</v>
      </c>
      <c r="W424" t="s">
        <v>774</v>
      </c>
      <c r="X424" t="s">
        <v>774</v>
      </c>
      <c r="Y424" t="s">
        <v>1082</v>
      </c>
      <c r="Z424" t="s">
        <v>775</v>
      </c>
      <c r="AA424" t="s">
        <v>1164</v>
      </c>
      <c r="AB424" t="s">
        <v>301</v>
      </c>
      <c r="AC424" t="s">
        <v>312</v>
      </c>
      <c r="AD424" t="s">
        <v>2258</v>
      </c>
      <c r="AE424" t="s">
        <v>2259</v>
      </c>
      <c r="AG424" s="8" t="s">
        <v>218</v>
      </c>
      <c r="AH424" t="s">
        <v>2256</v>
      </c>
      <c r="AI424" s="8" t="s">
        <v>221</v>
      </c>
      <c r="AJ424" s="9" t="s">
        <v>218</v>
      </c>
      <c r="AK424" t="s">
        <v>234</v>
      </c>
      <c r="AL424" s="8" t="s">
        <v>221</v>
      </c>
      <c r="AM424" s="9" t="s">
        <v>218</v>
      </c>
      <c r="AN424" s="8" t="s">
        <v>221</v>
      </c>
      <c r="AO424" s="8" t="s">
        <v>222</v>
      </c>
      <c r="AP424" s="8">
        <v>0</v>
      </c>
      <c r="AQ424" s="8">
        <v>0</v>
      </c>
      <c r="AR424" s="8">
        <v>0</v>
      </c>
      <c r="AS424" s="8">
        <v>0</v>
      </c>
      <c r="AT424" s="8">
        <v>0</v>
      </c>
      <c r="AU424" s="8">
        <v>0</v>
      </c>
      <c r="AV424" s="8">
        <v>0</v>
      </c>
      <c r="AW424" s="8">
        <v>0</v>
      </c>
      <c r="AX424" s="8"/>
      <c r="AY424" s="9" t="s">
        <v>1178</v>
      </c>
      <c r="AZ424">
        <v>2</v>
      </c>
      <c r="BA424" t="s">
        <v>2260</v>
      </c>
      <c r="BB424" t="s">
        <v>1180</v>
      </c>
    </row>
    <row r="425" spans="1:55">
      <c r="A425" s="6">
        <v>45807</v>
      </c>
      <c r="B425" s="7" t="s">
        <v>1186</v>
      </c>
      <c r="C425" t="s">
        <v>205</v>
      </c>
      <c r="D425" t="s">
        <v>2254</v>
      </c>
      <c r="G425" t="s">
        <v>207</v>
      </c>
      <c r="H425" s="8" t="s">
        <v>208</v>
      </c>
      <c r="I425" s="8" t="s">
        <v>208</v>
      </c>
      <c r="J425" s="8" t="s">
        <v>208</v>
      </c>
      <c r="K425" s="8" t="s">
        <v>208</v>
      </c>
      <c r="L425" s="8" t="s">
        <v>208</v>
      </c>
      <c r="M425" s="8" t="s">
        <v>208</v>
      </c>
      <c r="N425" s="8" t="s">
        <v>208</v>
      </c>
      <c r="O425" s="8" t="s">
        <v>221</v>
      </c>
      <c r="Q425" t="s">
        <v>1183</v>
      </c>
      <c r="R425" t="s">
        <v>1185</v>
      </c>
      <c r="U425" t="s">
        <v>1187</v>
      </c>
      <c r="V425" t="s">
        <v>140</v>
      </c>
      <c r="W425" t="s">
        <v>774</v>
      </c>
      <c r="X425" t="s">
        <v>774</v>
      </c>
      <c r="Y425" t="s">
        <v>1082</v>
      </c>
      <c r="Z425" t="s">
        <v>775</v>
      </c>
      <c r="AA425" t="s">
        <v>1164</v>
      </c>
      <c r="AB425" t="s">
        <v>301</v>
      </c>
      <c r="AC425" t="s">
        <v>312</v>
      </c>
      <c r="AD425" t="s">
        <v>2258</v>
      </c>
      <c r="AE425" t="s">
        <v>2259</v>
      </c>
      <c r="AG425" s="8" t="s">
        <v>218</v>
      </c>
      <c r="AH425" t="s">
        <v>2256</v>
      </c>
      <c r="AI425" s="8" t="s">
        <v>221</v>
      </c>
      <c r="AJ425" s="9" t="s">
        <v>218</v>
      </c>
      <c r="AK425" t="s">
        <v>234</v>
      </c>
      <c r="AL425" s="8" t="s">
        <v>221</v>
      </c>
      <c r="AM425" s="9" t="s">
        <v>218</v>
      </c>
      <c r="AN425" s="8" t="s">
        <v>221</v>
      </c>
      <c r="AO425" s="8" t="s">
        <v>222</v>
      </c>
      <c r="AP425" s="8">
        <v>0</v>
      </c>
      <c r="AQ425" s="8">
        <v>0</v>
      </c>
      <c r="AR425" s="9">
        <v>1</v>
      </c>
      <c r="AS425" s="8">
        <v>0</v>
      </c>
      <c r="AT425" s="8">
        <v>0</v>
      </c>
      <c r="AU425" s="8">
        <v>0</v>
      </c>
      <c r="AV425" s="8">
        <v>0</v>
      </c>
      <c r="AW425" s="9">
        <v>1</v>
      </c>
      <c r="AX425" s="8"/>
      <c r="AY425" s="8"/>
      <c r="AZ425">
        <v>2</v>
      </c>
      <c r="BA425" t="s">
        <v>2260</v>
      </c>
      <c r="BB425" t="s">
        <v>2261</v>
      </c>
    </row>
    <row r="426" spans="1:55">
      <c r="A426" s="6">
        <v>45807</v>
      </c>
      <c r="B426" s="7" t="s">
        <v>1219</v>
      </c>
      <c r="C426" t="s">
        <v>205</v>
      </c>
      <c r="D426" t="s">
        <v>2254</v>
      </c>
      <c r="G426" t="s">
        <v>207</v>
      </c>
      <c r="H426" s="8" t="s">
        <v>208</v>
      </c>
      <c r="I426" s="8" t="s">
        <v>208</v>
      </c>
      <c r="J426" s="8" t="s">
        <v>208</v>
      </c>
      <c r="K426" s="8" t="s">
        <v>208</v>
      </c>
      <c r="L426" s="8" t="s">
        <v>208</v>
      </c>
      <c r="M426" s="8" t="s">
        <v>208</v>
      </c>
      <c r="N426" s="8" t="s">
        <v>208</v>
      </c>
      <c r="O426" s="8" t="s">
        <v>221</v>
      </c>
      <c r="Q426" t="s">
        <v>1216</v>
      </c>
      <c r="R426" t="s">
        <v>1218</v>
      </c>
      <c r="U426" t="s">
        <v>1220</v>
      </c>
      <c r="V426" t="s">
        <v>140</v>
      </c>
      <c r="W426" t="s">
        <v>774</v>
      </c>
      <c r="X426" t="s">
        <v>1221</v>
      </c>
      <c r="Y426" t="s">
        <v>1082</v>
      </c>
      <c r="Z426" t="s">
        <v>775</v>
      </c>
      <c r="AA426" t="s">
        <v>1164</v>
      </c>
      <c r="AB426" t="s">
        <v>312</v>
      </c>
      <c r="AC426" t="s">
        <v>312</v>
      </c>
      <c r="AD426" t="s">
        <v>2258</v>
      </c>
      <c r="AE426" t="s">
        <v>2259</v>
      </c>
      <c r="AG426" s="8" t="s">
        <v>218</v>
      </c>
      <c r="AH426" t="s">
        <v>2256</v>
      </c>
      <c r="AI426" s="8" t="s">
        <v>221</v>
      </c>
      <c r="AJ426" s="9" t="s">
        <v>218</v>
      </c>
      <c r="AK426" t="s">
        <v>234</v>
      </c>
      <c r="AL426" s="8" t="s">
        <v>221</v>
      </c>
      <c r="AM426" s="9" t="s">
        <v>218</v>
      </c>
      <c r="AN426" s="8" t="s">
        <v>221</v>
      </c>
      <c r="AO426" s="8" t="s">
        <v>222</v>
      </c>
      <c r="AP426" s="8">
        <v>0</v>
      </c>
      <c r="AQ426" s="8">
        <v>0</v>
      </c>
      <c r="AR426" s="8">
        <v>0</v>
      </c>
      <c r="AS426" s="8">
        <v>0</v>
      </c>
      <c r="AT426" s="8">
        <v>0</v>
      </c>
      <c r="AU426" s="8">
        <v>0</v>
      </c>
      <c r="AV426" s="8">
        <v>0</v>
      </c>
      <c r="AW426" s="8">
        <v>0</v>
      </c>
      <c r="AX426" s="8"/>
      <c r="AY426" s="8"/>
      <c r="AZ426">
        <v>1</v>
      </c>
      <c r="BA426" t="s">
        <v>2262</v>
      </c>
      <c r="BB426" t="s">
        <v>2263</v>
      </c>
    </row>
    <row r="427" spans="1:55">
      <c r="A427" s="6">
        <v>45807</v>
      </c>
      <c r="B427" s="7" t="s">
        <v>1236</v>
      </c>
      <c r="C427" t="s">
        <v>205</v>
      </c>
      <c r="D427" t="s">
        <v>2254</v>
      </c>
      <c r="G427" t="s">
        <v>207</v>
      </c>
      <c r="H427" s="8" t="s">
        <v>208</v>
      </c>
      <c r="I427" s="8" t="s">
        <v>208</v>
      </c>
      <c r="J427" s="8" t="s">
        <v>208</v>
      </c>
      <c r="K427" s="8" t="s">
        <v>208</v>
      </c>
      <c r="L427" s="8" t="s">
        <v>208</v>
      </c>
      <c r="M427" s="8" t="s">
        <v>208</v>
      </c>
      <c r="N427" s="8" t="s">
        <v>208</v>
      </c>
      <c r="O427" s="8" t="s">
        <v>221</v>
      </c>
      <c r="Q427" t="s">
        <v>1233</v>
      </c>
      <c r="R427" t="s">
        <v>1235</v>
      </c>
      <c r="U427" t="s">
        <v>1237</v>
      </c>
      <c r="V427" t="s">
        <v>140</v>
      </c>
      <c r="W427" t="s">
        <v>774</v>
      </c>
      <c r="X427" t="s">
        <v>1221</v>
      </c>
      <c r="Y427" t="s">
        <v>1082</v>
      </c>
      <c r="Z427" t="s">
        <v>775</v>
      </c>
      <c r="AA427" t="s">
        <v>1164</v>
      </c>
      <c r="AB427" t="s">
        <v>312</v>
      </c>
      <c r="AC427" t="s">
        <v>312</v>
      </c>
      <c r="AD427" t="s">
        <v>2258</v>
      </c>
      <c r="AE427" t="s">
        <v>2259</v>
      </c>
      <c r="AG427" s="8" t="s">
        <v>218</v>
      </c>
      <c r="AH427" t="s">
        <v>2256</v>
      </c>
      <c r="AI427" s="8" t="s">
        <v>221</v>
      </c>
      <c r="AJ427" s="9" t="s">
        <v>218</v>
      </c>
      <c r="AK427" t="s">
        <v>234</v>
      </c>
      <c r="AL427" s="8" t="s">
        <v>221</v>
      </c>
      <c r="AM427" s="9" t="s">
        <v>218</v>
      </c>
      <c r="AN427" s="8" t="s">
        <v>221</v>
      </c>
      <c r="AO427" s="8" t="s">
        <v>222</v>
      </c>
      <c r="AP427" s="8">
        <v>0</v>
      </c>
      <c r="AQ427" s="8">
        <v>0</v>
      </c>
      <c r="AR427" s="8">
        <v>0</v>
      </c>
      <c r="AS427" s="8">
        <v>0</v>
      </c>
      <c r="AT427" s="8">
        <v>0</v>
      </c>
      <c r="AU427" s="8">
        <v>0</v>
      </c>
      <c r="AV427" s="8">
        <v>0</v>
      </c>
      <c r="AW427" s="8">
        <v>0</v>
      </c>
      <c r="AX427" s="8"/>
      <c r="AY427" s="8"/>
      <c r="AZ427">
        <v>2</v>
      </c>
      <c r="BA427" t="s">
        <v>2264</v>
      </c>
      <c r="BB427" t="s">
        <v>2265</v>
      </c>
    </row>
    <row r="428" spans="1:55">
      <c r="A428" s="6">
        <v>45807</v>
      </c>
      <c r="B428" s="7" t="s">
        <v>1322</v>
      </c>
      <c r="C428" t="s">
        <v>205</v>
      </c>
      <c r="D428" t="s">
        <v>2266</v>
      </c>
      <c r="G428" t="s">
        <v>207</v>
      </c>
      <c r="H428" s="8" t="s">
        <v>208</v>
      </c>
      <c r="I428" s="8" t="s">
        <v>208</v>
      </c>
      <c r="J428" s="8" t="s">
        <v>208</v>
      </c>
      <c r="K428" s="8" t="s">
        <v>208</v>
      </c>
      <c r="L428" s="8" t="s">
        <v>208</v>
      </c>
      <c r="M428" s="8" t="s">
        <v>208</v>
      </c>
      <c r="N428" s="8" t="s">
        <v>208</v>
      </c>
      <c r="O428" s="8" t="s">
        <v>221</v>
      </c>
      <c r="Q428" t="s">
        <v>1323</v>
      </c>
      <c r="R428" t="s">
        <v>1324</v>
      </c>
      <c r="U428" t="s">
        <v>1325</v>
      </c>
      <c r="V428" t="s">
        <v>140</v>
      </c>
      <c r="W428" t="s">
        <v>774</v>
      </c>
      <c r="X428" t="s">
        <v>774</v>
      </c>
      <c r="Y428" t="s">
        <v>1082</v>
      </c>
      <c r="Z428" t="s">
        <v>775</v>
      </c>
      <c r="AA428" t="s">
        <v>1164</v>
      </c>
      <c r="AB428" t="s">
        <v>2267</v>
      </c>
      <c r="AC428" t="s">
        <v>1326</v>
      </c>
      <c r="AD428" t="s">
        <v>2258</v>
      </c>
      <c r="AE428" t="s">
        <v>2259</v>
      </c>
      <c r="AG428" s="8" t="s">
        <v>218</v>
      </c>
      <c r="AH428" t="s">
        <v>2256</v>
      </c>
      <c r="AI428" s="8" t="s">
        <v>221</v>
      </c>
      <c r="AJ428" s="9" t="s">
        <v>218</v>
      </c>
      <c r="AK428" t="s">
        <v>234</v>
      </c>
      <c r="AL428" s="8" t="s">
        <v>221</v>
      </c>
      <c r="AM428" s="9" t="s">
        <v>218</v>
      </c>
      <c r="AN428" s="8" t="s">
        <v>221</v>
      </c>
      <c r="AO428" s="8" t="s">
        <v>222</v>
      </c>
      <c r="AP428" s="8">
        <v>0</v>
      </c>
      <c r="AQ428" s="8">
        <v>0</v>
      </c>
      <c r="AR428" s="9">
        <v>150</v>
      </c>
      <c r="AS428" s="8">
        <v>0</v>
      </c>
      <c r="AT428" s="8">
        <v>0</v>
      </c>
      <c r="AU428" s="8">
        <v>0</v>
      </c>
      <c r="AV428" s="9">
        <v>1</v>
      </c>
      <c r="AW428" s="9">
        <v>151</v>
      </c>
      <c r="AX428" s="8"/>
      <c r="AY428" s="9" t="s">
        <v>2268</v>
      </c>
      <c r="AZ428">
        <v>2</v>
      </c>
      <c r="BA428" t="s">
        <v>2269</v>
      </c>
      <c r="BB428" t="s">
        <v>1329</v>
      </c>
    </row>
    <row r="429" spans="1:55">
      <c r="A429" s="6">
        <v>45807</v>
      </c>
      <c r="B429" s="7" t="s">
        <v>1158</v>
      </c>
      <c r="C429" t="s">
        <v>205</v>
      </c>
      <c r="D429" t="s">
        <v>2266</v>
      </c>
      <c r="G429" t="s">
        <v>207</v>
      </c>
      <c r="H429" s="8" t="s">
        <v>208</v>
      </c>
      <c r="I429" s="8" t="s">
        <v>208</v>
      </c>
      <c r="J429" s="8" t="s">
        <v>208</v>
      </c>
      <c r="K429" s="8" t="s">
        <v>208</v>
      </c>
      <c r="L429" s="8" t="s">
        <v>208</v>
      </c>
      <c r="M429" s="8" t="s">
        <v>208</v>
      </c>
      <c r="N429" s="8" t="s">
        <v>208</v>
      </c>
      <c r="O429" s="8" t="s">
        <v>221</v>
      </c>
      <c r="Q429" t="s">
        <v>1161</v>
      </c>
      <c r="R429" t="s">
        <v>1162</v>
      </c>
      <c r="U429" t="s">
        <v>1163</v>
      </c>
      <c r="V429" t="s">
        <v>140</v>
      </c>
      <c r="W429" t="s">
        <v>774</v>
      </c>
      <c r="X429" t="s">
        <v>774</v>
      </c>
      <c r="Y429" t="s">
        <v>1082</v>
      </c>
      <c r="Z429" t="s">
        <v>775</v>
      </c>
      <c r="AA429" t="s">
        <v>1164</v>
      </c>
      <c r="AB429" t="s">
        <v>425</v>
      </c>
      <c r="AC429" t="s">
        <v>465</v>
      </c>
      <c r="AD429" t="s">
        <v>2258</v>
      </c>
      <c r="AE429" t="s">
        <v>2259</v>
      </c>
      <c r="AG429" s="8" t="s">
        <v>218</v>
      </c>
      <c r="AH429" t="s">
        <v>2256</v>
      </c>
      <c r="AI429" s="8" t="s">
        <v>221</v>
      </c>
      <c r="AJ429" s="9" t="s">
        <v>218</v>
      </c>
      <c r="AK429" t="s">
        <v>1167</v>
      </c>
      <c r="AL429" s="8" t="s">
        <v>221</v>
      </c>
      <c r="AM429" s="9" t="s">
        <v>218</v>
      </c>
      <c r="AN429" s="8" t="s">
        <v>221</v>
      </c>
      <c r="AO429" s="8" t="s">
        <v>222</v>
      </c>
      <c r="AP429" s="8">
        <v>0</v>
      </c>
      <c r="AQ429" s="8">
        <v>0</v>
      </c>
      <c r="AR429" s="9">
        <v>51</v>
      </c>
      <c r="AS429" s="8">
        <v>0</v>
      </c>
      <c r="AT429" s="8">
        <v>0</v>
      </c>
      <c r="AU429" s="8">
        <v>0</v>
      </c>
      <c r="AV429" s="8">
        <v>0</v>
      </c>
      <c r="AW429" s="9">
        <v>51</v>
      </c>
      <c r="AX429" s="8"/>
      <c r="AY429" s="9" t="s">
        <v>2196</v>
      </c>
      <c r="AZ429">
        <v>2</v>
      </c>
      <c r="BA429" t="s">
        <v>2270</v>
      </c>
      <c r="BB429" t="s">
        <v>1170</v>
      </c>
    </row>
    <row r="430" spans="1:55">
      <c r="A430" s="6">
        <v>45807</v>
      </c>
      <c r="B430" s="7" t="s">
        <v>2198</v>
      </c>
      <c r="C430" t="s">
        <v>205</v>
      </c>
      <c r="D430" t="s">
        <v>2266</v>
      </c>
      <c r="G430" t="s">
        <v>207</v>
      </c>
      <c r="H430" s="8" t="s">
        <v>208</v>
      </c>
      <c r="I430" s="8" t="s">
        <v>208</v>
      </c>
      <c r="J430" s="8" t="s">
        <v>208</v>
      </c>
      <c r="K430" s="8" t="s">
        <v>208</v>
      </c>
      <c r="L430" s="8" t="s">
        <v>208</v>
      </c>
      <c r="M430" s="8" t="s">
        <v>208</v>
      </c>
      <c r="N430" s="8" t="s">
        <v>208</v>
      </c>
      <c r="O430" s="8" t="s">
        <v>221</v>
      </c>
      <c r="Q430" t="s">
        <v>2199</v>
      </c>
      <c r="R430" t="s">
        <v>2200</v>
      </c>
      <c r="U430" t="s">
        <v>2201</v>
      </c>
      <c r="V430" t="s">
        <v>140</v>
      </c>
      <c r="W430" t="s">
        <v>774</v>
      </c>
      <c r="X430" t="s">
        <v>774</v>
      </c>
      <c r="Y430" t="s">
        <v>1082</v>
      </c>
      <c r="Z430" t="s">
        <v>775</v>
      </c>
      <c r="AA430" t="s">
        <v>1164</v>
      </c>
      <c r="AB430" t="s">
        <v>425</v>
      </c>
      <c r="AC430" t="s">
        <v>465</v>
      </c>
      <c r="AD430" t="s">
        <v>2258</v>
      </c>
      <c r="AE430" t="s">
        <v>2259</v>
      </c>
      <c r="AG430" s="8" t="s">
        <v>218</v>
      </c>
      <c r="AH430" t="s">
        <v>2256</v>
      </c>
      <c r="AI430" s="8" t="s">
        <v>221</v>
      </c>
      <c r="AJ430" s="9" t="s">
        <v>218</v>
      </c>
      <c r="AK430" t="s">
        <v>234</v>
      </c>
      <c r="AL430" s="8" t="s">
        <v>221</v>
      </c>
      <c r="AM430" s="9" t="s">
        <v>218</v>
      </c>
      <c r="AN430" s="8" t="s">
        <v>221</v>
      </c>
      <c r="AO430" s="8" t="s">
        <v>222</v>
      </c>
      <c r="AP430" s="8">
        <v>0</v>
      </c>
      <c r="AQ430" s="8">
        <v>0</v>
      </c>
      <c r="AR430" s="8">
        <v>0</v>
      </c>
      <c r="AS430" s="8">
        <v>0</v>
      </c>
      <c r="AT430" s="8">
        <v>0</v>
      </c>
      <c r="AU430" s="8">
        <v>0</v>
      </c>
      <c r="AV430" s="8">
        <v>0</v>
      </c>
      <c r="AW430" s="8">
        <v>0</v>
      </c>
      <c r="AX430" s="8"/>
      <c r="AY430" s="9" t="s">
        <v>2202</v>
      </c>
      <c r="AZ430">
        <v>2</v>
      </c>
      <c r="BA430" t="s">
        <v>2270</v>
      </c>
      <c r="BB430" t="s">
        <v>2204</v>
      </c>
    </row>
    <row r="431" spans="1:55">
      <c r="A431" s="6">
        <v>45807</v>
      </c>
      <c r="B431" s="7" t="s">
        <v>1476</v>
      </c>
      <c r="C431" t="s">
        <v>205</v>
      </c>
      <c r="D431" t="s">
        <v>2266</v>
      </c>
      <c r="G431" t="s">
        <v>207</v>
      </c>
      <c r="H431" s="8" t="s">
        <v>208</v>
      </c>
      <c r="I431" s="8" t="s">
        <v>208</v>
      </c>
      <c r="J431" s="8" t="s">
        <v>208</v>
      </c>
      <c r="K431" s="8" t="s">
        <v>208</v>
      </c>
      <c r="L431" s="8" t="s">
        <v>208</v>
      </c>
      <c r="M431" s="8" t="s">
        <v>208</v>
      </c>
      <c r="N431" s="8" t="s">
        <v>208</v>
      </c>
      <c r="O431" s="8" t="s">
        <v>221</v>
      </c>
      <c r="Q431" t="s">
        <v>1477</v>
      </c>
      <c r="R431" t="s">
        <v>1478</v>
      </c>
      <c r="U431" t="s">
        <v>1479</v>
      </c>
      <c r="V431" t="s">
        <v>140</v>
      </c>
      <c r="W431" t="s">
        <v>774</v>
      </c>
      <c r="X431" t="s">
        <v>774</v>
      </c>
      <c r="Y431" t="s">
        <v>1082</v>
      </c>
      <c r="Z431" t="s">
        <v>775</v>
      </c>
      <c r="AA431" t="s">
        <v>1164</v>
      </c>
      <c r="AB431" t="s">
        <v>399</v>
      </c>
      <c r="AC431" t="s">
        <v>1480</v>
      </c>
      <c r="AD431" t="s">
        <v>2258</v>
      </c>
      <c r="AE431" t="s">
        <v>2259</v>
      </c>
      <c r="AG431" s="9" t="s">
        <v>221</v>
      </c>
      <c r="AH431" t="s">
        <v>2256</v>
      </c>
      <c r="AI431" s="8" t="s">
        <v>221</v>
      </c>
      <c r="AJ431" s="9" t="s">
        <v>218</v>
      </c>
      <c r="AK431" t="s">
        <v>1481</v>
      </c>
      <c r="AL431" s="8" t="s">
        <v>221</v>
      </c>
      <c r="AM431" s="9" t="s">
        <v>218</v>
      </c>
      <c r="AN431" s="8" t="s">
        <v>221</v>
      </c>
      <c r="AO431" s="8" t="s">
        <v>222</v>
      </c>
      <c r="AP431" s="8">
        <v>0</v>
      </c>
      <c r="AQ431" s="8">
        <v>0</v>
      </c>
      <c r="AR431" s="9">
        <v>5</v>
      </c>
      <c r="AS431" s="8">
        <v>0</v>
      </c>
      <c r="AT431" s="8">
        <v>0</v>
      </c>
      <c r="AU431" s="8">
        <v>0</v>
      </c>
      <c r="AV431" s="8">
        <v>0</v>
      </c>
      <c r="AW431" s="9">
        <v>5</v>
      </c>
      <c r="AX431" s="8"/>
      <c r="AY431" s="9" t="s">
        <v>1482</v>
      </c>
      <c r="AZ431">
        <v>2</v>
      </c>
      <c r="BA431" t="s">
        <v>2271</v>
      </c>
      <c r="BB431" t="s">
        <v>1484</v>
      </c>
    </row>
    <row r="432" spans="1:55">
      <c r="A432" s="6">
        <v>45807</v>
      </c>
      <c r="B432" s="7" t="s">
        <v>1194</v>
      </c>
      <c r="C432" t="s">
        <v>205</v>
      </c>
      <c r="D432" t="s">
        <v>2254</v>
      </c>
      <c r="G432" t="s">
        <v>207</v>
      </c>
      <c r="H432" s="8" t="s">
        <v>208</v>
      </c>
      <c r="I432" s="8" t="s">
        <v>208</v>
      </c>
      <c r="J432" s="8" t="s">
        <v>208</v>
      </c>
      <c r="K432" s="8" t="s">
        <v>208</v>
      </c>
      <c r="L432" s="8" t="s">
        <v>208</v>
      </c>
      <c r="M432" s="8" t="s">
        <v>208</v>
      </c>
      <c r="N432" s="8" t="s">
        <v>208</v>
      </c>
      <c r="O432" s="8" t="s">
        <v>221</v>
      </c>
      <c r="Q432" t="s">
        <v>1191</v>
      </c>
      <c r="R432" t="s">
        <v>1193</v>
      </c>
      <c r="U432" t="s">
        <v>1195</v>
      </c>
      <c r="V432" t="s">
        <v>140</v>
      </c>
      <c r="W432" t="s">
        <v>774</v>
      </c>
      <c r="X432" t="s">
        <v>774</v>
      </c>
      <c r="Y432" t="s">
        <v>1082</v>
      </c>
      <c r="Z432" t="s">
        <v>775</v>
      </c>
      <c r="AA432" t="s">
        <v>1164</v>
      </c>
      <c r="AB432" t="s">
        <v>301</v>
      </c>
      <c r="AC432" t="s">
        <v>312</v>
      </c>
      <c r="AD432" t="s">
        <v>2258</v>
      </c>
      <c r="AE432" t="s">
        <v>2259</v>
      </c>
      <c r="AG432" s="8" t="s">
        <v>218</v>
      </c>
      <c r="AH432" t="s">
        <v>2256</v>
      </c>
      <c r="AI432" s="8" t="s">
        <v>221</v>
      </c>
      <c r="AJ432" s="9" t="s">
        <v>218</v>
      </c>
      <c r="AK432" t="s">
        <v>1196</v>
      </c>
      <c r="AL432" s="8" t="s">
        <v>221</v>
      </c>
      <c r="AM432" s="9" t="s">
        <v>218</v>
      </c>
      <c r="AN432" s="8" t="s">
        <v>221</v>
      </c>
      <c r="AO432" s="8" t="s">
        <v>222</v>
      </c>
      <c r="AP432" s="8">
        <v>0</v>
      </c>
      <c r="AQ432" s="8">
        <v>0</v>
      </c>
      <c r="AR432" s="8">
        <v>0</v>
      </c>
      <c r="AS432" s="8">
        <v>0</v>
      </c>
      <c r="AT432" s="8">
        <v>0</v>
      </c>
      <c r="AU432" s="8">
        <v>0</v>
      </c>
      <c r="AV432" s="8">
        <v>0</v>
      </c>
      <c r="AW432" s="8">
        <v>0</v>
      </c>
      <c r="AX432" s="8"/>
      <c r="AY432" s="8"/>
      <c r="AZ432">
        <v>4</v>
      </c>
      <c r="BA432" t="s">
        <v>2272</v>
      </c>
      <c r="BB432" t="s">
        <v>2273</v>
      </c>
    </row>
    <row r="433" spans="1:54">
      <c r="A433" s="6">
        <v>45807</v>
      </c>
      <c r="B433" s="7" t="s">
        <v>1203</v>
      </c>
      <c r="C433" t="s">
        <v>205</v>
      </c>
      <c r="D433" t="s">
        <v>2254</v>
      </c>
      <c r="G433" t="s">
        <v>207</v>
      </c>
      <c r="H433" s="8" t="s">
        <v>208</v>
      </c>
      <c r="I433" s="8" t="s">
        <v>208</v>
      </c>
      <c r="J433" s="8" t="s">
        <v>208</v>
      </c>
      <c r="K433" s="8" t="s">
        <v>208</v>
      </c>
      <c r="L433" s="8" t="s">
        <v>208</v>
      </c>
      <c r="M433" s="8" t="s">
        <v>208</v>
      </c>
      <c r="N433" s="8" t="s">
        <v>208</v>
      </c>
      <c r="O433" s="8" t="s">
        <v>221</v>
      </c>
      <c r="Q433" t="s">
        <v>1200</v>
      </c>
      <c r="R433" t="s">
        <v>1202</v>
      </c>
      <c r="U433" t="s">
        <v>1204</v>
      </c>
      <c r="V433" t="s">
        <v>140</v>
      </c>
      <c r="W433" t="s">
        <v>774</v>
      </c>
      <c r="X433" t="s">
        <v>774</v>
      </c>
      <c r="Y433" t="s">
        <v>1082</v>
      </c>
      <c r="Z433" t="s">
        <v>775</v>
      </c>
      <c r="AA433" t="s">
        <v>1164</v>
      </c>
      <c r="AB433" t="s">
        <v>301</v>
      </c>
      <c r="AC433" t="s">
        <v>312</v>
      </c>
      <c r="AD433" t="s">
        <v>2258</v>
      </c>
      <c r="AE433" t="s">
        <v>2259</v>
      </c>
      <c r="AG433" s="8" t="s">
        <v>218</v>
      </c>
      <c r="AH433" t="s">
        <v>2256</v>
      </c>
      <c r="AI433" s="8" t="s">
        <v>221</v>
      </c>
      <c r="AJ433" s="9" t="s">
        <v>218</v>
      </c>
      <c r="AK433" t="s">
        <v>234</v>
      </c>
      <c r="AL433" s="8" t="s">
        <v>221</v>
      </c>
      <c r="AM433" s="9" t="s">
        <v>218</v>
      </c>
      <c r="AN433" s="8" t="s">
        <v>221</v>
      </c>
      <c r="AO433" s="8" t="s">
        <v>222</v>
      </c>
      <c r="AP433" s="8">
        <v>0</v>
      </c>
      <c r="AQ433" s="8">
        <v>0</v>
      </c>
      <c r="AR433" s="8">
        <v>0</v>
      </c>
      <c r="AS433" s="8">
        <v>0</v>
      </c>
      <c r="AT433" s="8">
        <v>0</v>
      </c>
      <c r="AU433" s="8">
        <v>0</v>
      </c>
      <c r="AV433" s="8">
        <v>0</v>
      </c>
      <c r="AW433" s="8">
        <v>0</v>
      </c>
      <c r="AX433" s="8"/>
      <c r="AY433" s="8"/>
      <c r="AZ433">
        <v>4</v>
      </c>
      <c r="BA433" t="s">
        <v>2272</v>
      </c>
      <c r="BB433" t="s">
        <v>2274</v>
      </c>
    </row>
    <row r="434" spans="1:54">
      <c r="A434" s="6">
        <v>45807</v>
      </c>
      <c r="B434" s="7" t="s">
        <v>1211</v>
      </c>
      <c r="C434" t="s">
        <v>205</v>
      </c>
      <c r="D434" t="s">
        <v>2254</v>
      </c>
      <c r="G434" t="s">
        <v>207</v>
      </c>
      <c r="H434" s="8" t="s">
        <v>208</v>
      </c>
      <c r="I434" s="8" t="s">
        <v>208</v>
      </c>
      <c r="J434" s="8" t="s">
        <v>208</v>
      </c>
      <c r="K434" s="8" t="s">
        <v>208</v>
      </c>
      <c r="L434" s="8" t="s">
        <v>208</v>
      </c>
      <c r="M434" s="8" t="s">
        <v>208</v>
      </c>
      <c r="N434" s="8" t="s">
        <v>208</v>
      </c>
      <c r="O434" s="8" t="s">
        <v>221</v>
      </c>
      <c r="Q434" t="s">
        <v>1208</v>
      </c>
      <c r="R434" t="s">
        <v>1210</v>
      </c>
      <c r="U434" t="s">
        <v>1212</v>
      </c>
      <c r="V434" t="s">
        <v>140</v>
      </c>
      <c r="W434" t="s">
        <v>774</v>
      </c>
      <c r="X434" t="s">
        <v>774</v>
      </c>
      <c r="Y434" t="s">
        <v>1082</v>
      </c>
      <c r="Z434" t="s">
        <v>775</v>
      </c>
      <c r="AA434" t="s">
        <v>1164</v>
      </c>
      <c r="AB434" t="s">
        <v>301</v>
      </c>
      <c r="AC434" t="s">
        <v>312</v>
      </c>
      <c r="AD434" t="s">
        <v>2258</v>
      </c>
      <c r="AE434" t="s">
        <v>2259</v>
      </c>
      <c r="AG434" s="8" t="s">
        <v>218</v>
      </c>
      <c r="AH434" t="s">
        <v>2256</v>
      </c>
      <c r="AI434" s="8" t="s">
        <v>221</v>
      </c>
      <c r="AJ434" s="9" t="s">
        <v>218</v>
      </c>
      <c r="AK434" t="s">
        <v>1213</v>
      </c>
      <c r="AL434" s="8" t="s">
        <v>221</v>
      </c>
      <c r="AM434" s="9" t="s">
        <v>218</v>
      </c>
      <c r="AN434" s="8" t="s">
        <v>221</v>
      </c>
      <c r="AO434" s="8" t="s">
        <v>222</v>
      </c>
      <c r="AP434" s="8">
        <v>0</v>
      </c>
      <c r="AQ434" s="8">
        <v>0</v>
      </c>
      <c r="AR434" s="8">
        <v>0</v>
      </c>
      <c r="AS434" s="8">
        <v>0</v>
      </c>
      <c r="AT434" s="8">
        <v>0</v>
      </c>
      <c r="AU434" s="8">
        <v>0</v>
      </c>
      <c r="AV434" s="8">
        <v>0</v>
      </c>
      <c r="AW434" s="8">
        <v>0</v>
      </c>
      <c r="AX434" s="8"/>
      <c r="AY434" s="8"/>
      <c r="AZ434">
        <v>4</v>
      </c>
      <c r="BA434" t="s">
        <v>2272</v>
      </c>
      <c r="BB434" t="s">
        <v>2275</v>
      </c>
    </row>
    <row r="435" spans="1:54">
      <c r="A435" s="6">
        <v>45807</v>
      </c>
      <c r="B435" s="7" t="s">
        <v>1228</v>
      </c>
      <c r="C435" t="s">
        <v>205</v>
      </c>
      <c r="D435" t="s">
        <v>2254</v>
      </c>
      <c r="G435" t="s">
        <v>207</v>
      </c>
      <c r="H435" s="8" t="s">
        <v>208</v>
      </c>
      <c r="I435" s="8" t="s">
        <v>208</v>
      </c>
      <c r="J435" s="8" t="s">
        <v>208</v>
      </c>
      <c r="K435" s="8" t="s">
        <v>208</v>
      </c>
      <c r="L435" s="8" t="s">
        <v>208</v>
      </c>
      <c r="M435" s="8" t="s">
        <v>208</v>
      </c>
      <c r="N435" s="8" t="s">
        <v>208</v>
      </c>
      <c r="O435" s="8" t="s">
        <v>221</v>
      </c>
      <c r="Q435" t="s">
        <v>1225</v>
      </c>
      <c r="R435" t="s">
        <v>1227</v>
      </c>
      <c r="U435" t="s">
        <v>1229</v>
      </c>
      <c r="V435" t="s">
        <v>140</v>
      </c>
      <c r="W435" t="s">
        <v>774</v>
      </c>
      <c r="X435" t="s">
        <v>774</v>
      </c>
      <c r="Y435" t="s">
        <v>1082</v>
      </c>
      <c r="Z435" t="s">
        <v>775</v>
      </c>
      <c r="AA435" t="s">
        <v>1164</v>
      </c>
      <c r="AB435" t="s">
        <v>301</v>
      </c>
      <c r="AC435" t="s">
        <v>312</v>
      </c>
      <c r="AD435" t="s">
        <v>2258</v>
      </c>
      <c r="AE435" t="s">
        <v>2259</v>
      </c>
      <c r="AG435" s="8" t="s">
        <v>218</v>
      </c>
      <c r="AH435" t="s">
        <v>2256</v>
      </c>
      <c r="AI435" s="8" t="s">
        <v>221</v>
      </c>
      <c r="AJ435" s="9" t="s">
        <v>218</v>
      </c>
      <c r="AK435" t="s">
        <v>234</v>
      </c>
      <c r="AL435" s="8" t="s">
        <v>221</v>
      </c>
      <c r="AM435" s="9" t="s">
        <v>218</v>
      </c>
      <c r="AN435" s="8" t="s">
        <v>221</v>
      </c>
      <c r="AO435" s="8" t="s">
        <v>222</v>
      </c>
      <c r="AP435" s="8">
        <v>0</v>
      </c>
      <c r="AQ435" s="8">
        <v>0</v>
      </c>
      <c r="AR435" s="8">
        <v>0</v>
      </c>
      <c r="AS435" s="8">
        <v>0</v>
      </c>
      <c r="AT435" s="8">
        <v>0</v>
      </c>
      <c r="AU435" s="8">
        <v>0</v>
      </c>
      <c r="AV435" s="8">
        <v>0</v>
      </c>
      <c r="AW435" s="8">
        <v>0</v>
      </c>
      <c r="AX435" s="8"/>
      <c r="AY435" s="8"/>
      <c r="AZ435">
        <v>4</v>
      </c>
      <c r="BA435" t="s">
        <v>2272</v>
      </c>
      <c r="BB435" t="s">
        <v>2276</v>
      </c>
    </row>
    <row r="436" spans="1:54">
      <c r="A436" s="6">
        <v>45807</v>
      </c>
      <c r="B436" s="7" t="s">
        <v>2224</v>
      </c>
      <c r="C436" t="s">
        <v>205</v>
      </c>
      <c r="D436" t="s">
        <v>2254</v>
      </c>
      <c r="G436" t="s">
        <v>207</v>
      </c>
      <c r="H436" s="8" t="s">
        <v>208</v>
      </c>
      <c r="I436" s="8" t="s">
        <v>208</v>
      </c>
      <c r="J436" s="8" t="s">
        <v>208</v>
      </c>
      <c r="K436" s="8" t="s">
        <v>208</v>
      </c>
      <c r="L436" s="8" t="s">
        <v>208</v>
      </c>
      <c r="M436" s="8" t="s">
        <v>208</v>
      </c>
      <c r="N436" s="8" t="s">
        <v>208</v>
      </c>
      <c r="O436" s="8" t="s">
        <v>221</v>
      </c>
      <c r="Q436" t="s">
        <v>2221</v>
      </c>
      <c r="R436" t="s">
        <v>2223</v>
      </c>
      <c r="U436" t="s">
        <v>1251</v>
      </c>
      <c r="V436" t="s">
        <v>140</v>
      </c>
      <c r="W436" t="s">
        <v>774</v>
      </c>
      <c r="X436" t="s">
        <v>774</v>
      </c>
      <c r="Y436" t="s">
        <v>1082</v>
      </c>
      <c r="Z436" t="s">
        <v>775</v>
      </c>
      <c r="AA436" t="s">
        <v>1164</v>
      </c>
      <c r="AB436" t="s">
        <v>301</v>
      </c>
      <c r="AC436" t="s">
        <v>312</v>
      </c>
      <c r="AD436" t="s">
        <v>2258</v>
      </c>
      <c r="AE436" t="s">
        <v>2259</v>
      </c>
      <c r="AG436" s="8" t="s">
        <v>218</v>
      </c>
      <c r="AH436" t="s">
        <v>2256</v>
      </c>
      <c r="AI436" s="8" t="s">
        <v>221</v>
      </c>
      <c r="AJ436" s="9" t="s">
        <v>218</v>
      </c>
      <c r="AK436" t="s">
        <v>767</v>
      </c>
      <c r="AL436" s="8" t="s">
        <v>221</v>
      </c>
      <c r="AM436" s="9" t="s">
        <v>218</v>
      </c>
      <c r="AN436" s="8" t="s">
        <v>221</v>
      </c>
      <c r="AO436" s="8" t="s">
        <v>222</v>
      </c>
      <c r="AP436" s="8">
        <v>0</v>
      </c>
      <c r="AQ436" s="8">
        <v>0</v>
      </c>
      <c r="AR436" s="9">
        <v>7</v>
      </c>
      <c r="AS436" s="8">
        <v>0</v>
      </c>
      <c r="AT436" s="8">
        <v>0</v>
      </c>
      <c r="AU436" s="8">
        <v>0</v>
      </c>
      <c r="AV436" s="8">
        <v>0</v>
      </c>
      <c r="AW436" s="9">
        <v>7</v>
      </c>
      <c r="AX436" s="8"/>
      <c r="AY436" s="8"/>
      <c r="AZ436">
        <v>4</v>
      </c>
      <c r="BA436" t="s">
        <v>2272</v>
      </c>
      <c r="BB436" t="s">
        <v>2277</v>
      </c>
    </row>
    <row r="437" spans="1:54">
      <c r="A437" s="6">
        <v>45807</v>
      </c>
      <c r="B437" s="7" t="s">
        <v>1243</v>
      </c>
      <c r="C437" t="s">
        <v>205</v>
      </c>
      <c r="D437" t="s">
        <v>2254</v>
      </c>
      <c r="G437" t="s">
        <v>207</v>
      </c>
      <c r="H437" s="8" t="s">
        <v>208</v>
      </c>
      <c r="I437" s="8" t="s">
        <v>208</v>
      </c>
      <c r="J437" s="8" t="s">
        <v>208</v>
      </c>
      <c r="K437" s="8" t="s">
        <v>208</v>
      </c>
      <c r="L437" s="8" t="s">
        <v>208</v>
      </c>
      <c r="M437" s="8" t="s">
        <v>208</v>
      </c>
      <c r="N437" s="8" t="s">
        <v>208</v>
      </c>
      <c r="O437" s="8" t="s">
        <v>221</v>
      </c>
      <c r="Q437" t="s">
        <v>1240</v>
      </c>
      <c r="R437" t="s">
        <v>1242</v>
      </c>
      <c r="U437" t="s">
        <v>1244</v>
      </c>
      <c r="V437" t="s">
        <v>140</v>
      </c>
      <c r="W437" t="s">
        <v>774</v>
      </c>
      <c r="X437" t="s">
        <v>774</v>
      </c>
      <c r="Y437" t="s">
        <v>1082</v>
      </c>
      <c r="Z437" t="s">
        <v>775</v>
      </c>
      <c r="AA437" t="s">
        <v>1164</v>
      </c>
      <c r="AB437" t="s">
        <v>301</v>
      </c>
      <c r="AC437" t="s">
        <v>312</v>
      </c>
      <c r="AD437" t="s">
        <v>2258</v>
      </c>
      <c r="AE437" t="s">
        <v>2259</v>
      </c>
      <c r="AG437" s="8" t="s">
        <v>218</v>
      </c>
      <c r="AH437" t="s">
        <v>2256</v>
      </c>
      <c r="AI437" s="8" t="s">
        <v>221</v>
      </c>
      <c r="AJ437" s="9" t="s">
        <v>218</v>
      </c>
      <c r="AK437" t="s">
        <v>767</v>
      </c>
      <c r="AL437" s="8" t="s">
        <v>221</v>
      </c>
      <c r="AM437" s="9" t="s">
        <v>218</v>
      </c>
      <c r="AN437" s="8" t="s">
        <v>221</v>
      </c>
      <c r="AO437" s="8" t="s">
        <v>222</v>
      </c>
      <c r="AP437" s="8">
        <v>0</v>
      </c>
      <c r="AQ437" s="8">
        <v>0</v>
      </c>
      <c r="AR437" s="8">
        <v>0</v>
      </c>
      <c r="AS437" s="8">
        <v>0</v>
      </c>
      <c r="AT437" s="8">
        <v>0</v>
      </c>
      <c r="AU437" s="8">
        <v>0</v>
      </c>
      <c r="AV437" s="8">
        <v>0</v>
      </c>
      <c r="AW437" s="8">
        <v>0</v>
      </c>
      <c r="AX437" s="8"/>
      <c r="AY437" s="8"/>
      <c r="AZ437">
        <v>4</v>
      </c>
      <c r="BA437" t="s">
        <v>2272</v>
      </c>
      <c r="BB437" t="s">
        <v>2278</v>
      </c>
    </row>
    <row r="438" spans="1:54">
      <c r="A438" s="6">
        <v>45807</v>
      </c>
      <c r="B438" s="7" t="s">
        <v>1250</v>
      </c>
      <c r="C438" t="s">
        <v>205</v>
      </c>
      <c r="D438" t="s">
        <v>2254</v>
      </c>
      <c r="G438" t="s">
        <v>207</v>
      </c>
      <c r="H438" s="8" t="s">
        <v>208</v>
      </c>
      <c r="I438" s="8" t="s">
        <v>208</v>
      </c>
      <c r="J438" s="8" t="s">
        <v>208</v>
      </c>
      <c r="K438" s="8" t="s">
        <v>208</v>
      </c>
      <c r="L438" s="8" t="s">
        <v>208</v>
      </c>
      <c r="M438" s="8" t="s">
        <v>208</v>
      </c>
      <c r="N438" s="8" t="s">
        <v>208</v>
      </c>
      <c r="O438" s="8" t="s">
        <v>221</v>
      </c>
      <c r="Q438" t="s">
        <v>1247</v>
      </c>
      <c r="R438" t="s">
        <v>1249</v>
      </c>
      <c r="U438" t="s">
        <v>1251</v>
      </c>
      <c r="V438" t="s">
        <v>140</v>
      </c>
      <c r="W438" t="s">
        <v>774</v>
      </c>
      <c r="X438" t="s">
        <v>774</v>
      </c>
      <c r="Y438" t="s">
        <v>1082</v>
      </c>
      <c r="Z438" t="s">
        <v>775</v>
      </c>
      <c r="AA438" t="s">
        <v>1164</v>
      </c>
      <c r="AB438" t="s">
        <v>301</v>
      </c>
      <c r="AC438" t="s">
        <v>312</v>
      </c>
      <c r="AD438" t="s">
        <v>2258</v>
      </c>
      <c r="AE438" t="s">
        <v>2259</v>
      </c>
      <c r="AG438" s="8" t="s">
        <v>218</v>
      </c>
      <c r="AH438" t="s">
        <v>2256</v>
      </c>
      <c r="AI438" s="8" t="s">
        <v>221</v>
      </c>
      <c r="AJ438" s="9" t="s">
        <v>218</v>
      </c>
      <c r="AK438" t="s">
        <v>767</v>
      </c>
      <c r="AL438" s="8" t="s">
        <v>221</v>
      </c>
      <c r="AM438" s="9" t="s">
        <v>218</v>
      </c>
      <c r="AN438" s="8" t="s">
        <v>221</v>
      </c>
      <c r="AO438" s="8" t="s">
        <v>222</v>
      </c>
      <c r="AP438" s="8">
        <v>0</v>
      </c>
      <c r="AQ438" s="8">
        <v>0</v>
      </c>
      <c r="AR438" s="8">
        <v>0</v>
      </c>
      <c r="AS438" s="8">
        <v>0</v>
      </c>
      <c r="AT438" s="8">
        <v>0</v>
      </c>
      <c r="AU438" s="8">
        <v>0</v>
      </c>
      <c r="AV438" s="8">
        <v>0</v>
      </c>
      <c r="AW438" s="8">
        <v>0</v>
      </c>
      <c r="AX438" s="8"/>
      <c r="AY438" s="8"/>
      <c r="AZ438">
        <v>4</v>
      </c>
      <c r="BA438" t="s">
        <v>2272</v>
      </c>
      <c r="BB438" t="s">
        <v>2279</v>
      </c>
    </row>
    <row r="439" spans="1:54">
      <c r="A439" s="6">
        <v>45807</v>
      </c>
      <c r="B439" s="7" t="s">
        <v>1172</v>
      </c>
      <c r="C439" t="s">
        <v>387</v>
      </c>
      <c r="D439" t="s">
        <v>2254</v>
      </c>
      <c r="G439" t="s">
        <v>207</v>
      </c>
      <c r="H439" s="8" t="s">
        <v>208</v>
      </c>
      <c r="I439" s="8" t="s">
        <v>208</v>
      </c>
      <c r="J439" s="8" t="s">
        <v>208</v>
      </c>
      <c r="K439" s="8" t="s">
        <v>208</v>
      </c>
      <c r="L439" s="8" t="s">
        <v>208</v>
      </c>
      <c r="M439" s="8" t="s">
        <v>208</v>
      </c>
      <c r="N439" s="8" t="s">
        <v>208</v>
      </c>
      <c r="O439" s="8" t="s">
        <v>221</v>
      </c>
      <c r="Q439" t="s">
        <v>2280</v>
      </c>
      <c r="R439" t="s">
        <v>1174</v>
      </c>
      <c r="U439" t="s">
        <v>2281</v>
      </c>
      <c r="V439" t="s">
        <v>662</v>
      </c>
      <c r="W439" t="s">
        <v>298</v>
      </c>
      <c r="X439" t="s">
        <v>298</v>
      </c>
      <c r="Y439" t="s">
        <v>1103</v>
      </c>
      <c r="Z439" t="s">
        <v>299</v>
      </c>
      <c r="AA439" t="s">
        <v>663</v>
      </c>
      <c r="AB439" t="s">
        <v>301</v>
      </c>
      <c r="AC439" t="s">
        <v>312</v>
      </c>
      <c r="AD439" t="s">
        <v>2282</v>
      </c>
      <c r="AE439" t="s">
        <v>663</v>
      </c>
      <c r="AG439" s="8" t="s">
        <v>218</v>
      </c>
      <c r="AH439" t="s">
        <v>2283</v>
      </c>
      <c r="AI439" s="8" t="s">
        <v>221</v>
      </c>
      <c r="AJ439" s="9" t="s">
        <v>218</v>
      </c>
      <c r="AK439" t="s">
        <v>234</v>
      </c>
      <c r="AL439" s="8" t="s">
        <v>221</v>
      </c>
      <c r="AM439" s="9" t="s">
        <v>218</v>
      </c>
      <c r="AN439" s="8" t="s">
        <v>221</v>
      </c>
      <c r="AO439" s="8" t="s">
        <v>222</v>
      </c>
      <c r="AP439" s="8">
        <v>0</v>
      </c>
      <c r="AQ439" s="8">
        <v>0</v>
      </c>
      <c r="AR439" s="8">
        <v>0</v>
      </c>
      <c r="AS439" s="8">
        <v>0</v>
      </c>
      <c r="AT439" s="8">
        <v>0</v>
      </c>
      <c r="AU439" s="8">
        <v>0</v>
      </c>
      <c r="AV439" s="8">
        <v>0</v>
      </c>
      <c r="AW439" s="8">
        <v>0</v>
      </c>
      <c r="AX439" s="8"/>
      <c r="AY439" s="9" t="s">
        <v>1178</v>
      </c>
      <c r="AZ439">
        <v>4</v>
      </c>
      <c r="BA439" t="s">
        <v>2284</v>
      </c>
      <c r="BB439" t="s">
        <v>2285</v>
      </c>
    </row>
    <row r="440" spans="1:54">
      <c r="A440" s="6">
        <v>45807</v>
      </c>
      <c r="B440" s="7" t="s">
        <v>2008</v>
      </c>
      <c r="C440" t="s">
        <v>205</v>
      </c>
      <c r="D440" t="s">
        <v>2286</v>
      </c>
      <c r="G440" t="s">
        <v>207</v>
      </c>
      <c r="H440" s="8" t="s">
        <v>208</v>
      </c>
      <c r="I440" s="8" t="s">
        <v>208</v>
      </c>
      <c r="J440" s="8" t="s">
        <v>208</v>
      </c>
      <c r="K440" s="8" t="s">
        <v>208</v>
      </c>
      <c r="L440" s="8" t="s">
        <v>208</v>
      </c>
      <c r="M440" s="8" t="s">
        <v>208</v>
      </c>
      <c r="N440" s="8" t="s">
        <v>208</v>
      </c>
      <c r="O440" s="8" t="s">
        <v>208</v>
      </c>
      <c r="Q440" t="s">
        <v>2010</v>
      </c>
      <c r="R440" t="s">
        <v>2011</v>
      </c>
      <c r="U440" t="s">
        <v>2012</v>
      </c>
      <c r="V440" t="s">
        <v>140</v>
      </c>
      <c r="W440" t="s">
        <v>212</v>
      </c>
      <c r="X440" t="s">
        <v>212</v>
      </c>
      <c r="Y440" t="s">
        <v>275</v>
      </c>
      <c r="Z440" t="s">
        <v>213</v>
      </c>
      <c r="AA440" t="s">
        <v>214</v>
      </c>
      <c r="AB440" t="s">
        <v>758</v>
      </c>
      <c r="AC440" t="s">
        <v>285</v>
      </c>
      <c r="AD440" t="s">
        <v>2255</v>
      </c>
      <c r="AE440" t="s">
        <v>217</v>
      </c>
      <c r="AG440" s="8" t="s">
        <v>218</v>
      </c>
      <c r="AH440" t="s">
        <v>2256</v>
      </c>
      <c r="AI440" s="8" t="s">
        <v>221</v>
      </c>
      <c r="AJ440" s="9" t="s">
        <v>218</v>
      </c>
      <c r="AK440" t="s">
        <v>234</v>
      </c>
      <c r="AL440" s="8" t="s">
        <v>221</v>
      </c>
      <c r="AM440" s="9" t="s">
        <v>218</v>
      </c>
      <c r="AN440" s="8" t="s">
        <v>221</v>
      </c>
      <c r="AO440" s="8" t="s">
        <v>222</v>
      </c>
      <c r="AP440" s="8">
        <v>0</v>
      </c>
      <c r="AQ440" s="8">
        <v>0</v>
      </c>
      <c r="AR440" s="8">
        <v>0</v>
      </c>
      <c r="AS440" s="8">
        <v>0</v>
      </c>
      <c r="AT440" s="8">
        <v>0</v>
      </c>
      <c r="AU440" s="8">
        <v>0</v>
      </c>
      <c r="AV440" s="8">
        <v>0</v>
      </c>
      <c r="AW440" s="8">
        <v>0</v>
      </c>
      <c r="AX440" s="8"/>
      <c r="AY440" s="9" t="s">
        <v>2287</v>
      </c>
      <c r="AZ440">
        <v>2</v>
      </c>
      <c r="BA440" t="s">
        <v>2288</v>
      </c>
      <c r="BB440" t="s">
        <v>2015</v>
      </c>
    </row>
    <row r="441" spans="1:54">
      <c r="A441" s="6">
        <v>45807</v>
      </c>
      <c r="B441" s="7" t="s">
        <v>2289</v>
      </c>
      <c r="C441" t="s">
        <v>205</v>
      </c>
      <c r="D441" t="s">
        <v>2286</v>
      </c>
      <c r="G441" t="s">
        <v>207</v>
      </c>
      <c r="H441" s="8" t="s">
        <v>208</v>
      </c>
      <c r="I441" s="8" t="s">
        <v>208</v>
      </c>
      <c r="J441" s="8" t="s">
        <v>208</v>
      </c>
      <c r="K441" s="8" t="s">
        <v>208</v>
      </c>
      <c r="L441" s="8" t="s">
        <v>208</v>
      </c>
      <c r="M441" s="8" t="s">
        <v>208</v>
      </c>
      <c r="N441" s="8" t="s">
        <v>208</v>
      </c>
      <c r="O441" s="8" t="s">
        <v>208</v>
      </c>
      <c r="Q441" t="s">
        <v>2290</v>
      </c>
      <c r="R441" t="s">
        <v>2291</v>
      </c>
      <c r="U441" t="s">
        <v>2012</v>
      </c>
      <c r="V441" t="s">
        <v>140</v>
      </c>
      <c r="W441" t="s">
        <v>212</v>
      </c>
      <c r="Y441" t="s">
        <v>275</v>
      </c>
      <c r="AA441" t="s">
        <v>214</v>
      </c>
      <c r="AB441" t="s">
        <v>242</v>
      </c>
      <c r="AD441" t="s">
        <v>2255</v>
      </c>
      <c r="AE441" t="s">
        <v>217</v>
      </c>
      <c r="AG441" s="8" t="s">
        <v>218</v>
      </c>
      <c r="AH441" t="s">
        <v>2256</v>
      </c>
      <c r="AI441" s="8" t="s">
        <v>221</v>
      </c>
      <c r="AJ441" s="9" t="s">
        <v>218</v>
      </c>
      <c r="AK441" t="s">
        <v>2292</v>
      </c>
      <c r="AL441" s="8" t="s">
        <v>221</v>
      </c>
      <c r="AM441" s="9" t="s">
        <v>218</v>
      </c>
      <c r="AN441" s="8" t="s">
        <v>221</v>
      </c>
      <c r="AO441" s="8" t="s">
        <v>222</v>
      </c>
      <c r="AP441" s="8">
        <v>0</v>
      </c>
      <c r="AQ441" s="8">
        <v>0</v>
      </c>
      <c r="AR441" s="8">
        <v>0</v>
      </c>
      <c r="AS441" s="8">
        <v>0</v>
      </c>
      <c r="AT441" s="8">
        <v>0</v>
      </c>
      <c r="AU441" s="8">
        <v>0</v>
      </c>
      <c r="AV441" s="8">
        <v>0</v>
      </c>
      <c r="AW441" s="8">
        <v>0</v>
      </c>
      <c r="AX441" s="8"/>
      <c r="AY441" s="8"/>
      <c r="AZ441">
        <v>0</v>
      </c>
    </row>
    <row r="442" spans="1:54">
      <c r="A442" s="6">
        <v>45807</v>
      </c>
      <c r="B442" s="7" t="s">
        <v>1565</v>
      </c>
      <c r="C442" t="s">
        <v>205</v>
      </c>
      <c r="D442" t="s">
        <v>2286</v>
      </c>
      <c r="G442" t="s">
        <v>207</v>
      </c>
      <c r="H442" s="8" t="s">
        <v>208</v>
      </c>
      <c r="I442" s="8" t="s">
        <v>208</v>
      </c>
      <c r="J442" s="8" t="s">
        <v>208</v>
      </c>
      <c r="K442" s="8" t="s">
        <v>208</v>
      </c>
      <c r="L442" s="8" t="s">
        <v>208</v>
      </c>
      <c r="M442" s="8" t="s">
        <v>208</v>
      </c>
      <c r="N442" s="8" t="s">
        <v>208</v>
      </c>
      <c r="O442" s="8" t="s">
        <v>208</v>
      </c>
      <c r="Q442" t="s">
        <v>1562</v>
      </c>
      <c r="R442" t="s">
        <v>1564</v>
      </c>
      <c r="U442" t="s">
        <v>1566</v>
      </c>
      <c r="V442" t="s">
        <v>140</v>
      </c>
      <c r="W442" t="s">
        <v>774</v>
      </c>
      <c r="X442" t="s">
        <v>212</v>
      </c>
      <c r="Y442" t="s">
        <v>1082</v>
      </c>
      <c r="Z442" t="s">
        <v>213</v>
      </c>
      <c r="AA442" t="s">
        <v>1164</v>
      </c>
      <c r="AB442" t="s">
        <v>312</v>
      </c>
      <c r="AC442" t="s">
        <v>285</v>
      </c>
      <c r="AD442" t="s">
        <v>2258</v>
      </c>
      <c r="AE442" t="s">
        <v>2259</v>
      </c>
      <c r="AG442" s="8" t="s">
        <v>218</v>
      </c>
      <c r="AH442" t="s">
        <v>2256</v>
      </c>
      <c r="AI442" s="8" t="s">
        <v>221</v>
      </c>
      <c r="AJ442" s="9" t="s">
        <v>218</v>
      </c>
      <c r="AK442" t="s">
        <v>234</v>
      </c>
      <c r="AL442" s="8" t="s">
        <v>221</v>
      </c>
      <c r="AM442" s="9" t="s">
        <v>218</v>
      </c>
      <c r="AN442" s="8" t="s">
        <v>221</v>
      </c>
      <c r="AO442" s="8" t="s">
        <v>222</v>
      </c>
      <c r="AP442" s="8">
        <v>0</v>
      </c>
      <c r="AQ442" s="8">
        <v>0</v>
      </c>
      <c r="AR442" s="9">
        <v>9</v>
      </c>
      <c r="AS442" s="8">
        <v>0</v>
      </c>
      <c r="AT442" s="8">
        <v>0</v>
      </c>
      <c r="AU442" s="8">
        <v>0</v>
      </c>
      <c r="AV442" s="8">
        <v>0</v>
      </c>
      <c r="AW442" s="9">
        <v>9</v>
      </c>
      <c r="AX442" s="8"/>
      <c r="AY442" s="9" t="s">
        <v>2293</v>
      </c>
      <c r="AZ442">
        <v>2</v>
      </c>
      <c r="BA442" t="s">
        <v>2294</v>
      </c>
      <c r="BB442" t="s">
        <v>1569</v>
      </c>
    </row>
    <row r="443" spans="1:54">
      <c r="A443" s="6">
        <v>45807</v>
      </c>
      <c r="B443" s="7" t="s">
        <v>2295</v>
      </c>
      <c r="C443" t="s">
        <v>205</v>
      </c>
      <c r="D443" t="s">
        <v>2286</v>
      </c>
      <c r="G443" t="s">
        <v>207</v>
      </c>
      <c r="H443" s="8" t="s">
        <v>208</v>
      </c>
      <c r="I443" s="8" t="s">
        <v>208</v>
      </c>
      <c r="J443" s="8" t="s">
        <v>208</v>
      </c>
      <c r="K443" s="8" t="s">
        <v>208</v>
      </c>
      <c r="L443" s="8" t="s">
        <v>208</v>
      </c>
      <c r="M443" s="8" t="s">
        <v>208</v>
      </c>
      <c r="N443" s="8" t="s">
        <v>208</v>
      </c>
      <c r="O443" s="8" t="s">
        <v>208</v>
      </c>
      <c r="Q443" t="s">
        <v>2296</v>
      </c>
      <c r="R443" t="s">
        <v>2297</v>
      </c>
      <c r="U443" t="s">
        <v>2298</v>
      </c>
      <c r="V443" t="s">
        <v>140</v>
      </c>
      <c r="W443" t="s">
        <v>774</v>
      </c>
      <c r="Y443" t="s">
        <v>1082</v>
      </c>
      <c r="AA443" t="s">
        <v>1164</v>
      </c>
      <c r="AB443" t="s">
        <v>312</v>
      </c>
      <c r="AD443" t="s">
        <v>2258</v>
      </c>
      <c r="AE443" t="s">
        <v>2259</v>
      </c>
      <c r="AG443" s="8" t="s">
        <v>218</v>
      </c>
      <c r="AH443" t="s">
        <v>2256</v>
      </c>
      <c r="AI443" s="8" t="s">
        <v>221</v>
      </c>
      <c r="AJ443" s="9" t="s">
        <v>218</v>
      </c>
      <c r="AK443" t="s">
        <v>2299</v>
      </c>
      <c r="AL443" s="8" t="s">
        <v>221</v>
      </c>
      <c r="AM443" s="9" t="s">
        <v>218</v>
      </c>
      <c r="AN443" s="8" t="s">
        <v>221</v>
      </c>
      <c r="AO443" s="8" t="s">
        <v>222</v>
      </c>
      <c r="AP443" s="8">
        <v>0</v>
      </c>
      <c r="AQ443" s="8">
        <v>0</v>
      </c>
      <c r="AR443" s="8">
        <v>0</v>
      </c>
      <c r="AS443" s="8">
        <v>0</v>
      </c>
      <c r="AT443" s="8">
        <v>0</v>
      </c>
      <c r="AU443" s="8">
        <v>0</v>
      </c>
      <c r="AV443" s="8">
        <v>0</v>
      </c>
      <c r="AW443" s="8">
        <v>0</v>
      </c>
      <c r="AX443" s="8"/>
      <c r="AY443" s="8"/>
      <c r="AZ443">
        <v>0</v>
      </c>
    </row>
    <row r="444" spans="1:54">
      <c r="A444" s="6">
        <v>45807</v>
      </c>
      <c r="B444" s="7" t="s">
        <v>2300</v>
      </c>
      <c r="C444" t="s">
        <v>205</v>
      </c>
      <c r="D444" t="s">
        <v>2286</v>
      </c>
      <c r="G444" t="s">
        <v>207</v>
      </c>
      <c r="H444" s="8" t="s">
        <v>208</v>
      </c>
      <c r="I444" s="8" t="s">
        <v>208</v>
      </c>
      <c r="J444" s="8" t="s">
        <v>208</v>
      </c>
      <c r="K444" s="8" t="s">
        <v>208</v>
      </c>
      <c r="L444" s="8" t="s">
        <v>208</v>
      </c>
      <c r="M444" s="8" t="s">
        <v>208</v>
      </c>
      <c r="N444" s="8" t="s">
        <v>208</v>
      </c>
      <c r="O444" s="8" t="s">
        <v>208</v>
      </c>
      <c r="Q444" t="s">
        <v>2301</v>
      </c>
      <c r="R444" t="s">
        <v>2302</v>
      </c>
      <c r="U444" t="s">
        <v>2303</v>
      </c>
      <c r="V444" t="s">
        <v>140</v>
      </c>
      <c r="W444" t="s">
        <v>774</v>
      </c>
      <c r="X444" t="s">
        <v>774</v>
      </c>
      <c r="Y444" t="s">
        <v>1082</v>
      </c>
      <c r="Z444" t="s">
        <v>775</v>
      </c>
      <c r="AA444" t="s">
        <v>1164</v>
      </c>
      <c r="AB444" t="s">
        <v>391</v>
      </c>
      <c r="AC444" t="s">
        <v>425</v>
      </c>
      <c r="AD444" t="s">
        <v>2258</v>
      </c>
      <c r="AE444" t="s">
        <v>2259</v>
      </c>
      <c r="AG444" s="8" t="s">
        <v>218</v>
      </c>
      <c r="AH444" t="s">
        <v>2256</v>
      </c>
      <c r="AI444" s="8" t="s">
        <v>221</v>
      </c>
      <c r="AJ444" s="9" t="s">
        <v>218</v>
      </c>
      <c r="AK444" t="s">
        <v>234</v>
      </c>
      <c r="AL444" s="8" t="s">
        <v>221</v>
      </c>
      <c r="AM444" s="9" t="s">
        <v>218</v>
      </c>
      <c r="AN444" s="8" t="s">
        <v>221</v>
      </c>
      <c r="AO444" s="8" t="s">
        <v>222</v>
      </c>
      <c r="AP444" s="8">
        <v>0</v>
      </c>
      <c r="AQ444" s="8">
        <v>0</v>
      </c>
      <c r="AR444" s="9">
        <v>12</v>
      </c>
      <c r="AS444" s="8">
        <v>0</v>
      </c>
      <c r="AT444" s="8">
        <v>0</v>
      </c>
      <c r="AU444" s="8">
        <v>0</v>
      </c>
      <c r="AV444" s="8">
        <v>0</v>
      </c>
      <c r="AW444" s="9">
        <v>12</v>
      </c>
      <c r="AX444" s="9" t="s">
        <v>2304</v>
      </c>
      <c r="AY444" s="8"/>
      <c r="AZ444">
        <v>2</v>
      </c>
      <c r="BA444" t="s">
        <v>2305</v>
      </c>
      <c r="BB444" t="s">
        <v>2306</v>
      </c>
    </row>
    <row r="445" spans="1:54">
      <c r="A445" s="6">
        <v>45807</v>
      </c>
      <c r="B445" s="7" t="s">
        <v>1561</v>
      </c>
      <c r="C445" t="s">
        <v>205</v>
      </c>
      <c r="D445" t="s">
        <v>2286</v>
      </c>
      <c r="G445" t="s">
        <v>207</v>
      </c>
      <c r="H445" s="8" t="s">
        <v>208</v>
      </c>
      <c r="I445" s="8" t="s">
        <v>208</v>
      </c>
      <c r="J445" s="8" t="s">
        <v>208</v>
      </c>
      <c r="K445" s="8" t="s">
        <v>208</v>
      </c>
      <c r="L445" s="8" t="s">
        <v>208</v>
      </c>
      <c r="M445" s="8" t="s">
        <v>208</v>
      </c>
      <c r="N445" s="8" t="s">
        <v>208</v>
      </c>
      <c r="O445" s="8" t="s">
        <v>208</v>
      </c>
      <c r="Q445" t="s">
        <v>2307</v>
      </c>
      <c r="R445" t="s">
        <v>1563</v>
      </c>
      <c r="U445" t="s">
        <v>2308</v>
      </c>
      <c r="V445" t="s">
        <v>138</v>
      </c>
      <c r="W445" t="s">
        <v>212</v>
      </c>
      <c r="Y445" t="s">
        <v>275</v>
      </c>
      <c r="AA445" t="s">
        <v>214</v>
      </c>
      <c r="AB445" t="s">
        <v>242</v>
      </c>
      <c r="AD445" t="s">
        <v>2255</v>
      </c>
      <c r="AE445" t="s">
        <v>217</v>
      </c>
      <c r="AG445" s="8" t="s">
        <v>218</v>
      </c>
      <c r="AH445" t="s">
        <v>2256</v>
      </c>
      <c r="AI445" s="8" t="s">
        <v>221</v>
      </c>
      <c r="AJ445" s="9" t="s">
        <v>218</v>
      </c>
      <c r="AK445" t="s">
        <v>2292</v>
      </c>
      <c r="AL445" s="8" t="s">
        <v>221</v>
      </c>
      <c r="AM445" s="9" t="s">
        <v>218</v>
      </c>
      <c r="AN445" s="8" t="s">
        <v>221</v>
      </c>
      <c r="AO445" s="8" t="s">
        <v>222</v>
      </c>
      <c r="AP445" s="8">
        <v>0</v>
      </c>
      <c r="AQ445" s="8">
        <v>0</v>
      </c>
      <c r="AR445" s="8">
        <v>0</v>
      </c>
      <c r="AS445" s="8">
        <v>0</v>
      </c>
      <c r="AT445" s="8">
        <v>0</v>
      </c>
      <c r="AU445" s="8">
        <v>0</v>
      </c>
      <c r="AV445" s="8">
        <v>0</v>
      </c>
      <c r="AW445" s="8">
        <v>0</v>
      </c>
      <c r="AX445" s="8"/>
      <c r="AY445" s="9" t="s">
        <v>2293</v>
      </c>
      <c r="AZ445">
        <v>0</v>
      </c>
    </row>
    <row r="446" spans="1:54">
      <c r="A446" s="6">
        <v>45807</v>
      </c>
      <c r="B446" s="7" t="s">
        <v>1459</v>
      </c>
      <c r="C446" t="s">
        <v>205</v>
      </c>
      <c r="D446" t="s">
        <v>2286</v>
      </c>
      <c r="G446" t="s">
        <v>207</v>
      </c>
      <c r="H446" s="8" t="s">
        <v>208</v>
      </c>
      <c r="I446" s="8" t="s">
        <v>208</v>
      </c>
      <c r="J446" s="8" t="s">
        <v>208</v>
      </c>
      <c r="K446" s="8" t="s">
        <v>208</v>
      </c>
      <c r="L446" s="8" t="s">
        <v>208</v>
      </c>
      <c r="M446" s="8" t="s">
        <v>208</v>
      </c>
      <c r="N446" s="8" t="s">
        <v>208</v>
      </c>
      <c r="O446" s="8" t="s">
        <v>208</v>
      </c>
      <c r="Q446" t="s">
        <v>1460</v>
      </c>
      <c r="R446" t="s">
        <v>1461</v>
      </c>
      <c r="U446" t="s">
        <v>1462</v>
      </c>
      <c r="V446" t="s">
        <v>138</v>
      </c>
      <c r="W446" t="s">
        <v>212</v>
      </c>
      <c r="X446" t="s">
        <v>212</v>
      </c>
      <c r="Y446" t="s">
        <v>275</v>
      </c>
      <c r="Z446" t="s">
        <v>213</v>
      </c>
      <c r="AA446" t="s">
        <v>214</v>
      </c>
      <c r="AB446" t="s">
        <v>1335</v>
      </c>
      <c r="AC446" t="s">
        <v>1336</v>
      </c>
      <c r="AD446" t="s">
        <v>2255</v>
      </c>
      <c r="AE446" t="s">
        <v>217</v>
      </c>
      <c r="AG446" s="8" t="s">
        <v>218</v>
      </c>
      <c r="AH446" t="s">
        <v>2256</v>
      </c>
      <c r="AI446" s="8" t="s">
        <v>221</v>
      </c>
      <c r="AJ446" s="9" t="s">
        <v>218</v>
      </c>
      <c r="AK446" t="s">
        <v>234</v>
      </c>
      <c r="AL446" s="8" t="s">
        <v>221</v>
      </c>
      <c r="AM446" s="9" t="s">
        <v>218</v>
      </c>
      <c r="AN446" s="8" t="s">
        <v>221</v>
      </c>
      <c r="AO446" s="8" t="s">
        <v>222</v>
      </c>
      <c r="AP446" s="8">
        <v>0</v>
      </c>
      <c r="AQ446" s="8">
        <v>0</v>
      </c>
      <c r="AR446" s="9">
        <v>18</v>
      </c>
      <c r="AS446" s="8">
        <v>0</v>
      </c>
      <c r="AT446" s="8">
        <v>0</v>
      </c>
      <c r="AU446" s="8">
        <v>0</v>
      </c>
      <c r="AV446" s="8">
        <v>0</v>
      </c>
      <c r="AW446" s="9">
        <v>18</v>
      </c>
      <c r="AX446" s="8"/>
      <c r="AY446" s="9" t="s">
        <v>1463</v>
      </c>
      <c r="AZ446">
        <v>2</v>
      </c>
      <c r="BA446" t="s">
        <v>2309</v>
      </c>
      <c r="BB446" t="s">
        <v>1465</v>
      </c>
    </row>
    <row r="447" spans="1:54">
      <c r="A447" s="6">
        <v>45807</v>
      </c>
      <c r="B447" s="7" t="s">
        <v>1476</v>
      </c>
      <c r="C447" t="s">
        <v>205</v>
      </c>
      <c r="D447" t="s">
        <v>2286</v>
      </c>
      <c r="G447" t="s">
        <v>207</v>
      </c>
      <c r="H447" s="8" t="s">
        <v>208</v>
      </c>
      <c r="I447" s="8" t="s">
        <v>208</v>
      </c>
      <c r="J447" s="8" t="s">
        <v>208</v>
      </c>
      <c r="K447" s="8" t="s">
        <v>208</v>
      </c>
      <c r="L447" s="8" t="s">
        <v>208</v>
      </c>
      <c r="M447" s="8" t="s">
        <v>208</v>
      </c>
      <c r="N447" s="8" t="s">
        <v>208</v>
      </c>
      <c r="O447" s="8" t="s">
        <v>208</v>
      </c>
      <c r="Q447" t="s">
        <v>1477</v>
      </c>
      <c r="R447" t="s">
        <v>1478</v>
      </c>
      <c r="U447" t="s">
        <v>1479</v>
      </c>
      <c r="V447" t="s">
        <v>140</v>
      </c>
      <c r="W447" t="s">
        <v>774</v>
      </c>
      <c r="X447" t="s">
        <v>774</v>
      </c>
      <c r="Y447" t="s">
        <v>1082</v>
      </c>
      <c r="Z447" t="s">
        <v>775</v>
      </c>
      <c r="AA447" t="s">
        <v>1164</v>
      </c>
      <c r="AB447" t="s">
        <v>399</v>
      </c>
      <c r="AC447" t="s">
        <v>1480</v>
      </c>
      <c r="AD447" t="s">
        <v>2258</v>
      </c>
      <c r="AE447" t="s">
        <v>2259</v>
      </c>
      <c r="AG447" s="9" t="s">
        <v>221</v>
      </c>
      <c r="AH447" t="s">
        <v>2256</v>
      </c>
      <c r="AI447" s="8" t="s">
        <v>221</v>
      </c>
      <c r="AJ447" s="9" t="s">
        <v>218</v>
      </c>
      <c r="AK447" t="s">
        <v>1481</v>
      </c>
      <c r="AL447" s="8" t="s">
        <v>221</v>
      </c>
      <c r="AM447" s="9" t="s">
        <v>218</v>
      </c>
      <c r="AN447" s="8" t="s">
        <v>221</v>
      </c>
      <c r="AO447" s="8" t="s">
        <v>222</v>
      </c>
      <c r="AP447" s="8">
        <v>0</v>
      </c>
      <c r="AQ447" s="8">
        <v>0</v>
      </c>
      <c r="AR447" s="9">
        <v>5</v>
      </c>
      <c r="AS447" s="8">
        <v>0</v>
      </c>
      <c r="AT447" s="8">
        <v>0</v>
      </c>
      <c r="AU447" s="8">
        <v>0</v>
      </c>
      <c r="AV447" s="8">
        <v>0</v>
      </c>
      <c r="AW447" s="9">
        <v>5</v>
      </c>
      <c r="AX447" s="8"/>
      <c r="AY447" s="9" t="s">
        <v>1482</v>
      </c>
      <c r="AZ447">
        <v>2</v>
      </c>
      <c r="BA447" t="s">
        <v>2271</v>
      </c>
      <c r="BB447" t="s">
        <v>1484</v>
      </c>
    </row>
    <row r="448" spans="1:54">
      <c r="A448" s="6">
        <v>45807</v>
      </c>
      <c r="B448" s="7" t="s">
        <v>2310</v>
      </c>
      <c r="C448" t="s">
        <v>205</v>
      </c>
      <c r="D448" t="s">
        <v>2286</v>
      </c>
      <c r="G448" t="s">
        <v>207</v>
      </c>
      <c r="H448" s="8" t="s">
        <v>208</v>
      </c>
      <c r="I448" s="8" t="s">
        <v>208</v>
      </c>
      <c r="J448" s="8" t="s">
        <v>208</v>
      </c>
      <c r="K448" s="8" t="s">
        <v>208</v>
      </c>
      <c r="L448" s="8" t="s">
        <v>208</v>
      </c>
      <c r="M448" s="8" t="s">
        <v>208</v>
      </c>
      <c r="N448" s="8" t="s">
        <v>208</v>
      </c>
      <c r="O448" s="8" t="s">
        <v>208</v>
      </c>
      <c r="Q448" t="s">
        <v>2311</v>
      </c>
      <c r="R448" t="s">
        <v>2312</v>
      </c>
      <c r="U448" t="s">
        <v>2313</v>
      </c>
      <c r="V448" t="s">
        <v>140</v>
      </c>
      <c r="W448" t="s">
        <v>212</v>
      </c>
      <c r="X448" t="s">
        <v>212</v>
      </c>
      <c r="Y448" t="s">
        <v>275</v>
      </c>
      <c r="Z448" t="s">
        <v>213</v>
      </c>
      <c r="AA448" t="s">
        <v>214</v>
      </c>
      <c r="AB448" t="s">
        <v>701</v>
      </c>
      <c r="AC448" t="s">
        <v>242</v>
      </c>
      <c r="AD448" t="s">
        <v>2255</v>
      </c>
      <c r="AE448" t="s">
        <v>217</v>
      </c>
      <c r="AG448" s="8" t="s">
        <v>218</v>
      </c>
      <c r="AH448" t="s">
        <v>2256</v>
      </c>
      <c r="AI448" s="8" t="s">
        <v>221</v>
      </c>
      <c r="AJ448" s="9" t="s">
        <v>218</v>
      </c>
      <c r="AK448" t="s">
        <v>2314</v>
      </c>
      <c r="AL448" s="8" t="s">
        <v>221</v>
      </c>
      <c r="AM448" s="9" t="s">
        <v>218</v>
      </c>
      <c r="AN448" s="8" t="s">
        <v>221</v>
      </c>
      <c r="AO448" s="8" t="s">
        <v>222</v>
      </c>
      <c r="AP448" s="8">
        <v>0</v>
      </c>
      <c r="AQ448" s="8">
        <v>0</v>
      </c>
      <c r="AR448" s="8">
        <v>0</v>
      </c>
      <c r="AS448" s="8">
        <v>0</v>
      </c>
      <c r="AT448" s="8">
        <v>0</v>
      </c>
      <c r="AU448" s="8">
        <v>0</v>
      </c>
      <c r="AV448" s="8">
        <v>0</v>
      </c>
      <c r="AW448" s="8">
        <v>0</v>
      </c>
      <c r="AX448" s="8"/>
      <c r="AY448" s="9" t="s">
        <v>2315</v>
      </c>
      <c r="AZ448">
        <v>3</v>
      </c>
      <c r="BA448" t="s">
        <v>2316</v>
      </c>
      <c r="BB448" t="s">
        <v>2317</v>
      </c>
    </row>
    <row r="449" spans="1:54">
      <c r="A449" s="6">
        <v>45807</v>
      </c>
      <c r="B449" s="7" t="s">
        <v>1494</v>
      </c>
      <c r="C449" t="s">
        <v>205</v>
      </c>
      <c r="D449" t="s">
        <v>2286</v>
      </c>
      <c r="G449" t="s">
        <v>207</v>
      </c>
      <c r="H449" s="8" t="s">
        <v>208</v>
      </c>
      <c r="I449" s="8" t="s">
        <v>208</v>
      </c>
      <c r="J449" s="8" t="s">
        <v>208</v>
      </c>
      <c r="K449" s="8" t="s">
        <v>208</v>
      </c>
      <c r="L449" s="8" t="s">
        <v>208</v>
      </c>
      <c r="M449" s="8" t="s">
        <v>208</v>
      </c>
      <c r="N449" s="8" t="s">
        <v>208</v>
      </c>
      <c r="O449" s="8" t="s">
        <v>208</v>
      </c>
      <c r="Q449" t="s">
        <v>1495</v>
      </c>
      <c r="R449" t="s">
        <v>1496</v>
      </c>
      <c r="U449" t="s">
        <v>1497</v>
      </c>
      <c r="V449" t="s">
        <v>140</v>
      </c>
      <c r="W449" t="s">
        <v>774</v>
      </c>
      <c r="X449" t="s">
        <v>774</v>
      </c>
      <c r="Y449" t="s">
        <v>1082</v>
      </c>
      <c r="Z449" t="s">
        <v>775</v>
      </c>
      <c r="AA449" t="s">
        <v>1164</v>
      </c>
      <c r="AB449" t="s">
        <v>391</v>
      </c>
      <c r="AC449" t="s">
        <v>425</v>
      </c>
      <c r="AD449" t="s">
        <v>2258</v>
      </c>
      <c r="AE449" t="s">
        <v>2259</v>
      </c>
      <c r="AG449" s="8" t="s">
        <v>218</v>
      </c>
      <c r="AH449" t="s">
        <v>2256</v>
      </c>
      <c r="AI449" s="8" t="s">
        <v>221</v>
      </c>
      <c r="AJ449" s="9" t="s">
        <v>218</v>
      </c>
      <c r="AK449" t="s">
        <v>1498</v>
      </c>
      <c r="AL449" s="8" t="s">
        <v>221</v>
      </c>
      <c r="AM449" s="9" t="s">
        <v>218</v>
      </c>
      <c r="AN449" s="8" t="s">
        <v>221</v>
      </c>
      <c r="AO449" s="8" t="s">
        <v>222</v>
      </c>
      <c r="AP449" s="8">
        <v>0</v>
      </c>
      <c r="AQ449" s="8">
        <v>0</v>
      </c>
      <c r="AR449" s="9">
        <v>2</v>
      </c>
      <c r="AS449" s="8">
        <v>0</v>
      </c>
      <c r="AT449" s="8">
        <v>0</v>
      </c>
      <c r="AU449" s="8">
        <v>0</v>
      </c>
      <c r="AV449" s="8">
        <v>0</v>
      </c>
      <c r="AW449" s="9">
        <v>2</v>
      </c>
      <c r="AX449" s="8"/>
      <c r="AY449" s="9" t="s">
        <v>2318</v>
      </c>
      <c r="AZ449">
        <v>2</v>
      </c>
      <c r="BA449" t="s">
        <v>2319</v>
      </c>
      <c r="BB449" t="s">
        <v>1501</v>
      </c>
    </row>
    <row r="450" spans="1:54">
      <c r="A450" s="6">
        <v>45807</v>
      </c>
      <c r="B450" s="7" t="s">
        <v>2320</v>
      </c>
      <c r="C450" t="s">
        <v>205</v>
      </c>
      <c r="D450" t="s">
        <v>2286</v>
      </c>
      <c r="G450" t="s">
        <v>207</v>
      </c>
      <c r="H450" s="8" t="s">
        <v>208</v>
      </c>
      <c r="I450" s="8" t="s">
        <v>208</v>
      </c>
      <c r="J450" s="8" t="s">
        <v>208</v>
      </c>
      <c r="K450" s="8" t="s">
        <v>208</v>
      </c>
      <c r="L450" s="8" t="s">
        <v>208</v>
      </c>
      <c r="M450" s="8" t="s">
        <v>208</v>
      </c>
      <c r="N450" s="8" t="s">
        <v>208</v>
      </c>
      <c r="O450" s="8" t="s">
        <v>208</v>
      </c>
      <c r="Q450" t="s">
        <v>2321</v>
      </c>
      <c r="R450" t="s">
        <v>2322</v>
      </c>
      <c r="U450" t="s">
        <v>2323</v>
      </c>
      <c r="V450" t="s">
        <v>140</v>
      </c>
      <c r="W450" t="s">
        <v>774</v>
      </c>
      <c r="X450" t="s">
        <v>774</v>
      </c>
      <c r="Y450" t="s">
        <v>1082</v>
      </c>
      <c r="Z450" t="s">
        <v>775</v>
      </c>
      <c r="AA450" t="s">
        <v>1164</v>
      </c>
      <c r="AB450" t="s">
        <v>391</v>
      </c>
      <c r="AC450" t="s">
        <v>425</v>
      </c>
      <c r="AD450" t="s">
        <v>2258</v>
      </c>
      <c r="AE450" t="s">
        <v>2259</v>
      </c>
      <c r="AG450" s="8" t="s">
        <v>218</v>
      </c>
      <c r="AH450" t="s">
        <v>2256</v>
      </c>
      <c r="AI450" s="8" t="s">
        <v>221</v>
      </c>
      <c r="AJ450" s="9" t="s">
        <v>218</v>
      </c>
      <c r="AK450" t="s">
        <v>2090</v>
      </c>
      <c r="AL450" s="8" t="s">
        <v>221</v>
      </c>
      <c r="AM450" s="9" t="s">
        <v>218</v>
      </c>
      <c r="AN450" s="8" t="s">
        <v>221</v>
      </c>
      <c r="AO450" s="8" t="s">
        <v>222</v>
      </c>
      <c r="AP450" s="8">
        <v>0</v>
      </c>
      <c r="AQ450" s="8">
        <v>0</v>
      </c>
      <c r="AR450" s="8">
        <v>0</v>
      </c>
      <c r="AS450" s="8">
        <v>0</v>
      </c>
      <c r="AT450" s="8">
        <v>0</v>
      </c>
      <c r="AU450" s="8">
        <v>0</v>
      </c>
      <c r="AV450" s="8">
        <v>0</v>
      </c>
      <c r="AW450" s="8">
        <v>0</v>
      </c>
      <c r="AX450" s="8"/>
      <c r="AY450" s="8"/>
      <c r="AZ450">
        <v>2</v>
      </c>
      <c r="BA450" t="s">
        <v>2324</v>
      </c>
      <c r="BB450" t="s">
        <v>2325</v>
      </c>
    </row>
    <row r="451" spans="1:54">
      <c r="A451" s="6">
        <v>45807</v>
      </c>
      <c r="B451" s="7" t="s">
        <v>2326</v>
      </c>
      <c r="C451" t="s">
        <v>205</v>
      </c>
      <c r="D451" t="s">
        <v>2286</v>
      </c>
      <c r="G451" t="s">
        <v>207</v>
      </c>
      <c r="H451" s="8" t="s">
        <v>208</v>
      </c>
      <c r="I451" s="8" t="s">
        <v>208</v>
      </c>
      <c r="J451" s="8" t="s">
        <v>208</v>
      </c>
      <c r="K451" s="8" t="s">
        <v>208</v>
      </c>
      <c r="L451" s="8" t="s">
        <v>208</v>
      </c>
      <c r="M451" s="8" t="s">
        <v>208</v>
      </c>
      <c r="N451" s="8" t="s">
        <v>208</v>
      </c>
      <c r="O451" s="8" t="s">
        <v>208</v>
      </c>
      <c r="Q451" t="s">
        <v>2327</v>
      </c>
      <c r="R451" t="s">
        <v>2328</v>
      </c>
      <c r="U451" t="s">
        <v>2329</v>
      </c>
      <c r="V451" t="s">
        <v>140</v>
      </c>
      <c r="W451" t="s">
        <v>774</v>
      </c>
      <c r="X451" t="s">
        <v>774</v>
      </c>
      <c r="Y451" t="s">
        <v>1082</v>
      </c>
      <c r="Z451" t="s">
        <v>775</v>
      </c>
      <c r="AA451" t="s">
        <v>1164</v>
      </c>
      <c r="AB451" t="s">
        <v>408</v>
      </c>
      <c r="AC451" t="s">
        <v>391</v>
      </c>
      <c r="AD451" t="s">
        <v>2258</v>
      </c>
      <c r="AE451" t="s">
        <v>2259</v>
      </c>
      <c r="AG451" s="8" t="s">
        <v>218</v>
      </c>
      <c r="AH451" t="s">
        <v>2256</v>
      </c>
      <c r="AI451" s="8" t="s">
        <v>221</v>
      </c>
      <c r="AJ451" s="9" t="s">
        <v>218</v>
      </c>
      <c r="AK451" t="s">
        <v>2090</v>
      </c>
      <c r="AL451" s="8" t="s">
        <v>221</v>
      </c>
      <c r="AM451" s="9" t="s">
        <v>218</v>
      </c>
      <c r="AN451" s="8" t="s">
        <v>221</v>
      </c>
      <c r="AO451" s="8" t="s">
        <v>222</v>
      </c>
      <c r="AP451" s="8">
        <v>0</v>
      </c>
      <c r="AQ451" s="8">
        <v>0</v>
      </c>
      <c r="AR451" s="9">
        <v>4</v>
      </c>
      <c r="AS451" s="8">
        <v>0</v>
      </c>
      <c r="AT451" s="8">
        <v>0</v>
      </c>
      <c r="AU451" s="8">
        <v>0</v>
      </c>
      <c r="AV451" s="8">
        <v>0</v>
      </c>
      <c r="AW451" s="9">
        <v>4</v>
      </c>
      <c r="AX451" s="9" t="s">
        <v>2330</v>
      </c>
      <c r="AY451" s="8"/>
      <c r="AZ451">
        <v>3</v>
      </c>
      <c r="BA451" t="s">
        <v>2331</v>
      </c>
      <c r="BB451" t="s">
        <v>2332</v>
      </c>
    </row>
    <row r="452" spans="1:54">
      <c r="A452" s="6">
        <v>45807</v>
      </c>
      <c r="B452" s="7" t="s">
        <v>2333</v>
      </c>
      <c r="C452" t="s">
        <v>205</v>
      </c>
      <c r="D452" t="s">
        <v>2286</v>
      </c>
      <c r="G452" t="s">
        <v>207</v>
      </c>
      <c r="H452" s="8" t="s">
        <v>208</v>
      </c>
      <c r="I452" s="8" t="s">
        <v>208</v>
      </c>
      <c r="J452" s="8" t="s">
        <v>208</v>
      </c>
      <c r="K452" s="8" t="s">
        <v>208</v>
      </c>
      <c r="L452" s="8" t="s">
        <v>208</v>
      </c>
      <c r="M452" s="8" t="s">
        <v>208</v>
      </c>
      <c r="N452" s="8" t="s">
        <v>208</v>
      </c>
      <c r="O452" s="8" t="s">
        <v>208</v>
      </c>
      <c r="Q452" t="s">
        <v>2334</v>
      </c>
      <c r="R452" t="s">
        <v>2335</v>
      </c>
      <c r="U452" t="s">
        <v>2336</v>
      </c>
      <c r="V452" t="s">
        <v>140</v>
      </c>
      <c r="W452" t="s">
        <v>774</v>
      </c>
      <c r="X452" t="s">
        <v>774</v>
      </c>
      <c r="Y452" t="s">
        <v>1082</v>
      </c>
      <c r="Z452" t="s">
        <v>775</v>
      </c>
      <c r="AA452" t="s">
        <v>1164</v>
      </c>
      <c r="AB452" t="s">
        <v>603</v>
      </c>
      <c r="AC452" t="s">
        <v>408</v>
      </c>
      <c r="AD452" t="s">
        <v>2258</v>
      </c>
      <c r="AE452" t="s">
        <v>2259</v>
      </c>
      <c r="AG452" s="8" t="s">
        <v>218</v>
      </c>
      <c r="AH452" t="s">
        <v>2256</v>
      </c>
      <c r="AI452" s="8" t="s">
        <v>221</v>
      </c>
      <c r="AJ452" s="9" t="s">
        <v>218</v>
      </c>
      <c r="AK452" t="s">
        <v>2090</v>
      </c>
      <c r="AL452" s="8" t="s">
        <v>221</v>
      </c>
      <c r="AM452" s="9" t="s">
        <v>218</v>
      </c>
      <c r="AN452" s="8" t="s">
        <v>221</v>
      </c>
      <c r="AO452" s="8" t="s">
        <v>222</v>
      </c>
      <c r="AP452" s="8">
        <v>0</v>
      </c>
      <c r="AQ452" s="8">
        <v>0</v>
      </c>
      <c r="AR452" s="9">
        <v>12</v>
      </c>
      <c r="AS452" s="8">
        <v>0</v>
      </c>
      <c r="AT452" s="8">
        <v>0</v>
      </c>
      <c r="AU452" s="8">
        <v>0</v>
      </c>
      <c r="AV452" s="8">
        <v>0</v>
      </c>
      <c r="AW452" s="9">
        <v>12</v>
      </c>
      <c r="AX452" s="8"/>
      <c r="AY452" s="8"/>
      <c r="AZ452">
        <v>2</v>
      </c>
      <c r="BA452" t="s">
        <v>2324</v>
      </c>
      <c r="BB452" t="s">
        <v>2337</v>
      </c>
    </row>
    <row r="453" spans="1:54">
      <c r="A453" s="6">
        <v>45807</v>
      </c>
      <c r="B453" s="7" t="s">
        <v>2338</v>
      </c>
      <c r="C453" t="s">
        <v>205</v>
      </c>
      <c r="D453" t="s">
        <v>2286</v>
      </c>
      <c r="G453" t="s">
        <v>207</v>
      </c>
      <c r="H453" s="8" t="s">
        <v>208</v>
      </c>
      <c r="I453" s="8" t="s">
        <v>208</v>
      </c>
      <c r="J453" s="8" t="s">
        <v>208</v>
      </c>
      <c r="K453" s="8" t="s">
        <v>208</v>
      </c>
      <c r="L453" s="8" t="s">
        <v>208</v>
      </c>
      <c r="M453" s="8" t="s">
        <v>208</v>
      </c>
      <c r="N453" s="8" t="s">
        <v>208</v>
      </c>
      <c r="O453" s="8" t="s">
        <v>208</v>
      </c>
      <c r="Q453" t="s">
        <v>2339</v>
      </c>
      <c r="R453" t="s">
        <v>2340</v>
      </c>
      <c r="U453" t="s">
        <v>2341</v>
      </c>
      <c r="V453" t="s">
        <v>140</v>
      </c>
      <c r="W453" t="s">
        <v>774</v>
      </c>
      <c r="X453" t="s">
        <v>774</v>
      </c>
      <c r="Y453" t="s">
        <v>1082</v>
      </c>
      <c r="Z453" t="s">
        <v>775</v>
      </c>
      <c r="AA453" t="s">
        <v>1164</v>
      </c>
      <c r="AB453" t="s">
        <v>425</v>
      </c>
      <c r="AC453" t="s">
        <v>465</v>
      </c>
      <c r="AD453" t="s">
        <v>2258</v>
      </c>
      <c r="AE453" t="s">
        <v>2259</v>
      </c>
      <c r="AG453" s="8" t="s">
        <v>218</v>
      </c>
      <c r="AH453" t="s">
        <v>2256</v>
      </c>
      <c r="AI453" s="8" t="s">
        <v>221</v>
      </c>
      <c r="AJ453" s="9" t="s">
        <v>218</v>
      </c>
      <c r="AK453" t="s">
        <v>2342</v>
      </c>
      <c r="AL453" s="8" t="s">
        <v>221</v>
      </c>
      <c r="AM453" s="9" t="s">
        <v>218</v>
      </c>
      <c r="AN453" s="8" t="s">
        <v>221</v>
      </c>
      <c r="AO453" s="8" t="s">
        <v>222</v>
      </c>
      <c r="AP453" s="8">
        <v>0</v>
      </c>
      <c r="AQ453" s="8">
        <v>0</v>
      </c>
      <c r="AR453" s="8">
        <v>0</v>
      </c>
      <c r="AS453" s="8">
        <v>0</v>
      </c>
      <c r="AT453" s="8">
        <v>0</v>
      </c>
      <c r="AU453" s="8">
        <v>0</v>
      </c>
      <c r="AV453" s="8">
        <v>0</v>
      </c>
      <c r="AW453" s="8">
        <v>0</v>
      </c>
      <c r="AX453" s="8"/>
      <c r="AY453" s="8"/>
      <c r="AZ453">
        <v>2</v>
      </c>
      <c r="BA453" t="s">
        <v>2343</v>
      </c>
      <c r="BB453" t="s">
        <v>2344</v>
      </c>
    </row>
    <row r="454" spans="1:54">
      <c r="A454" s="6">
        <v>45807</v>
      </c>
      <c r="B454" s="7" t="s">
        <v>2345</v>
      </c>
      <c r="C454" t="s">
        <v>205</v>
      </c>
      <c r="D454" t="s">
        <v>2286</v>
      </c>
      <c r="G454" t="s">
        <v>207</v>
      </c>
      <c r="H454" s="8" t="s">
        <v>208</v>
      </c>
      <c r="I454" s="8" t="s">
        <v>208</v>
      </c>
      <c r="J454" s="8" t="s">
        <v>208</v>
      </c>
      <c r="K454" s="8" t="s">
        <v>208</v>
      </c>
      <c r="L454" s="8" t="s">
        <v>208</v>
      </c>
      <c r="M454" s="8" t="s">
        <v>208</v>
      </c>
      <c r="N454" s="8" t="s">
        <v>208</v>
      </c>
      <c r="O454" s="8" t="s">
        <v>208</v>
      </c>
      <c r="Q454" t="s">
        <v>2346</v>
      </c>
      <c r="R454" t="s">
        <v>2347</v>
      </c>
      <c r="U454" t="s">
        <v>2348</v>
      </c>
      <c r="V454" t="s">
        <v>140</v>
      </c>
      <c r="W454" t="s">
        <v>774</v>
      </c>
      <c r="X454" t="s">
        <v>774</v>
      </c>
      <c r="Y454" t="s">
        <v>1082</v>
      </c>
      <c r="Z454" t="s">
        <v>775</v>
      </c>
      <c r="AA454" t="s">
        <v>1164</v>
      </c>
      <c r="AB454" t="s">
        <v>465</v>
      </c>
      <c r="AC454" t="s">
        <v>301</v>
      </c>
      <c r="AD454" t="s">
        <v>2258</v>
      </c>
      <c r="AE454" t="s">
        <v>2259</v>
      </c>
      <c r="AG454" s="8" t="s">
        <v>218</v>
      </c>
      <c r="AH454" t="s">
        <v>2256</v>
      </c>
      <c r="AI454" s="8" t="s">
        <v>221</v>
      </c>
      <c r="AJ454" s="9" t="s">
        <v>218</v>
      </c>
      <c r="AK454" t="s">
        <v>234</v>
      </c>
      <c r="AL454" s="8" t="s">
        <v>221</v>
      </c>
      <c r="AM454" s="9" t="s">
        <v>218</v>
      </c>
      <c r="AN454" s="8" t="s">
        <v>221</v>
      </c>
      <c r="AO454" s="8" t="s">
        <v>222</v>
      </c>
      <c r="AP454" s="8">
        <v>0</v>
      </c>
      <c r="AQ454" s="8">
        <v>0</v>
      </c>
      <c r="AR454" s="8">
        <v>0</v>
      </c>
      <c r="AS454" s="8">
        <v>0</v>
      </c>
      <c r="AT454" s="8">
        <v>0</v>
      </c>
      <c r="AU454" s="8">
        <v>0</v>
      </c>
      <c r="AV454" s="8">
        <v>0</v>
      </c>
      <c r="AW454" s="8">
        <v>0</v>
      </c>
      <c r="AX454" s="8"/>
      <c r="AY454" s="8"/>
      <c r="AZ454">
        <v>2</v>
      </c>
      <c r="BA454" t="s">
        <v>2349</v>
      </c>
      <c r="BB454" t="s">
        <v>2350</v>
      </c>
    </row>
    <row r="455" spans="1:54">
      <c r="A455" s="6">
        <v>45807</v>
      </c>
      <c r="B455" s="7" t="s">
        <v>2351</v>
      </c>
      <c r="C455" t="s">
        <v>205</v>
      </c>
      <c r="D455" t="s">
        <v>2286</v>
      </c>
      <c r="G455" t="s">
        <v>207</v>
      </c>
      <c r="H455" s="8" t="s">
        <v>208</v>
      </c>
      <c r="I455" s="8" t="s">
        <v>208</v>
      </c>
      <c r="J455" s="8" t="s">
        <v>208</v>
      </c>
      <c r="K455" s="8" t="s">
        <v>208</v>
      </c>
      <c r="L455" s="8" t="s">
        <v>208</v>
      </c>
      <c r="M455" s="8" t="s">
        <v>208</v>
      </c>
      <c r="N455" s="8" t="s">
        <v>208</v>
      </c>
      <c r="O455" s="8" t="s">
        <v>208</v>
      </c>
      <c r="Q455" t="s">
        <v>2352</v>
      </c>
      <c r="R455" t="s">
        <v>2353</v>
      </c>
      <c r="U455" t="s">
        <v>2354</v>
      </c>
      <c r="V455" t="s">
        <v>140</v>
      </c>
      <c r="W455" t="s">
        <v>774</v>
      </c>
      <c r="X455" t="s">
        <v>774</v>
      </c>
      <c r="Y455" t="s">
        <v>1082</v>
      </c>
      <c r="Z455" t="s">
        <v>775</v>
      </c>
      <c r="AA455" t="s">
        <v>1164</v>
      </c>
      <c r="AB455" t="s">
        <v>465</v>
      </c>
      <c r="AC455" t="s">
        <v>301</v>
      </c>
      <c r="AD455" t="s">
        <v>2258</v>
      </c>
      <c r="AE455" t="s">
        <v>2259</v>
      </c>
      <c r="AG455" s="8" t="s">
        <v>218</v>
      </c>
      <c r="AH455" t="s">
        <v>2256</v>
      </c>
      <c r="AI455" s="8" t="s">
        <v>221</v>
      </c>
      <c r="AJ455" s="9" t="s">
        <v>218</v>
      </c>
      <c r="AK455" t="s">
        <v>2355</v>
      </c>
      <c r="AL455" s="8" t="s">
        <v>221</v>
      </c>
      <c r="AM455" s="9" t="s">
        <v>218</v>
      </c>
      <c r="AN455" s="8" t="s">
        <v>221</v>
      </c>
      <c r="AO455" s="8" t="s">
        <v>222</v>
      </c>
      <c r="AP455" s="8">
        <v>0</v>
      </c>
      <c r="AQ455" s="8">
        <v>0</v>
      </c>
      <c r="AR455" s="8">
        <v>0</v>
      </c>
      <c r="AS455" s="8">
        <v>0</v>
      </c>
      <c r="AT455" s="8">
        <v>0</v>
      </c>
      <c r="AU455" s="8">
        <v>0</v>
      </c>
      <c r="AV455" s="8">
        <v>0</v>
      </c>
      <c r="AW455" s="8">
        <v>0</v>
      </c>
      <c r="AX455" s="8"/>
      <c r="AY455" s="8"/>
      <c r="AZ455">
        <v>2</v>
      </c>
      <c r="BA455" t="s">
        <v>2349</v>
      </c>
      <c r="BB455" t="s">
        <v>2356</v>
      </c>
    </row>
    <row r="456" spans="1:54">
      <c r="A456" s="6">
        <v>45807</v>
      </c>
      <c r="B456" s="7" t="s">
        <v>2357</v>
      </c>
      <c r="C456" t="s">
        <v>205</v>
      </c>
      <c r="D456" t="s">
        <v>2286</v>
      </c>
      <c r="G456" t="s">
        <v>207</v>
      </c>
      <c r="H456" s="8" t="s">
        <v>208</v>
      </c>
      <c r="I456" s="8" t="s">
        <v>208</v>
      </c>
      <c r="J456" s="8" t="s">
        <v>208</v>
      </c>
      <c r="K456" s="8" t="s">
        <v>208</v>
      </c>
      <c r="L456" s="8" t="s">
        <v>208</v>
      </c>
      <c r="M456" s="8" t="s">
        <v>208</v>
      </c>
      <c r="N456" s="8" t="s">
        <v>208</v>
      </c>
      <c r="O456" s="8" t="s">
        <v>208</v>
      </c>
      <c r="Q456" t="s">
        <v>2358</v>
      </c>
      <c r="R456" t="s">
        <v>2359</v>
      </c>
      <c r="U456" t="s">
        <v>2360</v>
      </c>
      <c r="V456" t="s">
        <v>140</v>
      </c>
      <c r="W456" t="s">
        <v>212</v>
      </c>
      <c r="X456" t="s">
        <v>212</v>
      </c>
      <c r="Y456" t="s">
        <v>275</v>
      </c>
      <c r="Z456" t="s">
        <v>213</v>
      </c>
      <c r="AA456" t="s">
        <v>214</v>
      </c>
      <c r="AB456" t="s">
        <v>758</v>
      </c>
      <c r="AC456" t="s">
        <v>285</v>
      </c>
      <c r="AD456" t="s">
        <v>2255</v>
      </c>
      <c r="AE456" t="s">
        <v>217</v>
      </c>
      <c r="AG456" s="8" t="s">
        <v>218</v>
      </c>
      <c r="AH456" t="s">
        <v>2256</v>
      </c>
      <c r="AI456" s="8" t="s">
        <v>221</v>
      </c>
      <c r="AJ456" s="9" t="s">
        <v>218</v>
      </c>
      <c r="AK456" t="s">
        <v>234</v>
      </c>
      <c r="AL456" s="8" t="s">
        <v>221</v>
      </c>
      <c r="AM456" s="9" t="s">
        <v>218</v>
      </c>
      <c r="AN456" s="8" t="s">
        <v>221</v>
      </c>
      <c r="AO456" s="8" t="s">
        <v>222</v>
      </c>
      <c r="AP456" s="8">
        <v>0</v>
      </c>
      <c r="AQ456" s="8">
        <v>0</v>
      </c>
      <c r="AR456" s="9">
        <v>45</v>
      </c>
      <c r="AS456" s="8">
        <v>0</v>
      </c>
      <c r="AT456" s="8">
        <v>0</v>
      </c>
      <c r="AU456" s="8">
        <v>0</v>
      </c>
      <c r="AV456" s="9">
        <v>1</v>
      </c>
      <c r="AW456" s="9">
        <v>46</v>
      </c>
      <c r="AX456" s="8"/>
      <c r="AY456" s="8"/>
      <c r="AZ456">
        <v>2</v>
      </c>
      <c r="BA456" t="s">
        <v>2361</v>
      </c>
      <c r="BB456" t="s">
        <v>2362</v>
      </c>
    </row>
    <row r="457" spans="1:54">
      <c r="A457" s="6">
        <v>45807</v>
      </c>
      <c r="B457" s="7" t="s">
        <v>2017</v>
      </c>
      <c r="C457" t="s">
        <v>205</v>
      </c>
      <c r="D457" t="s">
        <v>2286</v>
      </c>
      <c r="G457" t="s">
        <v>207</v>
      </c>
      <c r="H457" s="8" t="s">
        <v>208</v>
      </c>
      <c r="I457" s="8" t="s">
        <v>208</v>
      </c>
      <c r="J457" s="8" t="s">
        <v>208</v>
      </c>
      <c r="K457" s="8" t="s">
        <v>208</v>
      </c>
      <c r="L457" s="8" t="s">
        <v>208</v>
      </c>
      <c r="M457" s="8" t="s">
        <v>208</v>
      </c>
      <c r="N457" s="8" t="s">
        <v>208</v>
      </c>
      <c r="O457" s="8" t="s">
        <v>208</v>
      </c>
      <c r="Q457" t="s">
        <v>2019</v>
      </c>
      <c r="R457" t="s">
        <v>2020</v>
      </c>
      <c r="U457" t="s">
        <v>2021</v>
      </c>
      <c r="V457" t="s">
        <v>140</v>
      </c>
      <c r="W457" t="s">
        <v>212</v>
      </c>
      <c r="X457" t="s">
        <v>212</v>
      </c>
      <c r="Y457" t="s">
        <v>275</v>
      </c>
      <c r="Z457" t="s">
        <v>213</v>
      </c>
      <c r="AA457" t="s">
        <v>214</v>
      </c>
      <c r="AB457" t="s">
        <v>758</v>
      </c>
      <c r="AC457" t="s">
        <v>285</v>
      </c>
      <c r="AD457" t="s">
        <v>2255</v>
      </c>
      <c r="AE457" t="s">
        <v>217</v>
      </c>
      <c r="AG457" s="8" t="s">
        <v>218</v>
      </c>
      <c r="AH457" t="s">
        <v>2256</v>
      </c>
      <c r="AI457" s="8" t="s">
        <v>221</v>
      </c>
      <c r="AJ457" s="9" t="s">
        <v>218</v>
      </c>
      <c r="AK457" t="s">
        <v>234</v>
      </c>
      <c r="AL457" s="8" t="s">
        <v>221</v>
      </c>
      <c r="AM457" s="9" t="s">
        <v>218</v>
      </c>
      <c r="AN457" s="8" t="s">
        <v>221</v>
      </c>
      <c r="AO457" s="8" t="s">
        <v>222</v>
      </c>
      <c r="AP457" s="8">
        <v>0</v>
      </c>
      <c r="AQ457" s="8">
        <v>0</v>
      </c>
      <c r="AR457" s="9">
        <v>40</v>
      </c>
      <c r="AS457" s="8">
        <v>0</v>
      </c>
      <c r="AT457" s="8">
        <v>0</v>
      </c>
      <c r="AU457" s="8">
        <v>0</v>
      </c>
      <c r="AV457" s="9">
        <v>1</v>
      </c>
      <c r="AW457" s="9">
        <v>41</v>
      </c>
      <c r="AX457" s="8"/>
      <c r="AY457" s="8"/>
      <c r="AZ457">
        <v>2</v>
      </c>
      <c r="BA457" t="s">
        <v>2363</v>
      </c>
      <c r="BB457" t="s">
        <v>2022</v>
      </c>
    </row>
    <row r="458" spans="1:54">
      <c r="A458" s="6">
        <v>45807</v>
      </c>
      <c r="B458" s="7" t="s">
        <v>2364</v>
      </c>
      <c r="C458" t="s">
        <v>205</v>
      </c>
      <c r="D458" t="s">
        <v>2286</v>
      </c>
      <c r="G458" t="s">
        <v>207</v>
      </c>
      <c r="H458" s="8" t="s">
        <v>208</v>
      </c>
      <c r="I458" s="8" t="s">
        <v>208</v>
      </c>
      <c r="J458" s="8" t="s">
        <v>208</v>
      </c>
      <c r="K458" s="8" t="s">
        <v>208</v>
      </c>
      <c r="L458" s="8" t="s">
        <v>208</v>
      </c>
      <c r="M458" s="8" t="s">
        <v>208</v>
      </c>
      <c r="N458" s="8" t="s">
        <v>208</v>
      </c>
      <c r="O458" s="8" t="s">
        <v>208</v>
      </c>
      <c r="Q458" t="s">
        <v>2365</v>
      </c>
      <c r="R458" t="s">
        <v>2366</v>
      </c>
      <c r="U458" t="s">
        <v>2367</v>
      </c>
      <c r="V458" t="s">
        <v>138</v>
      </c>
      <c r="W458" t="s">
        <v>212</v>
      </c>
      <c r="X458" t="s">
        <v>212</v>
      </c>
      <c r="Y458" t="s">
        <v>275</v>
      </c>
      <c r="Z458" t="s">
        <v>213</v>
      </c>
      <c r="AA458" t="s">
        <v>214</v>
      </c>
      <c r="AB458" t="s">
        <v>701</v>
      </c>
      <c r="AC458" t="s">
        <v>242</v>
      </c>
      <c r="AD458" t="s">
        <v>2255</v>
      </c>
      <c r="AE458" t="s">
        <v>217</v>
      </c>
      <c r="AG458" s="8" t="s">
        <v>218</v>
      </c>
      <c r="AH458" t="s">
        <v>2256</v>
      </c>
      <c r="AI458" s="8" t="s">
        <v>221</v>
      </c>
      <c r="AJ458" s="9" t="s">
        <v>218</v>
      </c>
      <c r="AK458" t="s">
        <v>2368</v>
      </c>
      <c r="AL458" s="8" t="s">
        <v>221</v>
      </c>
      <c r="AM458" s="9" t="s">
        <v>218</v>
      </c>
      <c r="AN458" s="8" t="s">
        <v>221</v>
      </c>
      <c r="AO458" s="8" t="s">
        <v>222</v>
      </c>
      <c r="AP458" s="8">
        <v>0</v>
      </c>
      <c r="AQ458" s="8">
        <v>0</v>
      </c>
      <c r="AR458" s="8">
        <v>0</v>
      </c>
      <c r="AS458" s="8">
        <v>0</v>
      </c>
      <c r="AT458" s="8">
        <v>0</v>
      </c>
      <c r="AU458" s="8">
        <v>0</v>
      </c>
      <c r="AV458" s="8">
        <v>0</v>
      </c>
      <c r="AW458" s="8">
        <v>0</v>
      </c>
      <c r="AX458" s="8"/>
      <c r="AY458" s="8"/>
      <c r="AZ458">
        <v>2</v>
      </c>
      <c r="BA458" t="s">
        <v>2361</v>
      </c>
      <c r="BB458" t="s">
        <v>2369</v>
      </c>
    </row>
    <row r="459" spans="1:54">
      <c r="A459" s="6">
        <v>45807</v>
      </c>
      <c r="B459" s="7" t="s">
        <v>2370</v>
      </c>
      <c r="C459" t="s">
        <v>387</v>
      </c>
      <c r="D459" t="s">
        <v>2286</v>
      </c>
      <c r="G459" t="s">
        <v>207</v>
      </c>
      <c r="H459" s="8" t="s">
        <v>208</v>
      </c>
      <c r="I459" s="8" t="s">
        <v>208</v>
      </c>
      <c r="J459" s="8" t="s">
        <v>208</v>
      </c>
      <c r="K459" s="8" t="s">
        <v>208</v>
      </c>
      <c r="L459" s="8" t="s">
        <v>208</v>
      </c>
      <c r="M459" s="8" t="s">
        <v>208</v>
      </c>
      <c r="N459" s="8" t="s">
        <v>208</v>
      </c>
      <c r="O459" s="8" t="s">
        <v>208</v>
      </c>
      <c r="Q459" t="s">
        <v>2371</v>
      </c>
      <c r="R459" t="s">
        <v>2372</v>
      </c>
      <c r="U459" t="s">
        <v>2373</v>
      </c>
      <c r="V459" t="s">
        <v>30</v>
      </c>
      <c r="W459" t="s">
        <v>298</v>
      </c>
      <c r="X459" t="s">
        <v>298</v>
      </c>
      <c r="Y459" t="s">
        <v>1103</v>
      </c>
      <c r="Z459" t="s">
        <v>299</v>
      </c>
      <c r="AA459" t="s">
        <v>300</v>
      </c>
      <c r="AB459" t="s">
        <v>603</v>
      </c>
      <c r="AC459" t="s">
        <v>408</v>
      </c>
      <c r="AD459" t="s">
        <v>2282</v>
      </c>
      <c r="AE459" t="s">
        <v>300</v>
      </c>
      <c r="AG459" s="8" t="s">
        <v>218</v>
      </c>
      <c r="AH459" t="s">
        <v>2283</v>
      </c>
      <c r="AI459" s="8" t="s">
        <v>221</v>
      </c>
      <c r="AJ459" s="9" t="s">
        <v>218</v>
      </c>
      <c r="AK459" t="s">
        <v>400</v>
      </c>
      <c r="AL459" s="8" t="s">
        <v>221</v>
      </c>
      <c r="AM459" s="9" t="s">
        <v>218</v>
      </c>
      <c r="AN459" s="8" t="s">
        <v>221</v>
      </c>
      <c r="AO459" s="8" t="s">
        <v>222</v>
      </c>
      <c r="AP459" s="8">
        <v>0</v>
      </c>
      <c r="AQ459" s="8">
        <v>0</v>
      </c>
      <c r="AR459" s="8">
        <v>0</v>
      </c>
      <c r="AS459" s="8">
        <v>0</v>
      </c>
      <c r="AT459" s="8">
        <v>0</v>
      </c>
      <c r="AU459" s="8">
        <v>0</v>
      </c>
      <c r="AV459" s="8">
        <v>0</v>
      </c>
      <c r="AW459" s="8">
        <v>0</v>
      </c>
      <c r="AX459" s="8"/>
      <c r="AY459" s="8"/>
      <c r="AZ459">
        <v>2</v>
      </c>
      <c r="BA459" t="s">
        <v>2374</v>
      </c>
      <c r="BB459" t="s">
        <v>2375</v>
      </c>
    </row>
    <row r="460" spans="1:54">
      <c r="A460" s="6">
        <v>45807</v>
      </c>
      <c r="B460" s="7" t="s">
        <v>705</v>
      </c>
      <c r="C460" t="s">
        <v>205</v>
      </c>
      <c r="D460" t="s">
        <v>2286</v>
      </c>
      <c r="G460" t="s">
        <v>207</v>
      </c>
      <c r="H460" s="8" t="s">
        <v>208</v>
      </c>
      <c r="I460" s="8" t="s">
        <v>208</v>
      </c>
      <c r="J460" s="8" t="s">
        <v>208</v>
      </c>
      <c r="K460" s="8" t="s">
        <v>208</v>
      </c>
      <c r="L460" s="8" t="s">
        <v>208</v>
      </c>
      <c r="M460" s="8" t="s">
        <v>208</v>
      </c>
      <c r="N460" s="8" t="s">
        <v>208</v>
      </c>
      <c r="O460" s="8" t="s">
        <v>208</v>
      </c>
      <c r="Q460" t="s">
        <v>706</v>
      </c>
      <c r="R460" t="s">
        <v>707</v>
      </c>
      <c r="U460" t="s">
        <v>708</v>
      </c>
      <c r="V460" t="s">
        <v>140</v>
      </c>
      <c r="W460" t="s">
        <v>212</v>
      </c>
      <c r="X460" t="s">
        <v>212</v>
      </c>
      <c r="Y460" t="s">
        <v>275</v>
      </c>
      <c r="Z460" t="s">
        <v>213</v>
      </c>
      <c r="AA460" t="s">
        <v>663</v>
      </c>
      <c r="AB460" t="s">
        <v>277</v>
      </c>
      <c r="AC460" t="s">
        <v>681</v>
      </c>
      <c r="AD460" t="s">
        <v>2255</v>
      </c>
      <c r="AE460" t="s">
        <v>217</v>
      </c>
      <c r="AG460" s="8" t="s">
        <v>218</v>
      </c>
      <c r="AH460" t="s">
        <v>2256</v>
      </c>
      <c r="AI460" s="8" t="s">
        <v>221</v>
      </c>
      <c r="AJ460" s="9" t="s">
        <v>218</v>
      </c>
      <c r="AK460" t="s">
        <v>709</v>
      </c>
      <c r="AL460" s="8" t="s">
        <v>221</v>
      </c>
      <c r="AM460" s="9" t="s">
        <v>218</v>
      </c>
      <c r="AN460" s="8" t="s">
        <v>221</v>
      </c>
      <c r="AO460" s="8" t="s">
        <v>222</v>
      </c>
      <c r="AP460" s="8">
        <v>0</v>
      </c>
      <c r="AQ460" s="8">
        <v>0</v>
      </c>
      <c r="AR460" s="9">
        <v>60</v>
      </c>
      <c r="AS460" s="8">
        <v>0</v>
      </c>
      <c r="AT460" s="8">
        <v>0</v>
      </c>
      <c r="AU460" s="8">
        <v>0</v>
      </c>
      <c r="AV460" s="8">
        <v>0</v>
      </c>
      <c r="AW460" s="9">
        <v>60</v>
      </c>
      <c r="AX460" s="8"/>
      <c r="AY460" s="8"/>
      <c r="AZ460">
        <v>2</v>
      </c>
      <c r="BA460" t="s">
        <v>2376</v>
      </c>
      <c r="BB460" t="s">
        <v>711</v>
      </c>
    </row>
    <row r="461" spans="1:54">
      <c r="A461" s="6">
        <v>45807</v>
      </c>
      <c r="B461" s="7" t="s">
        <v>677</v>
      </c>
      <c r="C461" t="s">
        <v>205</v>
      </c>
      <c r="D461" t="s">
        <v>2286</v>
      </c>
      <c r="G461" t="s">
        <v>207</v>
      </c>
      <c r="H461" s="8" t="s">
        <v>208</v>
      </c>
      <c r="I461" s="8" t="s">
        <v>208</v>
      </c>
      <c r="J461" s="8" t="s">
        <v>208</v>
      </c>
      <c r="K461" s="8" t="s">
        <v>208</v>
      </c>
      <c r="L461" s="8" t="s">
        <v>208</v>
      </c>
      <c r="M461" s="8" t="s">
        <v>208</v>
      </c>
      <c r="N461" s="8" t="s">
        <v>208</v>
      </c>
      <c r="O461" s="8" t="s">
        <v>208</v>
      </c>
      <c r="Q461" t="s">
        <v>678</v>
      </c>
      <c r="R461" t="s">
        <v>679</v>
      </c>
      <c r="U461" t="s">
        <v>680</v>
      </c>
      <c r="V461" t="s">
        <v>140</v>
      </c>
      <c r="W461" t="s">
        <v>212</v>
      </c>
      <c r="X461" t="s">
        <v>212</v>
      </c>
      <c r="Y461" t="s">
        <v>275</v>
      </c>
      <c r="Z461" t="s">
        <v>213</v>
      </c>
      <c r="AA461" t="s">
        <v>214</v>
      </c>
      <c r="AB461" t="s">
        <v>276</v>
      </c>
      <c r="AC461" t="s">
        <v>277</v>
      </c>
      <c r="AD461" t="s">
        <v>2255</v>
      </c>
      <c r="AE461" t="s">
        <v>217</v>
      </c>
      <c r="AG461" s="8" t="s">
        <v>218</v>
      </c>
      <c r="AH461" t="s">
        <v>2256</v>
      </c>
      <c r="AI461" s="8" t="s">
        <v>221</v>
      </c>
      <c r="AJ461" s="9" t="s">
        <v>218</v>
      </c>
      <c r="AK461" t="s">
        <v>234</v>
      </c>
      <c r="AL461" s="8" t="s">
        <v>221</v>
      </c>
      <c r="AM461" s="9" t="s">
        <v>218</v>
      </c>
      <c r="AN461" s="8" t="s">
        <v>221</v>
      </c>
      <c r="AO461" s="8" t="s">
        <v>222</v>
      </c>
      <c r="AP461" s="8">
        <v>0</v>
      </c>
      <c r="AQ461" s="8">
        <v>0</v>
      </c>
      <c r="AR461" s="9">
        <v>136</v>
      </c>
      <c r="AS461" s="8">
        <v>0</v>
      </c>
      <c r="AT461" s="8">
        <v>0</v>
      </c>
      <c r="AU461" s="8">
        <v>0</v>
      </c>
      <c r="AV461" s="8">
        <v>0</v>
      </c>
      <c r="AW461" s="9">
        <v>136</v>
      </c>
      <c r="AX461" s="8"/>
      <c r="AY461" s="9" t="s">
        <v>2377</v>
      </c>
      <c r="AZ461">
        <v>2</v>
      </c>
      <c r="BA461" t="s">
        <v>2378</v>
      </c>
      <c r="BB461" t="s">
        <v>684</v>
      </c>
    </row>
    <row r="462" spans="1:54">
      <c r="A462" s="6">
        <v>45807</v>
      </c>
      <c r="B462" s="7" t="s">
        <v>1618</v>
      </c>
      <c r="C462" t="s">
        <v>205</v>
      </c>
      <c r="D462" t="s">
        <v>2286</v>
      </c>
      <c r="G462" t="s">
        <v>207</v>
      </c>
      <c r="H462" s="8" t="s">
        <v>208</v>
      </c>
      <c r="I462" s="8" t="s">
        <v>208</v>
      </c>
      <c r="J462" s="8" t="s">
        <v>208</v>
      </c>
      <c r="K462" s="8" t="s">
        <v>208</v>
      </c>
      <c r="L462" s="8" t="s">
        <v>208</v>
      </c>
      <c r="M462" s="8" t="s">
        <v>208</v>
      </c>
      <c r="N462" s="8" t="s">
        <v>208</v>
      </c>
      <c r="O462" s="8" t="s">
        <v>208</v>
      </c>
      <c r="Q462" t="s">
        <v>1619</v>
      </c>
      <c r="R462" t="s">
        <v>1620</v>
      </c>
      <c r="U462" t="s">
        <v>1621</v>
      </c>
      <c r="V462" t="s">
        <v>140</v>
      </c>
      <c r="W462" t="s">
        <v>212</v>
      </c>
      <c r="X462" t="s">
        <v>212</v>
      </c>
      <c r="Y462" t="s">
        <v>275</v>
      </c>
      <c r="Z462" t="s">
        <v>213</v>
      </c>
      <c r="AA462" t="s">
        <v>214</v>
      </c>
      <c r="AB462" t="s">
        <v>681</v>
      </c>
      <c r="AC462" t="s">
        <v>1335</v>
      </c>
      <c r="AD462" t="s">
        <v>2255</v>
      </c>
      <c r="AE462" t="s">
        <v>217</v>
      </c>
      <c r="AG462" s="8" t="s">
        <v>218</v>
      </c>
      <c r="AH462" t="s">
        <v>2256</v>
      </c>
      <c r="AI462" s="8" t="s">
        <v>221</v>
      </c>
      <c r="AJ462" s="9" t="s">
        <v>218</v>
      </c>
      <c r="AK462" t="s">
        <v>234</v>
      </c>
      <c r="AL462" s="8" t="s">
        <v>221</v>
      </c>
      <c r="AM462" s="9" t="s">
        <v>218</v>
      </c>
      <c r="AN462" s="8" t="s">
        <v>221</v>
      </c>
      <c r="AO462" s="8" t="s">
        <v>222</v>
      </c>
      <c r="AP462" s="8">
        <v>0</v>
      </c>
      <c r="AQ462" s="8">
        <v>0</v>
      </c>
      <c r="AR462" s="9">
        <v>42</v>
      </c>
      <c r="AS462" s="8">
        <v>0</v>
      </c>
      <c r="AT462" s="8">
        <v>0</v>
      </c>
      <c r="AU462" s="8">
        <v>0</v>
      </c>
      <c r="AV462" s="8">
        <v>0</v>
      </c>
      <c r="AW462" s="9">
        <v>42</v>
      </c>
      <c r="AX462" s="8"/>
      <c r="AY462" s="9" t="s">
        <v>2046</v>
      </c>
      <c r="AZ462">
        <v>2</v>
      </c>
      <c r="BA462" t="s">
        <v>2379</v>
      </c>
      <c r="BB462" t="s">
        <v>1624</v>
      </c>
    </row>
    <row r="463" spans="1:54">
      <c r="A463" s="6">
        <v>45807</v>
      </c>
      <c r="B463" s="7" t="s">
        <v>2380</v>
      </c>
      <c r="C463" t="s">
        <v>205</v>
      </c>
      <c r="D463" t="s">
        <v>2286</v>
      </c>
      <c r="G463" t="s">
        <v>207</v>
      </c>
      <c r="H463" s="8" t="s">
        <v>208</v>
      </c>
      <c r="I463" s="8" t="s">
        <v>208</v>
      </c>
      <c r="J463" s="8" t="s">
        <v>208</v>
      </c>
      <c r="K463" s="8" t="s">
        <v>208</v>
      </c>
      <c r="L463" s="8" t="s">
        <v>208</v>
      </c>
      <c r="M463" s="8" t="s">
        <v>208</v>
      </c>
      <c r="N463" s="8" t="s">
        <v>208</v>
      </c>
      <c r="O463" s="8" t="s">
        <v>208</v>
      </c>
      <c r="Q463" t="s">
        <v>2381</v>
      </c>
      <c r="R463" t="s">
        <v>2382</v>
      </c>
      <c r="U463" t="s">
        <v>2383</v>
      </c>
      <c r="V463" t="s">
        <v>138</v>
      </c>
      <c r="W463" t="s">
        <v>212</v>
      </c>
      <c r="X463" t="s">
        <v>212</v>
      </c>
      <c r="Y463" t="s">
        <v>275</v>
      </c>
      <c r="Z463" t="s">
        <v>213</v>
      </c>
      <c r="AA463" t="s">
        <v>214</v>
      </c>
      <c r="AB463" t="s">
        <v>215</v>
      </c>
      <c r="AC463" t="s">
        <v>701</v>
      </c>
      <c r="AD463" t="s">
        <v>2255</v>
      </c>
      <c r="AE463" t="s">
        <v>217</v>
      </c>
      <c r="AG463" s="8" t="s">
        <v>218</v>
      </c>
      <c r="AH463" t="s">
        <v>2256</v>
      </c>
      <c r="AI463" s="8" t="s">
        <v>221</v>
      </c>
      <c r="AJ463" s="9" t="s">
        <v>218</v>
      </c>
      <c r="AK463" t="s">
        <v>234</v>
      </c>
      <c r="AL463" s="8" t="s">
        <v>221</v>
      </c>
      <c r="AM463" s="9" t="s">
        <v>218</v>
      </c>
      <c r="AN463" s="8" t="s">
        <v>221</v>
      </c>
      <c r="AO463" s="8" t="s">
        <v>222</v>
      </c>
      <c r="AP463" s="8">
        <v>0</v>
      </c>
      <c r="AQ463" s="8">
        <v>0</v>
      </c>
      <c r="AR463" s="9">
        <v>2</v>
      </c>
      <c r="AS463" s="8">
        <v>0</v>
      </c>
      <c r="AT463" s="8">
        <v>0</v>
      </c>
      <c r="AU463" s="8">
        <v>0</v>
      </c>
      <c r="AV463" s="8">
        <v>0</v>
      </c>
      <c r="AW463" s="9">
        <v>2</v>
      </c>
      <c r="AX463" s="8"/>
      <c r="AY463" s="8"/>
      <c r="AZ463">
        <v>2</v>
      </c>
      <c r="BA463" t="s">
        <v>2384</v>
      </c>
      <c r="BB463" t="s">
        <v>2385</v>
      </c>
    </row>
    <row r="464" spans="1:54">
      <c r="A464" s="6">
        <v>45807</v>
      </c>
      <c r="B464" s="7" t="s">
        <v>2386</v>
      </c>
      <c r="C464" t="s">
        <v>205</v>
      </c>
      <c r="D464" t="s">
        <v>2286</v>
      </c>
      <c r="G464" t="s">
        <v>207</v>
      </c>
      <c r="H464" s="8" t="s">
        <v>208</v>
      </c>
      <c r="I464" s="8" t="s">
        <v>208</v>
      </c>
      <c r="J464" s="8" t="s">
        <v>208</v>
      </c>
      <c r="K464" s="8" t="s">
        <v>208</v>
      </c>
      <c r="L464" s="8" t="s">
        <v>208</v>
      </c>
      <c r="M464" s="8" t="s">
        <v>208</v>
      </c>
      <c r="N464" s="8" t="s">
        <v>208</v>
      </c>
      <c r="O464" s="8" t="s">
        <v>208</v>
      </c>
      <c r="Q464" t="s">
        <v>2387</v>
      </c>
      <c r="R464" t="s">
        <v>2388</v>
      </c>
      <c r="U464" t="s">
        <v>2389</v>
      </c>
      <c r="V464" t="s">
        <v>140</v>
      </c>
      <c r="W464" t="s">
        <v>774</v>
      </c>
      <c r="X464" t="s">
        <v>774</v>
      </c>
      <c r="Y464" t="s">
        <v>1082</v>
      </c>
      <c r="Z464" t="s">
        <v>775</v>
      </c>
      <c r="AA464" t="s">
        <v>1164</v>
      </c>
      <c r="AB464" t="s">
        <v>465</v>
      </c>
      <c r="AC464" t="s">
        <v>301</v>
      </c>
      <c r="AD464" t="s">
        <v>2258</v>
      </c>
      <c r="AE464" t="s">
        <v>2259</v>
      </c>
      <c r="AG464" s="8" t="s">
        <v>218</v>
      </c>
      <c r="AH464" t="s">
        <v>2256</v>
      </c>
      <c r="AI464" s="8" t="s">
        <v>221</v>
      </c>
      <c r="AJ464" s="9" t="s">
        <v>218</v>
      </c>
      <c r="AK464" t="s">
        <v>2390</v>
      </c>
      <c r="AL464" s="8" t="s">
        <v>221</v>
      </c>
      <c r="AM464" s="9" t="s">
        <v>218</v>
      </c>
      <c r="AN464" s="8" t="s">
        <v>221</v>
      </c>
      <c r="AO464" s="8" t="s">
        <v>222</v>
      </c>
      <c r="AP464" s="8">
        <v>0</v>
      </c>
      <c r="AQ464" s="8">
        <v>0</v>
      </c>
      <c r="AR464" s="9">
        <v>6</v>
      </c>
      <c r="AS464" s="8">
        <v>0</v>
      </c>
      <c r="AT464" s="8">
        <v>0</v>
      </c>
      <c r="AU464" s="8">
        <v>0</v>
      </c>
      <c r="AV464" s="8">
        <v>0</v>
      </c>
      <c r="AW464" s="9">
        <v>6</v>
      </c>
      <c r="AX464" s="8"/>
      <c r="AY464" s="8"/>
      <c r="AZ464">
        <v>2</v>
      </c>
      <c r="BA464" t="s">
        <v>2391</v>
      </c>
      <c r="BB464" t="s">
        <v>2392</v>
      </c>
    </row>
    <row r="465" spans="1:54">
      <c r="A465" s="6">
        <v>45807</v>
      </c>
      <c r="B465" s="7" t="s">
        <v>2393</v>
      </c>
      <c r="C465" t="s">
        <v>205</v>
      </c>
      <c r="D465" t="s">
        <v>2286</v>
      </c>
      <c r="G465" t="s">
        <v>207</v>
      </c>
      <c r="H465" s="8" t="s">
        <v>208</v>
      </c>
      <c r="I465" s="8" t="s">
        <v>208</v>
      </c>
      <c r="J465" s="8" t="s">
        <v>208</v>
      </c>
      <c r="K465" s="8" t="s">
        <v>208</v>
      </c>
      <c r="L465" s="8" t="s">
        <v>208</v>
      </c>
      <c r="M465" s="8" t="s">
        <v>208</v>
      </c>
      <c r="N465" s="8" t="s">
        <v>208</v>
      </c>
      <c r="O465" s="8" t="s">
        <v>208</v>
      </c>
      <c r="Q465" t="s">
        <v>2394</v>
      </c>
      <c r="R465" t="s">
        <v>2395</v>
      </c>
      <c r="U465" t="s">
        <v>2396</v>
      </c>
      <c r="V465" t="s">
        <v>140</v>
      </c>
      <c r="W465" t="s">
        <v>774</v>
      </c>
      <c r="X465" t="s">
        <v>774</v>
      </c>
      <c r="Y465" t="s">
        <v>1082</v>
      </c>
      <c r="Z465" t="s">
        <v>775</v>
      </c>
      <c r="AA465" t="s">
        <v>1164</v>
      </c>
      <c r="AB465" t="s">
        <v>301</v>
      </c>
      <c r="AC465" t="s">
        <v>312</v>
      </c>
      <c r="AD465" t="s">
        <v>2258</v>
      </c>
      <c r="AE465" t="s">
        <v>2259</v>
      </c>
      <c r="AG465" s="8" t="s">
        <v>218</v>
      </c>
      <c r="AH465" t="s">
        <v>2256</v>
      </c>
      <c r="AI465" s="8" t="s">
        <v>221</v>
      </c>
      <c r="AJ465" s="9" t="s">
        <v>218</v>
      </c>
      <c r="AK465" t="s">
        <v>2397</v>
      </c>
      <c r="AL465" s="8" t="s">
        <v>221</v>
      </c>
      <c r="AM465" s="9" t="s">
        <v>218</v>
      </c>
      <c r="AN465" s="8" t="s">
        <v>221</v>
      </c>
      <c r="AO465" s="8" t="s">
        <v>222</v>
      </c>
      <c r="AP465" s="8">
        <v>0</v>
      </c>
      <c r="AQ465" s="8">
        <v>0</v>
      </c>
      <c r="AR465" s="8">
        <v>0</v>
      </c>
      <c r="AS465" s="8">
        <v>0</v>
      </c>
      <c r="AT465" s="8">
        <v>0</v>
      </c>
      <c r="AU465" s="8">
        <v>0</v>
      </c>
      <c r="AV465" s="8">
        <v>0</v>
      </c>
      <c r="AW465" s="8">
        <v>0</v>
      </c>
      <c r="AX465" s="8"/>
      <c r="AY465" s="8"/>
      <c r="AZ465">
        <v>2</v>
      </c>
      <c r="BA465" t="s">
        <v>2391</v>
      </c>
      <c r="BB465" t="s">
        <v>2398</v>
      </c>
    </row>
    <row r="466" spans="1:54">
      <c r="A466" s="6">
        <v>45807</v>
      </c>
      <c r="B466" s="7" t="s">
        <v>1422</v>
      </c>
      <c r="C466" t="s">
        <v>205</v>
      </c>
      <c r="D466" t="s">
        <v>2286</v>
      </c>
      <c r="G466" t="s">
        <v>207</v>
      </c>
      <c r="H466" s="8" t="s">
        <v>208</v>
      </c>
      <c r="I466" s="8" t="s">
        <v>208</v>
      </c>
      <c r="J466" s="8" t="s">
        <v>208</v>
      </c>
      <c r="K466" s="8" t="s">
        <v>208</v>
      </c>
      <c r="L466" s="8" t="s">
        <v>208</v>
      </c>
      <c r="M466" s="8" t="s">
        <v>208</v>
      </c>
      <c r="N466" s="8" t="s">
        <v>208</v>
      </c>
      <c r="O466" s="8" t="s">
        <v>208</v>
      </c>
      <c r="Q466" t="s">
        <v>1423</v>
      </c>
      <c r="R466" t="s">
        <v>1424</v>
      </c>
      <c r="U466" t="s">
        <v>1425</v>
      </c>
      <c r="V466" t="s">
        <v>140</v>
      </c>
      <c r="W466" t="s">
        <v>212</v>
      </c>
      <c r="X466" t="s">
        <v>212</v>
      </c>
      <c r="Y466" t="s">
        <v>275</v>
      </c>
      <c r="Z466" t="s">
        <v>213</v>
      </c>
      <c r="AA466" t="s">
        <v>214</v>
      </c>
      <c r="AB466" t="s">
        <v>832</v>
      </c>
      <c r="AC466" t="s">
        <v>672</v>
      </c>
      <c r="AD466" t="s">
        <v>2255</v>
      </c>
      <c r="AE466" t="s">
        <v>217</v>
      </c>
      <c r="AG466" s="9" t="s">
        <v>221</v>
      </c>
      <c r="AH466" t="s">
        <v>2256</v>
      </c>
      <c r="AI466" s="8" t="s">
        <v>221</v>
      </c>
      <c r="AJ466" s="9" t="s">
        <v>218</v>
      </c>
      <c r="AK466" t="s">
        <v>234</v>
      </c>
      <c r="AL466" s="8" t="s">
        <v>221</v>
      </c>
      <c r="AM466" s="9" t="s">
        <v>218</v>
      </c>
      <c r="AN466" s="8" t="s">
        <v>221</v>
      </c>
      <c r="AO466" s="8" t="s">
        <v>222</v>
      </c>
      <c r="AP466" s="8">
        <v>0</v>
      </c>
      <c r="AQ466" s="8">
        <v>0</v>
      </c>
      <c r="AR466" s="9">
        <v>152</v>
      </c>
      <c r="AS466" s="8">
        <v>0</v>
      </c>
      <c r="AT466" s="8">
        <v>0</v>
      </c>
      <c r="AU466" s="8">
        <v>0</v>
      </c>
      <c r="AV466" s="8">
        <v>0</v>
      </c>
      <c r="AW466" s="9">
        <v>152</v>
      </c>
      <c r="AX466" s="8"/>
      <c r="AY466" s="9" t="s">
        <v>1426</v>
      </c>
      <c r="AZ466">
        <v>2</v>
      </c>
      <c r="BA466" t="s">
        <v>2257</v>
      </c>
      <c r="BB466" t="s">
        <v>1428</v>
      </c>
    </row>
    <row r="467" spans="1:54">
      <c r="A467" s="6">
        <v>45807</v>
      </c>
      <c r="B467" s="7" t="s">
        <v>686</v>
      </c>
      <c r="C467" t="s">
        <v>205</v>
      </c>
      <c r="D467" t="s">
        <v>2286</v>
      </c>
      <c r="G467" t="s">
        <v>207</v>
      </c>
      <c r="H467" s="8" t="s">
        <v>208</v>
      </c>
      <c r="I467" s="8" t="s">
        <v>208</v>
      </c>
      <c r="J467" s="8" t="s">
        <v>208</v>
      </c>
      <c r="K467" s="8" t="s">
        <v>208</v>
      </c>
      <c r="L467" s="8" t="s">
        <v>208</v>
      </c>
      <c r="M467" s="8" t="s">
        <v>208</v>
      </c>
      <c r="N467" s="8" t="s">
        <v>208</v>
      </c>
      <c r="O467" s="8" t="s">
        <v>208</v>
      </c>
      <c r="Q467" t="s">
        <v>688</v>
      </c>
      <c r="R467" t="s">
        <v>689</v>
      </c>
      <c r="U467" t="s">
        <v>690</v>
      </c>
      <c r="V467" t="s">
        <v>662</v>
      </c>
      <c r="W467" t="s">
        <v>232</v>
      </c>
      <c r="X467" t="s">
        <v>232</v>
      </c>
      <c r="Y467" t="s">
        <v>275</v>
      </c>
      <c r="Z467" t="s">
        <v>233</v>
      </c>
      <c r="AA467" t="s">
        <v>663</v>
      </c>
      <c r="AB467" t="s">
        <v>2399</v>
      </c>
      <c r="AC467" t="s">
        <v>1980</v>
      </c>
      <c r="AD467" t="s">
        <v>2255</v>
      </c>
      <c r="AE467" t="s">
        <v>217</v>
      </c>
      <c r="AG467" s="8" t="s">
        <v>218</v>
      </c>
      <c r="AH467" t="s">
        <v>2256</v>
      </c>
      <c r="AI467" s="8" t="s">
        <v>221</v>
      </c>
      <c r="AJ467" s="9" t="s">
        <v>218</v>
      </c>
      <c r="AK467" t="s">
        <v>234</v>
      </c>
      <c r="AL467" s="8" t="s">
        <v>221</v>
      </c>
      <c r="AM467" s="9" t="s">
        <v>218</v>
      </c>
      <c r="AN467" s="8" t="s">
        <v>221</v>
      </c>
      <c r="AO467" s="8" t="s">
        <v>222</v>
      </c>
      <c r="AP467" s="8">
        <v>0</v>
      </c>
      <c r="AQ467" s="8">
        <v>0</v>
      </c>
      <c r="AR467" s="9">
        <v>686</v>
      </c>
      <c r="AS467" s="8">
        <v>0</v>
      </c>
      <c r="AT467" s="8">
        <v>0</v>
      </c>
      <c r="AU467" s="8">
        <v>0</v>
      </c>
      <c r="AV467" s="8">
        <v>0</v>
      </c>
      <c r="AW467" s="9">
        <v>686</v>
      </c>
      <c r="AX467" s="9" t="s">
        <v>692</v>
      </c>
      <c r="AY467" s="8"/>
      <c r="AZ467">
        <v>2</v>
      </c>
      <c r="BA467" t="s">
        <v>2400</v>
      </c>
      <c r="BB467" t="s">
        <v>694</v>
      </c>
    </row>
    <row r="468" spans="1:54">
      <c r="A468" s="6">
        <v>45807</v>
      </c>
      <c r="B468" s="7" t="s">
        <v>2401</v>
      </c>
      <c r="C468" t="s">
        <v>205</v>
      </c>
      <c r="D468" t="s">
        <v>2286</v>
      </c>
      <c r="G468" t="s">
        <v>207</v>
      </c>
      <c r="H468" s="8" t="s">
        <v>208</v>
      </c>
      <c r="I468" s="8" t="s">
        <v>208</v>
      </c>
      <c r="J468" s="8" t="s">
        <v>208</v>
      </c>
      <c r="K468" s="8" t="s">
        <v>208</v>
      </c>
      <c r="L468" s="8" t="s">
        <v>208</v>
      </c>
      <c r="M468" s="8" t="s">
        <v>208</v>
      </c>
      <c r="N468" s="8" t="s">
        <v>208</v>
      </c>
      <c r="O468" s="8" t="s">
        <v>208</v>
      </c>
      <c r="Q468" t="s">
        <v>2402</v>
      </c>
      <c r="R468" t="s">
        <v>2403</v>
      </c>
      <c r="U468" t="s">
        <v>2404</v>
      </c>
      <c r="V468" t="s">
        <v>140</v>
      </c>
      <c r="W468" t="s">
        <v>212</v>
      </c>
      <c r="X468" t="s">
        <v>212</v>
      </c>
      <c r="Y468" t="s">
        <v>275</v>
      </c>
      <c r="Z468" t="s">
        <v>213</v>
      </c>
      <c r="AA468" t="s">
        <v>214</v>
      </c>
      <c r="AB468" t="s">
        <v>215</v>
      </c>
      <c r="AC468" t="s">
        <v>701</v>
      </c>
      <c r="AD468" t="s">
        <v>2255</v>
      </c>
      <c r="AE468" t="s">
        <v>217</v>
      </c>
      <c r="AG468" s="8" t="s">
        <v>218</v>
      </c>
      <c r="AH468" t="s">
        <v>2256</v>
      </c>
      <c r="AI468" s="8" t="s">
        <v>221</v>
      </c>
      <c r="AJ468" s="9" t="s">
        <v>218</v>
      </c>
      <c r="AK468" t="s">
        <v>234</v>
      </c>
      <c r="AL468" s="8" t="s">
        <v>221</v>
      </c>
      <c r="AM468" s="9" t="s">
        <v>218</v>
      </c>
      <c r="AN468" s="8" t="s">
        <v>221</v>
      </c>
      <c r="AO468" s="8" t="s">
        <v>222</v>
      </c>
      <c r="AP468" s="8">
        <v>0</v>
      </c>
      <c r="AQ468" s="8">
        <v>0</v>
      </c>
      <c r="AR468" s="9">
        <v>3</v>
      </c>
      <c r="AS468" s="8">
        <v>0</v>
      </c>
      <c r="AT468" s="8">
        <v>0</v>
      </c>
      <c r="AU468" s="8">
        <v>0</v>
      </c>
      <c r="AV468" s="8">
        <v>0</v>
      </c>
      <c r="AW468" s="9">
        <v>3</v>
      </c>
      <c r="AX468" s="8"/>
      <c r="AY468" s="8"/>
      <c r="AZ468">
        <v>2</v>
      </c>
      <c r="BA468" t="s">
        <v>2405</v>
      </c>
      <c r="BB468" t="s">
        <v>2406</v>
      </c>
    </row>
    <row r="469" spans="1:54">
      <c r="A469" s="6">
        <v>45807</v>
      </c>
      <c r="B469" s="7" t="s">
        <v>2407</v>
      </c>
      <c r="C469" t="s">
        <v>205</v>
      </c>
      <c r="D469" t="s">
        <v>2286</v>
      </c>
      <c r="G469" t="s">
        <v>207</v>
      </c>
      <c r="H469" s="8" t="s">
        <v>208</v>
      </c>
      <c r="I469" s="8" t="s">
        <v>208</v>
      </c>
      <c r="J469" s="8" t="s">
        <v>208</v>
      </c>
      <c r="K469" s="8" t="s">
        <v>208</v>
      </c>
      <c r="L469" s="8" t="s">
        <v>208</v>
      </c>
      <c r="M469" s="8" t="s">
        <v>208</v>
      </c>
      <c r="N469" s="8" t="s">
        <v>208</v>
      </c>
      <c r="O469" s="8" t="s">
        <v>208</v>
      </c>
      <c r="Q469" t="s">
        <v>2408</v>
      </c>
      <c r="R469" t="s">
        <v>2409</v>
      </c>
      <c r="U469" t="s">
        <v>2410</v>
      </c>
      <c r="V469" t="s">
        <v>138</v>
      </c>
      <c r="W469" t="s">
        <v>212</v>
      </c>
      <c r="X469" t="s">
        <v>212</v>
      </c>
      <c r="Y469" t="s">
        <v>275</v>
      </c>
      <c r="Z469" t="s">
        <v>213</v>
      </c>
      <c r="AA469" t="s">
        <v>214</v>
      </c>
      <c r="AB469" t="s">
        <v>215</v>
      </c>
      <c r="AC469" t="s">
        <v>701</v>
      </c>
      <c r="AD469" t="s">
        <v>2255</v>
      </c>
      <c r="AE469" t="s">
        <v>217</v>
      </c>
      <c r="AG469" s="8" t="s">
        <v>218</v>
      </c>
      <c r="AH469" t="s">
        <v>2256</v>
      </c>
      <c r="AI469" s="8" t="s">
        <v>221</v>
      </c>
      <c r="AJ469" s="9" t="s">
        <v>218</v>
      </c>
      <c r="AK469" t="s">
        <v>234</v>
      </c>
      <c r="AL469" s="8" t="s">
        <v>221</v>
      </c>
      <c r="AM469" s="9" t="s">
        <v>218</v>
      </c>
      <c r="AN469" s="8" t="s">
        <v>221</v>
      </c>
      <c r="AO469" s="8" t="s">
        <v>222</v>
      </c>
      <c r="AP469" s="8">
        <v>0</v>
      </c>
      <c r="AQ469" s="8">
        <v>0</v>
      </c>
      <c r="AR469" s="9">
        <v>6</v>
      </c>
      <c r="AS469" s="8">
        <v>0</v>
      </c>
      <c r="AT469" s="8">
        <v>0</v>
      </c>
      <c r="AU469" s="8">
        <v>0</v>
      </c>
      <c r="AV469" s="8">
        <v>0</v>
      </c>
      <c r="AW469" s="9">
        <v>6</v>
      </c>
      <c r="AX469" s="8"/>
      <c r="AY469" s="8"/>
      <c r="AZ469">
        <v>2</v>
      </c>
      <c r="BA469" t="s">
        <v>2405</v>
      </c>
      <c r="BB469" t="s">
        <v>2411</v>
      </c>
    </row>
    <row r="470" spans="1:54">
      <c r="A470" s="6">
        <v>45807</v>
      </c>
      <c r="B470" s="7" t="s">
        <v>2412</v>
      </c>
      <c r="C470" t="s">
        <v>205</v>
      </c>
      <c r="D470" t="s">
        <v>2286</v>
      </c>
      <c r="G470" t="s">
        <v>207</v>
      </c>
      <c r="H470" s="8" t="s">
        <v>208</v>
      </c>
      <c r="I470" s="8" t="s">
        <v>208</v>
      </c>
      <c r="J470" s="8" t="s">
        <v>208</v>
      </c>
      <c r="K470" s="8" t="s">
        <v>208</v>
      </c>
      <c r="L470" s="8" t="s">
        <v>208</v>
      </c>
      <c r="M470" s="8" t="s">
        <v>208</v>
      </c>
      <c r="N470" s="8" t="s">
        <v>208</v>
      </c>
      <c r="O470" s="8" t="s">
        <v>208</v>
      </c>
      <c r="Q470" t="s">
        <v>2413</v>
      </c>
      <c r="R470" t="s">
        <v>2414</v>
      </c>
      <c r="U470" t="s">
        <v>2415</v>
      </c>
      <c r="V470" t="s">
        <v>140</v>
      </c>
      <c r="W470" t="s">
        <v>212</v>
      </c>
      <c r="X470" t="s">
        <v>212</v>
      </c>
      <c r="Y470" t="s">
        <v>275</v>
      </c>
      <c r="Z470" t="s">
        <v>213</v>
      </c>
      <c r="AA470" t="s">
        <v>214</v>
      </c>
      <c r="AB470" t="s">
        <v>701</v>
      </c>
      <c r="AC470" t="s">
        <v>242</v>
      </c>
      <c r="AD470" t="s">
        <v>2255</v>
      </c>
      <c r="AE470" t="s">
        <v>217</v>
      </c>
      <c r="AG470" s="8" t="s">
        <v>218</v>
      </c>
      <c r="AH470" t="s">
        <v>2256</v>
      </c>
      <c r="AI470" s="8" t="s">
        <v>221</v>
      </c>
      <c r="AJ470" s="9" t="s">
        <v>218</v>
      </c>
      <c r="AK470" t="s">
        <v>234</v>
      </c>
      <c r="AL470" s="8" t="s">
        <v>221</v>
      </c>
      <c r="AM470" s="9" t="s">
        <v>218</v>
      </c>
      <c r="AN470" s="8" t="s">
        <v>221</v>
      </c>
      <c r="AO470" s="8" t="s">
        <v>222</v>
      </c>
      <c r="AP470" s="8">
        <v>0</v>
      </c>
      <c r="AQ470" s="8">
        <v>0</v>
      </c>
      <c r="AR470" s="8">
        <v>0</v>
      </c>
      <c r="AS470" s="8">
        <v>0</v>
      </c>
      <c r="AT470" s="8">
        <v>0</v>
      </c>
      <c r="AU470" s="8">
        <v>0</v>
      </c>
      <c r="AV470" s="8">
        <v>0</v>
      </c>
      <c r="AW470" s="8">
        <v>0</v>
      </c>
      <c r="AX470" s="8"/>
      <c r="AY470" s="8"/>
      <c r="AZ470">
        <v>2</v>
      </c>
      <c r="BA470" t="s">
        <v>2405</v>
      </c>
      <c r="BB470" t="s">
        <v>2416</v>
      </c>
    </row>
    <row r="471" spans="1:54">
      <c r="A471" s="6">
        <v>45807</v>
      </c>
      <c r="B471" s="7" t="s">
        <v>2417</v>
      </c>
      <c r="C471" t="s">
        <v>387</v>
      </c>
      <c r="D471" t="s">
        <v>2286</v>
      </c>
      <c r="G471" t="s">
        <v>207</v>
      </c>
      <c r="H471" s="8" t="s">
        <v>208</v>
      </c>
      <c r="I471" s="8" t="s">
        <v>208</v>
      </c>
      <c r="J471" s="8" t="s">
        <v>208</v>
      </c>
      <c r="K471" s="8" t="s">
        <v>208</v>
      </c>
      <c r="L471" s="8" t="s">
        <v>208</v>
      </c>
      <c r="M471" s="8" t="s">
        <v>208</v>
      </c>
      <c r="N471" s="8" t="s">
        <v>208</v>
      </c>
      <c r="O471" s="8" t="s">
        <v>208</v>
      </c>
      <c r="Q471" t="s">
        <v>2418</v>
      </c>
      <c r="R471" t="s">
        <v>2419</v>
      </c>
      <c r="U471" t="s">
        <v>2420</v>
      </c>
      <c r="V471" t="s">
        <v>635</v>
      </c>
      <c r="W471" t="s">
        <v>298</v>
      </c>
      <c r="X471" t="s">
        <v>298</v>
      </c>
      <c r="Y471" t="s">
        <v>1103</v>
      </c>
      <c r="Z471" t="s">
        <v>299</v>
      </c>
      <c r="AA471" t="s">
        <v>636</v>
      </c>
      <c r="AB471" t="s">
        <v>301</v>
      </c>
      <c r="AC471" t="s">
        <v>312</v>
      </c>
      <c r="AD471" t="s">
        <v>2282</v>
      </c>
      <c r="AE471" t="s">
        <v>636</v>
      </c>
      <c r="AG471" s="8" t="s">
        <v>218</v>
      </c>
      <c r="AH471" t="s">
        <v>2283</v>
      </c>
      <c r="AI471" s="8" t="s">
        <v>221</v>
      </c>
      <c r="AJ471" s="9" t="s">
        <v>218</v>
      </c>
      <c r="AK471" t="s">
        <v>2421</v>
      </c>
      <c r="AL471" s="8" t="s">
        <v>221</v>
      </c>
      <c r="AM471" s="9" t="s">
        <v>218</v>
      </c>
      <c r="AN471" s="8" t="s">
        <v>221</v>
      </c>
      <c r="AO471" s="8" t="s">
        <v>222</v>
      </c>
      <c r="AP471" s="8">
        <v>0</v>
      </c>
      <c r="AQ471" s="8">
        <v>0</v>
      </c>
      <c r="AR471" s="8">
        <v>0</v>
      </c>
      <c r="AS471" s="8">
        <v>0</v>
      </c>
      <c r="AT471" s="8">
        <v>0</v>
      </c>
      <c r="AU471" s="8">
        <v>0</v>
      </c>
      <c r="AV471" s="8">
        <v>0</v>
      </c>
      <c r="AW471" s="8">
        <v>0</v>
      </c>
      <c r="AX471" s="8"/>
      <c r="AY471" s="8"/>
      <c r="AZ471">
        <v>2</v>
      </c>
      <c r="BA471" t="s">
        <v>2422</v>
      </c>
      <c r="BB471" t="s">
        <v>2423</v>
      </c>
    </row>
    <row r="472" spans="1:54">
      <c r="A472" s="6">
        <v>45807</v>
      </c>
      <c r="B472" s="7" t="s">
        <v>2424</v>
      </c>
      <c r="C472" t="s">
        <v>205</v>
      </c>
      <c r="D472" t="s">
        <v>2286</v>
      </c>
      <c r="G472" t="s">
        <v>207</v>
      </c>
      <c r="H472" s="8" t="s">
        <v>208</v>
      </c>
      <c r="I472" s="8" t="s">
        <v>208</v>
      </c>
      <c r="J472" s="8" t="s">
        <v>208</v>
      </c>
      <c r="K472" s="8" t="s">
        <v>208</v>
      </c>
      <c r="L472" s="8" t="s">
        <v>208</v>
      </c>
      <c r="M472" s="8" t="s">
        <v>208</v>
      </c>
      <c r="N472" s="8" t="s">
        <v>208</v>
      </c>
      <c r="O472" s="8" t="s">
        <v>208</v>
      </c>
      <c r="Q472" t="s">
        <v>2425</v>
      </c>
      <c r="R472" t="s">
        <v>2426</v>
      </c>
      <c r="U472" t="s">
        <v>2427</v>
      </c>
      <c r="V472" t="s">
        <v>140</v>
      </c>
      <c r="W472" t="s">
        <v>774</v>
      </c>
      <c r="X472" t="s">
        <v>774</v>
      </c>
      <c r="Y472" t="s">
        <v>1082</v>
      </c>
      <c r="Z472" t="s">
        <v>775</v>
      </c>
      <c r="AA472" t="s">
        <v>1164</v>
      </c>
      <c r="AB472" t="s">
        <v>301</v>
      </c>
      <c r="AC472" t="s">
        <v>312</v>
      </c>
      <c r="AD472" t="s">
        <v>2258</v>
      </c>
      <c r="AE472" t="s">
        <v>2259</v>
      </c>
      <c r="AG472" s="8" t="s">
        <v>218</v>
      </c>
      <c r="AH472" t="s">
        <v>2256</v>
      </c>
      <c r="AI472" s="8" t="s">
        <v>221</v>
      </c>
      <c r="AJ472" s="9" t="s">
        <v>218</v>
      </c>
      <c r="AK472" t="s">
        <v>234</v>
      </c>
      <c r="AL472" s="8" t="s">
        <v>221</v>
      </c>
      <c r="AM472" s="9" t="s">
        <v>218</v>
      </c>
      <c r="AN472" s="8" t="s">
        <v>221</v>
      </c>
      <c r="AO472" s="8" t="s">
        <v>222</v>
      </c>
      <c r="AP472" s="8">
        <v>0</v>
      </c>
      <c r="AQ472" s="8">
        <v>0</v>
      </c>
      <c r="AR472" s="8">
        <v>0</v>
      </c>
      <c r="AS472" s="8">
        <v>0</v>
      </c>
      <c r="AT472" s="8">
        <v>0</v>
      </c>
      <c r="AU472" s="8">
        <v>0</v>
      </c>
      <c r="AV472" s="8">
        <v>0</v>
      </c>
      <c r="AW472" s="8">
        <v>0</v>
      </c>
      <c r="AX472" s="8"/>
      <c r="AY472" s="8"/>
      <c r="AZ472">
        <v>2</v>
      </c>
      <c r="BA472" t="s">
        <v>2428</v>
      </c>
      <c r="BB472" t="s">
        <v>2429</v>
      </c>
    </row>
    <row r="473" spans="1:54">
      <c r="A473" s="6">
        <v>45807</v>
      </c>
      <c r="B473" s="7" t="s">
        <v>2430</v>
      </c>
      <c r="C473" t="s">
        <v>205</v>
      </c>
      <c r="D473" t="s">
        <v>2286</v>
      </c>
      <c r="G473" t="s">
        <v>207</v>
      </c>
      <c r="H473" s="8" t="s">
        <v>208</v>
      </c>
      <c r="I473" s="8" t="s">
        <v>208</v>
      </c>
      <c r="J473" s="8" t="s">
        <v>208</v>
      </c>
      <c r="K473" s="8" t="s">
        <v>208</v>
      </c>
      <c r="L473" s="8" t="s">
        <v>208</v>
      </c>
      <c r="M473" s="8" t="s">
        <v>208</v>
      </c>
      <c r="N473" s="8" t="s">
        <v>208</v>
      </c>
      <c r="O473" s="8" t="s">
        <v>208</v>
      </c>
      <c r="Q473" t="s">
        <v>2431</v>
      </c>
      <c r="R473" t="s">
        <v>2432</v>
      </c>
      <c r="U473" t="s">
        <v>2427</v>
      </c>
      <c r="V473" t="s">
        <v>140</v>
      </c>
      <c r="W473" t="s">
        <v>774</v>
      </c>
      <c r="X473" t="s">
        <v>774</v>
      </c>
      <c r="Y473" t="s">
        <v>1082</v>
      </c>
      <c r="Z473" t="s">
        <v>775</v>
      </c>
      <c r="AA473" t="s">
        <v>1164</v>
      </c>
      <c r="AB473" t="s">
        <v>391</v>
      </c>
      <c r="AC473" t="s">
        <v>425</v>
      </c>
      <c r="AD473" t="s">
        <v>2258</v>
      </c>
      <c r="AE473" t="s">
        <v>2259</v>
      </c>
      <c r="AG473" s="8" t="s">
        <v>218</v>
      </c>
      <c r="AH473" t="s">
        <v>2256</v>
      </c>
      <c r="AI473" s="8" t="s">
        <v>221</v>
      </c>
      <c r="AJ473" s="9" t="s">
        <v>218</v>
      </c>
      <c r="AK473" t="s">
        <v>234</v>
      </c>
      <c r="AL473" s="8" t="s">
        <v>221</v>
      </c>
      <c r="AM473" s="9" t="s">
        <v>218</v>
      </c>
      <c r="AN473" s="8" t="s">
        <v>221</v>
      </c>
      <c r="AO473" s="8" t="s">
        <v>222</v>
      </c>
      <c r="AP473" s="8">
        <v>0</v>
      </c>
      <c r="AQ473" s="8">
        <v>0</v>
      </c>
      <c r="AR473" s="8">
        <v>0</v>
      </c>
      <c r="AS473" s="8">
        <v>0</v>
      </c>
      <c r="AT473" s="8">
        <v>0</v>
      </c>
      <c r="AU473" s="8">
        <v>0</v>
      </c>
      <c r="AV473" s="8">
        <v>0</v>
      </c>
      <c r="AW473" s="8">
        <v>0</v>
      </c>
      <c r="AX473" s="8"/>
      <c r="AY473" s="8"/>
      <c r="AZ473">
        <v>2</v>
      </c>
      <c r="BA473" t="s">
        <v>2428</v>
      </c>
      <c r="BB473" t="s">
        <v>2433</v>
      </c>
    </row>
    <row r="474" spans="1:54">
      <c r="A474" s="6">
        <v>45807</v>
      </c>
      <c r="B474" s="7" t="s">
        <v>2434</v>
      </c>
      <c r="C474" t="s">
        <v>205</v>
      </c>
      <c r="D474" t="s">
        <v>2286</v>
      </c>
      <c r="G474" t="s">
        <v>207</v>
      </c>
      <c r="H474" s="8" t="s">
        <v>208</v>
      </c>
      <c r="I474" s="8" t="s">
        <v>208</v>
      </c>
      <c r="J474" s="8" t="s">
        <v>208</v>
      </c>
      <c r="K474" s="8" t="s">
        <v>208</v>
      </c>
      <c r="L474" s="8" t="s">
        <v>208</v>
      </c>
      <c r="M474" s="8" t="s">
        <v>208</v>
      </c>
      <c r="N474" s="8" t="s">
        <v>208</v>
      </c>
      <c r="O474" s="8" t="s">
        <v>208</v>
      </c>
      <c r="Q474" t="s">
        <v>2435</v>
      </c>
      <c r="R474" t="s">
        <v>2436</v>
      </c>
      <c r="U474" t="s">
        <v>2437</v>
      </c>
      <c r="V474" t="s">
        <v>135</v>
      </c>
      <c r="W474" t="s">
        <v>212</v>
      </c>
      <c r="X474" t="s">
        <v>212</v>
      </c>
      <c r="Y474" t="s">
        <v>275</v>
      </c>
      <c r="Z474" t="s">
        <v>213</v>
      </c>
      <c r="AA474" t="s">
        <v>214</v>
      </c>
      <c r="AB474" t="s">
        <v>701</v>
      </c>
      <c r="AC474" t="s">
        <v>242</v>
      </c>
      <c r="AD474" t="s">
        <v>2255</v>
      </c>
      <c r="AE474" t="s">
        <v>217</v>
      </c>
      <c r="AG474" s="8" t="s">
        <v>218</v>
      </c>
      <c r="AH474" t="s">
        <v>2256</v>
      </c>
      <c r="AI474" s="8" t="s">
        <v>221</v>
      </c>
      <c r="AJ474" s="9" t="s">
        <v>218</v>
      </c>
      <c r="AK474" t="s">
        <v>234</v>
      </c>
      <c r="AL474" s="8" t="s">
        <v>221</v>
      </c>
      <c r="AM474" s="9" t="s">
        <v>218</v>
      </c>
      <c r="AN474" s="8" t="s">
        <v>221</v>
      </c>
      <c r="AO474" s="8" t="s">
        <v>222</v>
      </c>
      <c r="AP474" s="8">
        <v>0</v>
      </c>
      <c r="AQ474" s="8">
        <v>0</v>
      </c>
      <c r="AR474" s="9">
        <v>13</v>
      </c>
      <c r="AS474" s="8">
        <v>0</v>
      </c>
      <c r="AT474" s="8">
        <v>0</v>
      </c>
      <c r="AU474" s="8">
        <v>0</v>
      </c>
      <c r="AV474" s="8">
        <v>0</v>
      </c>
      <c r="AW474" s="9">
        <v>13</v>
      </c>
      <c r="AX474" s="8"/>
      <c r="AY474" s="8"/>
      <c r="AZ474">
        <v>2</v>
      </c>
      <c r="BA474" t="s">
        <v>2405</v>
      </c>
      <c r="BB474" t="s">
        <v>2438</v>
      </c>
    </row>
    <row r="475" spans="1:54">
      <c r="A475" s="6">
        <v>45807</v>
      </c>
      <c r="B475" s="7" t="s">
        <v>2439</v>
      </c>
      <c r="C475" t="s">
        <v>387</v>
      </c>
      <c r="D475" t="s">
        <v>2286</v>
      </c>
      <c r="G475" t="s">
        <v>207</v>
      </c>
      <c r="H475" s="8" t="s">
        <v>208</v>
      </c>
      <c r="I475" s="8" t="s">
        <v>208</v>
      </c>
      <c r="J475" s="8" t="s">
        <v>208</v>
      </c>
      <c r="K475" s="8" t="s">
        <v>208</v>
      </c>
      <c r="L475" s="8" t="s">
        <v>208</v>
      </c>
      <c r="M475" s="8" t="s">
        <v>208</v>
      </c>
      <c r="N475" s="8" t="s">
        <v>208</v>
      </c>
      <c r="O475" s="8" t="s">
        <v>208</v>
      </c>
      <c r="Q475" t="s">
        <v>2440</v>
      </c>
      <c r="R475" t="s">
        <v>2441</v>
      </c>
      <c r="U475" t="s">
        <v>2442</v>
      </c>
      <c r="V475" t="s">
        <v>662</v>
      </c>
      <c r="W475" t="s">
        <v>298</v>
      </c>
      <c r="X475" t="s">
        <v>298</v>
      </c>
      <c r="Y475" t="s">
        <v>1103</v>
      </c>
      <c r="Z475" t="s">
        <v>299</v>
      </c>
      <c r="AA475" t="s">
        <v>663</v>
      </c>
      <c r="AB475" t="s">
        <v>399</v>
      </c>
      <c r="AC475" t="s">
        <v>1480</v>
      </c>
      <c r="AD475" t="s">
        <v>2282</v>
      </c>
      <c r="AE475" t="s">
        <v>663</v>
      </c>
      <c r="AG475" s="8" t="s">
        <v>218</v>
      </c>
      <c r="AH475" t="s">
        <v>2283</v>
      </c>
      <c r="AI475" s="8" t="s">
        <v>221</v>
      </c>
      <c r="AJ475" s="9" t="s">
        <v>218</v>
      </c>
      <c r="AK475" t="s">
        <v>234</v>
      </c>
      <c r="AL475" s="8" t="s">
        <v>221</v>
      </c>
      <c r="AM475" s="9" t="s">
        <v>218</v>
      </c>
      <c r="AN475" s="8" t="s">
        <v>221</v>
      </c>
      <c r="AO475" s="8" t="s">
        <v>222</v>
      </c>
      <c r="AP475" s="8">
        <v>0</v>
      </c>
      <c r="AQ475" s="9">
        <v>1</v>
      </c>
      <c r="AR475" s="9">
        <v>23</v>
      </c>
      <c r="AS475" s="8">
        <v>0</v>
      </c>
      <c r="AT475" s="8">
        <v>0</v>
      </c>
      <c r="AU475" s="8">
        <v>0</v>
      </c>
      <c r="AV475" s="9">
        <v>1</v>
      </c>
      <c r="AW475" s="9">
        <v>25</v>
      </c>
      <c r="AX475" s="9" t="s">
        <v>2443</v>
      </c>
      <c r="AY475" s="9" t="s">
        <v>2444</v>
      </c>
      <c r="AZ475">
        <v>2</v>
      </c>
      <c r="BA475" t="s">
        <v>2422</v>
      </c>
      <c r="BB475" t="s">
        <v>2445</v>
      </c>
    </row>
    <row r="476" spans="1:54">
      <c r="A476" s="6">
        <v>45807</v>
      </c>
      <c r="B476" s="7" t="s">
        <v>2446</v>
      </c>
      <c r="C476" t="s">
        <v>387</v>
      </c>
      <c r="D476" t="s">
        <v>2286</v>
      </c>
      <c r="G476" t="s">
        <v>207</v>
      </c>
      <c r="H476" s="8" t="s">
        <v>208</v>
      </c>
      <c r="I476" s="8" t="s">
        <v>208</v>
      </c>
      <c r="J476" s="8" t="s">
        <v>208</v>
      </c>
      <c r="K476" s="8" t="s">
        <v>208</v>
      </c>
      <c r="L476" s="8" t="s">
        <v>208</v>
      </c>
      <c r="M476" s="8" t="s">
        <v>208</v>
      </c>
      <c r="N476" s="8" t="s">
        <v>208</v>
      </c>
      <c r="O476" s="8" t="s">
        <v>208</v>
      </c>
      <c r="Q476" t="s">
        <v>2447</v>
      </c>
      <c r="R476" t="s">
        <v>2448</v>
      </c>
      <c r="U476" t="s">
        <v>2449</v>
      </c>
      <c r="V476" t="s">
        <v>662</v>
      </c>
      <c r="W476" t="s">
        <v>298</v>
      </c>
      <c r="X476" t="s">
        <v>298</v>
      </c>
      <c r="Y476" t="s">
        <v>1103</v>
      </c>
      <c r="Z476" t="s">
        <v>299</v>
      </c>
      <c r="AA476" t="s">
        <v>663</v>
      </c>
      <c r="AB476" t="s">
        <v>391</v>
      </c>
      <c r="AC476" t="s">
        <v>425</v>
      </c>
      <c r="AD476" t="s">
        <v>2282</v>
      </c>
      <c r="AE476" t="s">
        <v>663</v>
      </c>
      <c r="AG476" s="8" t="s">
        <v>218</v>
      </c>
      <c r="AH476" t="s">
        <v>2283</v>
      </c>
      <c r="AI476" s="8" t="s">
        <v>221</v>
      </c>
      <c r="AJ476" s="9" t="s">
        <v>218</v>
      </c>
      <c r="AK476" t="s">
        <v>234</v>
      </c>
      <c r="AL476" s="8" t="s">
        <v>221</v>
      </c>
      <c r="AM476" s="9" t="s">
        <v>218</v>
      </c>
      <c r="AN476" s="8" t="s">
        <v>221</v>
      </c>
      <c r="AO476" s="8" t="s">
        <v>222</v>
      </c>
      <c r="AP476" s="8">
        <v>0</v>
      </c>
      <c r="AQ476" s="8">
        <v>0</v>
      </c>
      <c r="AR476" s="8">
        <v>0</v>
      </c>
      <c r="AS476" s="8">
        <v>0</v>
      </c>
      <c r="AT476" s="8">
        <v>0</v>
      </c>
      <c r="AU476" s="8">
        <v>0</v>
      </c>
      <c r="AV476" s="8">
        <v>0</v>
      </c>
      <c r="AW476" s="8">
        <v>0</v>
      </c>
      <c r="AX476" s="8"/>
      <c r="AY476" s="8"/>
      <c r="AZ476">
        <v>2</v>
      </c>
      <c r="BA476" t="s">
        <v>2450</v>
      </c>
      <c r="BB476" t="s">
        <v>2451</v>
      </c>
    </row>
    <row r="477" spans="1:54">
      <c r="A477" s="6">
        <v>45807</v>
      </c>
      <c r="B477" s="7" t="s">
        <v>2452</v>
      </c>
      <c r="C477" t="s">
        <v>387</v>
      </c>
      <c r="D477" t="s">
        <v>2286</v>
      </c>
      <c r="G477" t="s">
        <v>207</v>
      </c>
      <c r="H477" s="8" t="s">
        <v>208</v>
      </c>
      <c r="I477" s="8" t="s">
        <v>208</v>
      </c>
      <c r="J477" s="8" t="s">
        <v>208</v>
      </c>
      <c r="K477" s="8" t="s">
        <v>208</v>
      </c>
      <c r="L477" s="8" t="s">
        <v>208</v>
      </c>
      <c r="M477" s="8" t="s">
        <v>208</v>
      </c>
      <c r="N477" s="8" t="s">
        <v>208</v>
      </c>
      <c r="O477" s="8" t="s">
        <v>208</v>
      </c>
      <c r="Q477" t="s">
        <v>2453</v>
      </c>
      <c r="R477" t="s">
        <v>2454</v>
      </c>
      <c r="U477" t="s">
        <v>2455</v>
      </c>
      <c r="V477" t="s">
        <v>2456</v>
      </c>
      <c r="W477" t="s">
        <v>298</v>
      </c>
      <c r="X477" t="s">
        <v>298</v>
      </c>
      <c r="Y477" t="s">
        <v>1103</v>
      </c>
      <c r="Z477" t="s">
        <v>299</v>
      </c>
      <c r="AA477" t="s">
        <v>645</v>
      </c>
      <c r="AB477" t="s">
        <v>425</v>
      </c>
      <c r="AC477" t="s">
        <v>465</v>
      </c>
      <c r="AD477" t="s">
        <v>2282</v>
      </c>
      <c r="AE477" t="s">
        <v>645</v>
      </c>
      <c r="AG477" s="8" t="s">
        <v>218</v>
      </c>
      <c r="AH477" t="s">
        <v>2283</v>
      </c>
      <c r="AI477" s="8" t="s">
        <v>221</v>
      </c>
      <c r="AJ477" s="9" t="s">
        <v>218</v>
      </c>
      <c r="AK477" t="s">
        <v>2457</v>
      </c>
      <c r="AL477" s="8" t="s">
        <v>221</v>
      </c>
      <c r="AM477" s="9" t="s">
        <v>218</v>
      </c>
      <c r="AN477" s="8" t="s">
        <v>221</v>
      </c>
      <c r="AO477" s="8" t="s">
        <v>222</v>
      </c>
      <c r="AP477" s="8">
        <v>0</v>
      </c>
      <c r="AQ477" s="8">
        <v>0</v>
      </c>
      <c r="AR477" s="9">
        <v>8</v>
      </c>
      <c r="AS477" s="8">
        <v>0</v>
      </c>
      <c r="AT477" s="8">
        <v>0</v>
      </c>
      <c r="AU477" s="8">
        <v>0</v>
      </c>
      <c r="AV477" s="8">
        <v>0</v>
      </c>
      <c r="AW477" s="9">
        <v>8</v>
      </c>
      <c r="AX477" s="8"/>
      <c r="AY477" s="8"/>
      <c r="AZ477">
        <v>2</v>
      </c>
      <c r="BA477" t="s">
        <v>2422</v>
      </c>
      <c r="BB477" t="s">
        <v>2458</v>
      </c>
    </row>
    <row r="478" spans="1:54">
      <c r="A478" s="6">
        <v>45807</v>
      </c>
      <c r="B478" s="7" t="s">
        <v>2459</v>
      </c>
      <c r="C478" t="s">
        <v>205</v>
      </c>
      <c r="D478" t="s">
        <v>2254</v>
      </c>
      <c r="G478" t="s">
        <v>207</v>
      </c>
      <c r="H478" s="8" t="s">
        <v>208</v>
      </c>
      <c r="I478" s="8" t="s">
        <v>208</v>
      </c>
      <c r="J478" s="8" t="s">
        <v>208</v>
      </c>
      <c r="K478" s="8" t="s">
        <v>208</v>
      </c>
      <c r="L478" s="8" t="s">
        <v>208</v>
      </c>
      <c r="M478" s="8" t="s">
        <v>208</v>
      </c>
      <c r="N478" s="8" t="s">
        <v>208</v>
      </c>
      <c r="O478" s="8" t="s">
        <v>208</v>
      </c>
      <c r="Q478" t="s">
        <v>2460</v>
      </c>
      <c r="R478" t="s">
        <v>2461</v>
      </c>
      <c r="U478" t="s">
        <v>2462</v>
      </c>
      <c r="V478" t="s">
        <v>14</v>
      </c>
      <c r="W478" t="s">
        <v>774</v>
      </c>
      <c r="X478" t="s">
        <v>774</v>
      </c>
      <c r="Y478" t="s">
        <v>1082</v>
      </c>
      <c r="Z478" t="s">
        <v>775</v>
      </c>
      <c r="AA478" t="s">
        <v>214</v>
      </c>
      <c r="AB478" t="s">
        <v>408</v>
      </c>
      <c r="AC478" t="s">
        <v>391</v>
      </c>
      <c r="AD478" t="s">
        <v>2255</v>
      </c>
      <c r="AE478" t="s">
        <v>217</v>
      </c>
      <c r="AG478" s="8" t="s">
        <v>218</v>
      </c>
      <c r="AH478" t="s">
        <v>2256</v>
      </c>
      <c r="AI478" s="8" t="s">
        <v>221</v>
      </c>
      <c r="AJ478" s="9" t="s">
        <v>218</v>
      </c>
      <c r="AK478" t="s">
        <v>234</v>
      </c>
      <c r="AL478" s="8" t="s">
        <v>221</v>
      </c>
      <c r="AM478" s="9" t="s">
        <v>218</v>
      </c>
      <c r="AN478" s="8" t="s">
        <v>221</v>
      </c>
      <c r="AO478" s="8" t="s">
        <v>222</v>
      </c>
      <c r="AP478" s="8">
        <v>0</v>
      </c>
      <c r="AQ478" s="8">
        <v>0</v>
      </c>
      <c r="AR478" s="8">
        <v>0</v>
      </c>
      <c r="AS478" s="8">
        <v>0</v>
      </c>
      <c r="AT478" s="8">
        <v>0</v>
      </c>
      <c r="AU478" s="8">
        <v>0</v>
      </c>
      <c r="AV478" s="8">
        <v>0</v>
      </c>
      <c r="AW478" s="8">
        <v>0</v>
      </c>
      <c r="AX478" s="8"/>
      <c r="AY478" s="8"/>
      <c r="BB478" t="s">
        <v>2463</v>
      </c>
    </row>
    <row r="479" spans="1:54">
      <c r="A479" s="6">
        <v>45807</v>
      </c>
      <c r="B479" s="7" t="s">
        <v>2464</v>
      </c>
      <c r="C479" t="s">
        <v>205</v>
      </c>
      <c r="D479" t="s">
        <v>2254</v>
      </c>
      <c r="G479" t="s">
        <v>207</v>
      </c>
      <c r="H479" s="8" t="s">
        <v>208</v>
      </c>
      <c r="I479" s="8" t="s">
        <v>208</v>
      </c>
      <c r="J479" s="8" t="s">
        <v>208</v>
      </c>
      <c r="K479" s="8" t="s">
        <v>208</v>
      </c>
      <c r="L479" s="8" t="s">
        <v>208</v>
      </c>
      <c r="M479" s="8" t="s">
        <v>208</v>
      </c>
      <c r="N479" s="8" t="s">
        <v>208</v>
      </c>
      <c r="O479" s="8" t="s">
        <v>208</v>
      </c>
      <c r="Q479" t="s">
        <v>2465</v>
      </c>
      <c r="R479" t="s">
        <v>2466</v>
      </c>
      <c r="U479" t="s">
        <v>2467</v>
      </c>
      <c r="V479" t="s">
        <v>140</v>
      </c>
      <c r="W479" t="s">
        <v>774</v>
      </c>
      <c r="Y479" t="s">
        <v>1082</v>
      </c>
      <c r="AA479" t="s">
        <v>214</v>
      </c>
      <c r="AB479" t="s">
        <v>465</v>
      </c>
      <c r="AD479" t="s">
        <v>2255</v>
      </c>
      <c r="AE479" t="s">
        <v>217</v>
      </c>
      <c r="AG479" s="8" t="s">
        <v>218</v>
      </c>
      <c r="AH479" t="s">
        <v>2256</v>
      </c>
      <c r="AI479" s="8" t="s">
        <v>221</v>
      </c>
      <c r="AJ479" s="9" t="s">
        <v>218</v>
      </c>
      <c r="AK479" t="s">
        <v>234</v>
      </c>
      <c r="AL479" s="8" t="s">
        <v>221</v>
      </c>
      <c r="AM479" s="9" t="s">
        <v>218</v>
      </c>
      <c r="AN479" s="8" t="s">
        <v>221</v>
      </c>
      <c r="AO479" s="8" t="s">
        <v>222</v>
      </c>
      <c r="AP479" s="8">
        <v>0</v>
      </c>
      <c r="AQ479" s="8">
        <v>0</v>
      </c>
      <c r="AR479" s="8">
        <v>0</v>
      </c>
      <c r="AS479" s="8">
        <v>0</v>
      </c>
      <c r="AT479" s="8">
        <v>0</v>
      </c>
      <c r="AU479" s="8">
        <v>0</v>
      </c>
      <c r="AV479" s="8">
        <v>0</v>
      </c>
      <c r="AW479" s="8">
        <v>0</v>
      </c>
      <c r="AX479" s="8"/>
      <c r="AY479" s="8"/>
    </row>
    <row r="480" spans="1:54">
      <c r="A480" s="6">
        <v>45807</v>
      </c>
      <c r="B480" s="7" t="s">
        <v>2468</v>
      </c>
      <c r="C480" t="s">
        <v>205</v>
      </c>
      <c r="D480" t="s">
        <v>2254</v>
      </c>
      <c r="G480" t="s">
        <v>207</v>
      </c>
      <c r="H480" s="8" t="s">
        <v>208</v>
      </c>
      <c r="I480" s="8" t="s">
        <v>208</v>
      </c>
      <c r="J480" s="8" t="s">
        <v>208</v>
      </c>
      <c r="K480" s="8" t="s">
        <v>208</v>
      </c>
      <c r="L480" s="8" t="s">
        <v>208</v>
      </c>
      <c r="M480" s="8" t="s">
        <v>208</v>
      </c>
      <c r="N480" s="8" t="s">
        <v>208</v>
      </c>
      <c r="O480" s="8" t="s">
        <v>208</v>
      </c>
      <c r="Q480" t="s">
        <v>2469</v>
      </c>
      <c r="R480" t="s">
        <v>2470</v>
      </c>
      <c r="U480" t="s">
        <v>2471</v>
      </c>
      <c r="V480" t="s">
        <v>140</v>
      </c>
      <c r="W480" t="s">
        <v>212</v>
      </c>
      <c r="Y480" t="s">
        <v>275</v>
      </c>
      <c r="AA480" t="s">
        <v>214</v>
      </c>
      <c r="AB480" t="s">
        <v>701</v>
      </c>
      <c r="AD480" t="s">
        <v>2255</v>
      </c>
      <c r="AE480" t="s">
        <v>217</v>
      </c>
      <c r="AG480" s="9" t="s">
        <v>221</v>
      </c>
      <c r="AH480" t="s">
        <v>2256</v>
      </c>
      <c r="AI480" s="8" t="s">
        <v>221</v>
      </c>
      <c r="AJ480" s="9" t="s">
        <v>218</v>
      </c>
      <c r="AK480" t="s">
        <v>234</v>
      </c>
      <c r="AL480" s="8" t="s">
        <v>221</v>
      </c>
      <c r="AM480" s="9" t="s">
        <v>218</v>
      </c>
      <c r="AN480" s="8" t="s">
        <v>221</v>
      </c>
      <c r="AO480" s="8" t="s">
        <v>222</v>
      </c>
      <c r="AP480" s="8">
        <v>0</v>
      </c>
      <c r="AQ480" s="8">
        <v>0</v>
      </c>
      <c r="AR480" s="8">
        <v>0</v>
      </c>
      <c r="AS480" s="8">
        <v>0</v>
      </c>
      <c r="AT480" s="8">
        <v>0</v>
      </c>
      <c r="AU480" s="8">
        <v>0</v>
      </c>
      <c r="AV480" s="8">
        <v>0</v>
      </c>
      <c r="AW480" s="8">
        <v>0</v>
      </c>
      <c r="AX480" s="8"/>
      <c r="AY480" s="8"/>
    </row>
    <row r="481" spans="1:54">
      <c r="A481" s="6">
        <v>45807</v>
      </c>
      <c r="B481" s="7" t="s">
        <v>2472</v>
      </c>
      <c r="C481" t="s">
        <v>205</v>
      </c>
      <c r="D481" t="s">
        <v>2254</v>
      </c>
      <c r="G481" t="s">
        <v>207</v>
      </c>
      <c r="H481" s="8" t="s">
        <v>208</v>
      </c>
      <c r="I481" s="8" t="s">
        <v>208</v>
      </c>
      <c r="J481" s="8" t="s">
        <v>208</v>
      </c>
      <c r="K481" s="8" t="s">
        <v>208</v>
      </c>
      <c r="L481" s="8" t="s">
        <v>208</v>
      </c>
      <c r="M481" s="8" t="s">
        <v>208</v>
      </c>
      <c r="N481" s="8" t="s">
        <v>208</v>
      </c>
      <c r="O481" s="8" t="s">
        <v>208</v>
      </c>
      <c r="Q481" t="s">
        <v>2473</v>
      </c>
      <c r="R481" t="s">
        <v>2474</v>
      </c>
      <c r="U481" t="s">
        <v>2475</v>
      </c>
      <c r="V481" t="s">
        <v>140</v>
      </c>
      <c r="W481" t="s">
        <v>212</v>
      </c>
      <c r="Y481" t="s">
        <v>275</v>
      </c>
      <c r="AA481" t="s">
        <v>214</v>
      </c>
      <c r="AB481" t="s">
        <v>758</v>
      </c>
      <c r="AD481" t="s">
        <v>2255</v>
      </c>
      <c r="AE481" t="s">
        <v>217</v>
      </c>
      <c r="AG481" s="8" t="s">
        <v>218</v>
      </c>
      <c r="AH481" t="s">
        <v>2256</v>
      </c>
      <c r="AI481" s="8" t="s">
        <v>221</v>
      </c>
      <c r="AJ481" s="9" t="s">
        <v>218</v>
      </c>
      <c r="AK481" t="s">
        <v>234</v>
      </c>
      <c r="AL481" s="8" t="s">
        <v>221</v>
      </c>
      <c r="AM481" s="9" t="s">
        <v>218</v>
      </c>
      <c r="AN481" s="8" t="s">
        <v>221</v>
      </c>
      <c r="AO481" s="8" t="s">
        <v>222</v>
      </c>
      <c r="AP481" s="8">
        <v>0</v>
      </c>
      <c r="AQ481" s="8">
        <v>0</v>
      </c>
      <c r="AR481" s="8">
        <v>0</v>
      </c>
      <c r="AS481" s="8">
        <v>0</v>
      </c>
      <c r="AT481" s="8">
        <v>0</v>
      </c>
      <c r="AU481" s="8">
        <v>0</v>
      </c>
      <c r="AV481" s="8">
        <v>0</v>
      </c>
      <c r="AW481" s="8">
        <v>0</v>
      </c>
      <c r="AX481" s="8"/>
      <c r="AY481" s="8"/>
    </row>
    <row r="482" spans="1:54">
      <c r="A482" s="6">
        <v>45807</v>
      </c>
      <c r="B482" s="7" t="s">
        <v>2476</v>
      </c>
      <c r="C482" t="s">
        <v>205</v>
      </c>
      <c r="D482" t="s">
        <v>2254</v>
      </c>
      <c r="G482" t="s">
        <v>207</v>
      </c>
      <c r="H482" s="8" t="s">
        <v>208</v>
      </c>
      <c r="I482" s="8" t="s">
        <v>208</v>
      </c>
      <c r="J482" s="8" t="s">
        <v>208</v>
      </c>
      <c r="K482" s="8" t="s">
        <v>208</v>
      </c>
      <c r="L482" s="8" t="s">
        <v>208</v>
      </c>
      <c r="M482" s="8" t="s">
        <v>208</v>
      </c>
      <c r="N482" s="8" t="s">
        <v>208</v>
      </c>
      <c r="O482" s="8" t="s">
        <v>208</v>
      </c>
      <c r="Q482" t="s">
        <v>2477</v>
      </c>
      <c r="R482" t="s">
        <v>2478</v>
      </c>
      <c r="U482" t="s">
        <v>2479</v>
      </c>
      <c r="V482" t="s">
        <v>14</v>
      </c>
      <c r="W482" t="s">
        <v>774</v>
      </c>
      <c r="Y482" t="s">
        <v>1082</v>
      </c>
      <c r="AA482" t="s">
        <v>214</v>
      </c>
      <c r="AB482" t="s">
        <v>301</v>
      </c>
      <c r="AD482" t="s">
        <v>2255</v>
      </c>
      <c r="AE482" t="s">
        <v>217</v>
      </c>
      <c r="AG482" s="8" t="s">
        <v>218</v>
      </c>
      <c r="AH482" t="s">
        <v>2256</v>
      </c>
      <c r="AI482" s="8" t="s">
        <v>221</v>
      </c>
      <c r="AJ482" s="9" t="s">
        <v>218</v>
      </c>
      <c r="AK482" t="s">
        <v>2480</v>
      </c>
      <c r="AL482" s="8" t="s">
        <v>221</v>
      </c>
      <c r="AM482" s="9" t="s">
        <v>218</v>
      </c>
      <c r="AN482" s="8" t="s">
        <v>221</v>
      </c>
      <c r="AO482" s="8" t="s">
        <v>222</v>
      </c>
      <c r="AP482" s="8">
        <v>0</v>
      </c>
      <c r="AQ482" s="8">
        <v>0</v>
      </c>
      <c r="AR482" s="8">
        <v>0</v>
      </c>
      <c r="AS482" s="8">
        <v>0</v>
      </c>
      <c r="AT482" s="8">
        <v>0</v>
      </c>
      <c r="AU482" s="8">
        <v>0</v>
      </c>
      <c r="AV482" s="8">
        <v>0</v>
      </c>
      <c r="AW482" s="8">
        <v>0</v>
      </c>
      <c r="AX482" s="8"/>
      <c r="AY482" s="8"/>
    </row>
    <row r="483" spans="1:54">
      <c r="A483" s="6">
        <v>45807</v>
      </c>
      <c r="B483" s="7" t="s">
        <v>2481</v>
      </c>
      <c r="C483" t="s">
        <v>205</v>
      </c>
      <c r="D483" t="s">
        <v>2254</v>
      </c>
      <c r="G483" t="s">
        <v>207</v>
      </c>
      <c r="H483" s="8" t="s">
        <v>208</v>
      </c>
      <c r="I483" s="8" t="s">
        <v>208</v>
      </c>
      <c r="J483" s="8" t="s">
        <v>208</v>
      </c>
      <c r="K483" s="8" t="s">
        <v>208</v>
      </c>
      <c r="L483" s="8" t="s">
        <v>208</v>
      </c>
      <c r="M483" s="8" t="s">
        <v>208</v>
      </c>
      <c r="N483" s="8" t="s">
        <v>208</v>
      </c>
      <c r="O483" s="8" t="s">
        <v>208</v>
      </c>
      <c r="Q483" t="s">
        <v>2482</v>
      </c>
      <c r="R483" t="s">
        <v>2483</v>
      </c>
      <c r="U483" t="s">
        <v>2484</v>
      </c>
      <c r="V483" t="s">
        <v>14</v>
      </c>
      <c r="W483" t="s">
        <v>774</v>
      </c>
      <c r="Y483" t="s">
        <v>1082</v>
      </c>
      <c r="AA483" t="s">
        <v>214</v>
      </c>
      <c r="AB483" t="s">
        <v>301</v>
      </c>
      <c r="AD483" t="s">
        <v>2255</v>
      </c>
      <c r="AE483" t="s">
        <v>217</v>
      </c>
      <c r="AG483" s="8" t="s">
        <v>218</v>
      </c>
      <c r="AH483" t="s">
        <v>2256</v>
      </c>
      <c r="AI483" s="8" t="s">
        <v>221</v>
      </c>
      <c r="AJ483" s="9" t="s">
        <v>218</v>
      </c>
      <c r="AK483" t="s">
        <v>2480</v>
      </c>
      <c r="AL483" s="8" t="s">
        <v>221</v>
      </c>
      <c r="AM483" s="9" t="s">
        <v>218</v>
      </c>
      <c r="AN483" s="8" t="s">
        <v>221</v>
      </c>
      <c r="AO483" s="8" t="s">
        <v>222</v>
      </c>
      <c r="AP483" s="8">
        <v>0</v>
      </c>
      <c r="AQ483" s="8">
        <v>0</v>
      </c>
      <c r="AR483" s="8">
        <v>0</v>
      </c>
      <c r="AS483" s="8">
        <v>0</v>
      </c>
      <c r="AT483" s="8">
        <v>0</v>
      </c>
      <c r="AU483" s="8">
        <v>0</v>
      </c>
      <c r="AV483" s="8">
        <v>0</v>
      </c>
      <c r="AW483" s="8">
        <v>0</v>
      </c>
      <c r="AX483" s="8"/>
      <c r="AY483" s="8"/>
    </row>
    <row r="484" spans="1:54">
      <c r="A484" s="6">
        <v>45807</v>
      </c>
      <c r="B484" s="7" t="s">
        <v>2485</v>
      </c>
      <c r="C484" t="s">
        <v>205</v>
      </c>
      <c r="D484" t="s">
        <v>2254</v>
      </c>
      <c r="G484" t="s">
        <v>207</v>
      </c>
      <c r="H484" s="8" t="s">
        <v>208</v>
      </c>
      <c r="I484" s="8" t="s">
        <v>208</v>
      </c>
      <c r="J484" s="8" t="s">
        <v>208</v>
      </c>
      <c r="K484" s="8" t="s">
        <v>208</v>
      </c>
      <c r="L484" s="8" t="s">
        <v>208</v>
      </c>
      <c r="M484" s="8" t="s">
        <v>208</v>
      </c>
      <c r="N484" s="8" t="s">
        <v>208</v>
      </c>
      <c r="O484" s="8" t="s">
        <v>221</v>
      </c>
      <c r="Q484" t="s">
        <v>2486</v>
      </c>
      <c r="R484" t="s">
        <v>2487</v>
      </c>
      <c r="U484" t="s">
        <v>2488</v>
      </c>
      <c r="V484" t="s">
        <v>140</v>
      </c>
      <c r="W484" t="s">
        <v>212</v>
      </c>
      <c r="Y484" t="s">
        <v>275</v>
      </c>
      <c r="AA484" t="s">
        <v>214</v>
      </c>
      <c r="AB484" t="s">
        <v>701</v>
      </c>
      <c r="AD484" t="s">
        <v>2255</v>
      </c>
      <c r="AE484" t="s">
        <v>217</v>
      </c>
      <c r="AG484" s="8" t="s">
        <v>218</v>
      </c>
      <c r="AH484" t="s">
        <v>2256</v>
      </c>
      <c r="AI484" s="8" t="s">
        <v>221</v>
      </c>
      <c r="AJ484" s="9" t="s">
        <v>218</v>
      </c>
      <c r="AK484" t="s">
        <v>234</v>
      </c>
      <c r="AL484" s="8" t="s">
        <v>221</v>
      </c>
      <c r="AM484" s="9" t="s">
        <v>218</v>
      </c>
      <c r="AN484" s="8" t="s">
        <v>221</v>
      </c>
      <c r="AO484" s="8" t="s">
        <v>222</v>
      </c>
      <c r="AP484" s="8">
        <v>0</v>
      </c>
      <c r="AQ484" s="8">
        <v>0</v>
      </c>
      <c r="AR484" s="8">
        <v>0</v>
      </c>
      <c r="AS484" s="8">
        <v>0</v>
      </c>
      <c r="AT484" s="8">
        <v>0</v>
      </c>
      <c r="AU484" s="8">
        <v>0</v>
      </c>
      <c r="AV484" s="8">
        <v>0</v>
      </c>
      <c r="AW484" s="8">
        <v>0</v>
      </c>
      <c r="AX484" s="8"/>
      <c r="AY484" s="8"/>
    </row>
    <row r="485" spans="1:54">
      <c r="A485" s="6">
        <v>45807</v>
      </c>
      <c r="B485" s="7" t="s">
        <v>2489</v>
      </c>
      <c r="C485" t="s">
        <v>205</v>
      </c>
      <c r="D485" t="s">
        <v>2254</v>
      </c>
      <c r="G485" t="s">
        <v>207</v>
      </c>
      <c r="H485" s="8" t="s">
        <v>208</v>
      </c>
      <c r="I485" s="8" t="s">
        <v>208</v>
      </c>
      <c r="J485" s="8" t="s">
        <v>208</v>
      </c>
      <c r="K485" s="8" t="s">
        <v>208</v>
      </c>
      <c r="L485" s="8" t="s">
        <v>208</v>
      </c>
      <c r="M485" s="8" t="s">
        <v>208</v>
      </c>
      <c r="N485" s="8" t="s">
        <v>208</v>
      </c>
      <c r="O485" s="8" t="s">
        <v>221</v>
      </c>
      <c r="Q485" t="s">
        <v>2490</v>
      </c>
      <c r="R485" t="s">
        <v>2491</v>
      </c>
      <c r="U485" t="s">
        <v>2492</v>
      </c>
      <c r="V485" t="s">
        <v>140</v>
      </c>
      <c r="W485" t="s">
        <v>212</v>
      </c>
      <c r="Y485" t="s">
        <v>275</v>
      </c>
      <c r="AA485" t="s">
        <v>214</v>
      </c>
      <c r="AB485" t="s">
        <v>701</v>
      </c>
      <c r="AD485" t="s">
        <v>2255</v>
      </c>
      <c r="AE485" t="s">
        <v>217</v>
      </c>
      <c r="AG485" s="8" t="s">
        <v>218</v>
      </c>
      <c r="AH485" t="s">
        <v>2256</v>
      </c>
      <c r="AI485" s="8" t="s">
        <v>221</v>
      </c>
      <c r="AJ485" s="9" t="s">
        <v>218</v>
      </c>
      <c r="AK485" t="s">
        <v>234</v>
      </c>
      <c r="AL485" s="8" t="s">
        <v>221</v>
      </c>
      <c r="AM485" s="9" t="s">
        <v>218</v>
      </c>
      <c r="AN485" s="8" t="s">
        <v>221</v>
      </c>
      <c r="AO485" s="8" t="s">
        <v>222</v>
      </c>
      <c r="AP485" s="8">
        <v>0</v>
      </c>
      <c r="AQ485" s="8">
        <v>0</v>
      </c>
      <c r="AR485" s="8">
        <v>0</v>
      </c>
      <c r="AS485" s="8">
        <v>0</v>
      </c>
      <c r="AT485" s="8">
        <v>0</v>
      </c>
      <c r="AU485" s="8">
        <v>0</v>
      </c>
      <c r="AV485" s="8">
        <v>0</v>
      </c>
      <c r="AW485" s="8">
        <v>0</v>
      </c>
      <c r="AX485" s="8"/>
      <c r="AY485" s="8"/>
    </row>
    <row r="486" spans="1:54">
      <c r="A486" s="6">
        <v>45807</v>
      </c>
      <c r="B486" s="7" t="s">
        <v>2493</v>
      </c>
      <c r="C486" t="s">
        <v>205</v>
      </c>
      <c r="D486" t="s">
        <v>2254</v>
      </c>
      <c r="G486" t="s">
        <v>207</v>
      </c>
      <c r="H486" s="8" t="s">
        <v>208</v>
      </c>
      <c r="I486" s="8" t="s">
        <v>208</v>
      </c>
      <c r="J486" s="8" t="s">
        <v>208</v>
      </c>
      <c r="K486" s="8" t="s">
        <v>208</v>
      </c>
      <c r="L486" s="8" t="s">
        <v>208</v>
      </c>
      <c r="M486" s="8" t="s">
        <v>208</v>
      </c>
      <c r="N486" s="8" t="s">
        <v>208</v>
      </c>
      <c r="O486" s="8" t="s">
        <v>221</v>
      </c>
      <c r="Q486" t="s">
        <v>2494</v>
      </c>
      <c r="R486" t="s">
        <v>2495</v>
      </c>
      <c r="U486" t="s">
        <v>2496</v>
      </c>
      <c r="V486" t="s">
        <v>140</v>
      </c>
      <c r="W486" t="s">
        <v>212</v>
      </c>
      <c r="Y486" t="s">
        <v>275</v>
      </c>
      <c r="AA486" t="s">
        <v>214</v>
      </c>
      <c r="AB486" t="s">
        <v>701</v>
      </c>
      <c r="AD486" t="s">
        <v>2255</v>
      </c>
      <c r="AE486" t="s">
        <v>217</v>
      </c>
      <c r="AG486" s="9" t="s">
        <v>221</v>
      </c>
      <c r="AH486" t="s">
        <v>2256</v>
      </c>
      <c r="AI486" s="8" t="s">
        <v>221</v>
      </c>
      <c r="AJ486" s="9" t="s">
        <v>218</v>
      </c>
      <c r="AK486" t="s">
        <v>234</v>
      </c>
      <c r="AL486" s="8" t="s">
        <v>221</v>
      </c>
      <c r="AM486" s="9" t="s">
        <v>218</v>
      </c>
      <c r="AN486" s="8" t="s">
        <v>221</v>
      </c>
      <c r="AO486" s="8" t="s">
        <v>222</v>
      </c>
      <c r="AP486" s="8">
        <v>0</v>
      </c>
      <c r="AQ486" s="8">
        <v>0</v>
      </c>
      <c r="AR486" s="8">
        <v>0</v>
      </c>
      <c r="AS486" s="8">
        <v>0</v>
      </c>
      <c r="AT486" s="8">
        <v>0</v>
      </c>
      <c r="AU486" s="8">
        <v>0</v>
      </c>
      <c r="AV486" s="8">
        <v>0</v>
      </c>
      <c r="AW486" s="8">
        <v>0</v>
      </c>
      <c r="AX486" s="8"/>
      <c r="AY486" s="8"/>
    </row>
    <row r="487" spans="1:54">
      <c r="A487" s="6">
        <v>45807</v>
      </c>
      <c r="B487" s="7" t="s">
        <v>2493</v>
      </c>
      <c r="C487" t="s">
        <v>205</v>
      </c>
      <c r="D487" t="s">
        <v>2254</v>
      </c>
      <c r="G487" t="s">
        <v>207</v>
      </c>
      <c r="H487" s="8" t="s">
        <v>208</v>
      </c>
      <c r="I487" s="8" t="s">
        <v>208</v>
      </c>
      <c r="J487" s="8" t="s">
        <v>208</v>
      </c>
      <c r="K487" s="8" t="s">
        <v>208</v>
      </c>
      <c r="L487" s="8" t="s">
        <v>208</v>
      </c>
      <c r="M487" s="8" t="s">
        <v>208</v>
      </c>
      <c r="N487" s="8" t="s">
        <v>208</v>
      </c>
      <c r="O487" s="8" t="s">
        <v>221</v>
      </c>
      <c r="P487" t="s">
        <v>2497</v>
      </c>
      <c r="Q487" t="s">
        <v>2494</v>
      </c>
      <c r="R487" t="s">
        <v>2495</v>
      </c>
      <c r="U487" t="s">
        <v>2496</v>
      </c>
      <c r="V487" t="s">
        <v>140</v>
      </c>
      <c r="W487" t="s">
        <v>212</v>
      </c>
      <c r="Y487" t="s">
        <v>275</v>
      </c>
      <c r="AA487" t="s">
        <v>214</v>
      </c>
      <c r="AB487" t="s">
        <v>701</v>
      </c>
      <c r="AD487" t="s">
        <v>2255</v>
      </c>
      <c r="AE487" t="s">
        <v>217</v>
      </c>
      <c r="AG487" s="9" t="s">
        <v>221</v>
      </c>
      <c r="AH487" t="s">
        <v>2256</v>
      </c>
      <c r="AI487" s="8" t="s">
        <v>221</v>
      </c>
      <c r="AJ487" s="9" t="s">
        <v>218</v>
      </c>
      <c r="AK487" t="s">
        <v>234</v>
      </c>
      <c r="AL487" s="8" t="s">
        <v>221</v>
      </c>
      <c r="AM487" s="9" t="s">
        <v>218</v>
      </c>
      <c r="AN487" s="8" t="s">
        <v>221</v>
      </c>
      <c r="AO487" s="8" t="s">
        <v>222</v>
      </c>
      <c r="AP487" s="8">
        <v>0</v>
      </c>
      <c r="AQ487" s="8">
        <v>0</v>
      </c>
      <c r="AR487" s="8">
        <v>0</v>
      </c>
      <c r="AS487" s="8">
        <v>0</v>
      </c>
      <c r="AT487" s="8">
        <v>0</v>
      </c>
      <c r="AU487" s="8">
        <v>0</v>
      </c>
      <c r="AV487" s="8">
        <v>0</v>
      </c>
      <c r="AW487" s="8">
        <v>0</v>
      </c>
      <c r="AX487" s="8"/>
      <c r="AY487" s="8"/>
    </row>
    <row r="488" spans="1:54">
      <c r="A488" s="6">
        <v>45807</v>
      </c>
      <c r="B488" s="7" t="s">
        <v>2468</v>
      </c>
      <c r="C488" t="s">
        <v>205</v>
      </c>
      <c r="D488" t="s">
        <v>2254</v>
      </c>
      <c r="G488" t="s">
        <v>207</v>
      </c>
      <c r="H488" s="8" t="s">
        <v>208</v>
      </c>
      <c r="I488" s="8" t="s">
        <v>208</v>
      </c>
      <c r="J488" s="8" t="s">
        <v>208</v>
      </c>
      <c r="K488" s="8" t="s">
        <v>208</v>
      </c>
      <c r="L488" s="8" t="s">
        <v>208</v>
      </c>
      <c r="M488" s="8" t="s">
        <v>208</v>
      </c>
      <c r="N488" s="8" t="s">
        <v>208</v>
      </c>
      <c r="O488" s="8" t="s">
        <v>221</v>
      </c>
      <c r="P488" t="s">
        <v>2497</v>
      </c>
      <c r="Q488" t="s">
        <v>2469</v>
      </c>
      <c r="R488" t="s">
        <v>2470</v>
      </c>
      <c r="U488" t="s">
        <v>2471</v>
      </c>
      <c r="V488" t="s">
        <v>140</v>
      </c>
      <c r="W488" t="s">
        <v>212</v>
      </c>
      <c r="Y488" t="s">
        <v>275</v>
      </c>
      <c r="AA488" t="s">
        <v>214</v>
      </c>
      <c r="AB488" t="s">
        <v>701</v>
      </c>
      <c r="AD488" t="s">
        <v>2255</v>
      </c>
      <c r="AE488" t="s">
        <v>217</v>
      </c>
      <c r="AG488" s="9" t="s">
        <v>221</v>
      </c>
      <c r="AH488" t="s">
        <v>2256</v>
      </c>
      <c r="AI488" s="8" t="s">
        <v>221</v>
      </c>
      <c r="AJ488" s="9" t="s">
        <v>218</v>
      </c>
      <c r="AK488" t="s">
        <v>234</v>
      </c>
      <c r="AL488" s="8" t="s">
        <v>221</v>
      </c>
      <c r="AM488" s="9" t="s">
        <v>218</v>
      </c>
      <c r="AN488" s="8" t="s">
        <v>221</v>
      </c>
      <c r="AO488" s="8" t="s">
        <v>222</v>
      </c>
      <c r="AP488" s="8">
        <v>0</v>
      </c>
      <c r="AQ488" s="8">
        <v>0</v>
      </c>
      <c r="AR488" s="8">
        <v>0</v>
      </c>
      <c r="AS488" s="8">
        <v>0</v>
      </c>
      <c r="AT488" s="8">
        <v>0</v>
      </c>
      <c r="AU488" s="8">
        <v>0</v>
      </c>
      <c r="AV488" s="8">
        <v>0</v>
      </c>
      <c r="AW488" s="8">
        <v>0</v>
      </c>
      <c r="AX488" s="8"/>
      <c r="AY488" s="8"/>
    </row>
    <row r="489" spans="1:54">
      <c r="A489" s="6">
        <v>45807</v>
      </c>
      <c r="B489" s="7" t="s">
        <v>813</v>
      </c>
      <c r="C489" t="s">
        <v>205</v>
      </c>
      <c r="D489" t="s">
        <v>2286</v>
      </c>
      <c r="G489" t="s">
        <v>207</v>
      </c>
      <c r="H489" s="8" t="s">
        <v>208</v>
      </c>
      <c r="I489" s="8" t="s">
        <v>208</v>
      </c>
      <c r="J489" s="8" t="s">
        <v>208</v>
      </c>
      <c r="K489" s="8" t="s">
        <v>208</v>
      </c>
      <c r="L489" s="8" t="s">
        <v>208</v>
      </c>
      <c r="M489" s="8" t="s">
        <v>208</v>
      </c>
      <c r="N489" s="8" t="s">
        <v>208</v>
      </c>
      <c r="O489" s="8" t="s">
        <v>221</v>
      </c>
      <c r="Q489" t="s">
        <v>815</v>
      </c>
      <c r="R489" t="s">
        <v>816</v>
      </c>
      <c r="U489" t="s">
        <v>817</v>
      </c>
      <c r="V489" t="s">
        <v>140</v>
      </c>
      <c r="W489" t="s">
        <v>212</v>
      </c>
      <c r="X489" t="s">
        <v>212</v>
      </c>
      <c r="Y489" t="s">
        <v>275</v>
      </c>
      <c r="Z489" t="s">
        <v>213</v>
      </c>
      <c r="AA489" t="s">
        <v>214</v>
      </c>
      <c r="AB489" t="s">
        <v>277</v>
      </c>
      <c r="AC489" t="s">
        <v>681</v>
      </c>
      <c r="AD489" t="s">
        <v>2255</v>
      </c>
      <c r="AE489" t="s">
        <v>217</v>
      </c>
      <c r="AG489" s="8" t="s">
        <v>218</v>
      </c>
      <c r="AH489" t="s">
        <v>2256</v>
      </c>
      <c r="AI489" s="8" t="s">
        <v>221</v>
      </c>
      <c r="AJ489" s="9" t="s">
        <v>218</v>
      </c>
      <c r="AK489" t="s">
        <v>234</v>
      </c>
      <c r="AL489" s="8" t="s">
        <v>221</v>
      </c>
      <c r="AM489" s="9" t="s">
        <v>218</v>
      </c>
      <c r="AN489" s="8" t="s">
        <v>221</v>
      </c>
      <c r="AO489" s="8" t="s">
        <v>222</v>
      </c>
      <c r="AP489" s="8">
        <v>0</v>
      </c>
      <c r="AQ489" s="8">
        <v>0</v>
      </c>
      <c r="AR489" s="9">
        <v>32</v>
      </c>
      <c r="AS489" s="8">
        <v>0</v>
      </c>
      <c r="AT489" s="8">
        <v>0</v>
      </c>
      <c r="AU489" s="8">
        <v>0</v>
      </c>
      <c r="AV489" s="8">
        <v>0</v>
      </c>
      <c r="AW489" s="9">
        <v>32</v>
      </c>
      <c r="AX489" s="8"/>
      <c r="AY489" s="9" t="s">
        <v>818</v>
      </c>
      <c r="AZ489">
        <v>2</v>
      </c>
      <c r="BA489" t="s">
        <v>2498</v>
      </c>
      <c r="BB489" t="s">
        <v>819</v>
      </c>
    </row>
    <row r="490" spans="1:54">
      <c r="A490" s="6">
        <v>45807</v>
      </c>
      <c r="B490" s="7" t="s">
        <v>1644</v>
      </c>
      <c r="C490" t="s">
        <v>205</v>
      </c>
      <c r="D490" t="s">
        <v>2286</v>
      </c>
      <c r="G490" t="s">
        <v>207</v>
      </c>
      <c r="H490" s="8" t="s">
        <v>208</v>
      </c>
      <c r="I490" s="8" t="s">
        <v>208</v>
      </c>
      <c r="J490" s="8" t="s">
        <v>208</v>
      </c>
      <c r="K490" s="8" t="s">
        <v>208</v>
      </c>
      <c r="L490" s="8" t="s">
        <v>208</v>
      </c>
      <c r="M490" s="8" t="s">
        <v>208</v>
      </c>
      <c r="N490" s="8" t="s">
        <v>208</v>
      </c>
      <c r="O490" s="8" t="s">
        <v>221</v>
      </c>
      <c r="Q490" t="s">
        <v>1645</v>
      </c>
      <c r="R490" t="s">
        <v>1646</v>
      </c>
      <c r="U490" t="s">
        <v>1647</v>
      </c>
      <c r="V490" t="s">
        <v>140</v>
      </c>
      <c r="W490" t="s">
        <v>212</v>
      </c>
      <c r="X490" t="s">
        <v>212</v>
      </c>
      <c r="Y490" t="s">
        <v>275</v>
      </c>
      <c r="Z490" t="s">
        <v>213</v>
      </c>
      <c r="AA490" t="s">
        <v>214</v>
      </c>
      <c r="AB490" t="s">
        <v>758</v>
      </c>
      <c r="AC490" t="s">
        <v>285</v>
      </c>
      <c r="AD490" t="s">
        <v>2255</v>
      </c>
      <c r="AE490" t="s">
        <v>217</v>
      </c>
      <c r="AG490" s="8" t="s">
        <v>218</v>
      </c>
      <c r="AH490" t="s">
        <v>2256</v>
      </c>
      <c r="AI490" s="8" t="s">
        <v>221</v>
      </c>
      <c r="AJ490" s="9" t="s">
        <v>218</v>
      </c>
      <c r="AK490" t="s">
        <v>234</v>
      </c>
      <c r="AL490" s="8" t="s">
        <v>221</v>
      </c>
      <c r="AM490" s="9" t="s">
        <v>218</v>
      </c>
      <c r="AN490" s="8" t="s">
        <v>221</v>
      </c>
      <c r="AO490" s="8" t="s">
        <v>222</v>
      </c>
      <c r="AP490" s="8">
        <v>0</v>
      </c>
      <c r="AQ490" s="8">
        <v>0</v>
      </c>
      <c r="AR490" s="8">
        <v>0</v>
      </c>
      <c r="AS490" s="8">
        <v>0</v>
      </c>
      <c r="AT490" s="8">
        <v>0</v>
      </c>
      <c r="AU490" s="8">
        <v>0</v>
      </c>
      <c r="AV490" s="8">
        <v>0</v>
      </c>
      <c r="AW490" s="8">
        <v>0</v>
      </c>
      <c r="AX490" s="8"/>
      <c r="AY490" s="9" t="s">
        <v>2499</v>
      </c>
      <c r="AZ490">
        <v>2</v>
      </c>
      <c r="BA490" t="s">
        <v>2500</v>
      </c>
      <c r="BB490" t="s">
        <v>1650</v>
      </c>
    </row>
    <row r="491" spans="1:54">
      <c r="A491" s="6">
        <v>45807</v>
      </c>
      <c r="B491" s="7" t="s">
        <v>1422</v>
      </c>
      <c r="C491" t="s">
        <v>205</v>
      </c>
      <c r="D491" t="s">
        <v>2254</v>
      </c>
      <c r="G491" t="s">
        <v>207</v>
      </c>
      <c r="H491" s="8" t="s">
        <v>208</v>
      </c>
      <c r="I491" s="8" t="s">
        <v>208</v>
      </c>
      <c r="J491" s="8" t="s">
        <v>208</v>
      </c>
      <c r="K491" s="8" t="s">
        <v>208</v>
      </c>
      <c r="L491" s="8" t="s">
        <v>208</v>
      </c>
      <c r="M491" s="8" t="s">
        <v>208</v>
      </c>
      <c r="N491" s="8" t="s">
        <v>208</v>
      </c>
      <c r="O491" s="8" t="s">
        <v>221</v>
      </c>
      <c r="Q491" t="s">
        <v>1423</v>
      </c>
      <c r="R491" t="s">
        <v>1424</v>
      </c>
      <c r="U491" t="s">
        <v>1425</v>
      </c>
      <c r="V491" t="s">
        <v>140</v>
      </c>
      <c r="W491" t="s">
        <v>212</v>
      </c>
      <c r="X491" t="s">
        <v>212</v>
      </c>
      <c r="Y491" t="s">
        <v>275</v>
      </c>
      <c r="Z491" t="s">
        <v>213</v>
      </c>
      <c r="AA491" t="s">
        <v>214</v>
      </c>
      <c r="AB491" t="s">
        <v>2501</v>
      </c>
      <c r="AC491" t="s">
        <v>215</v>
      </c>
      <c r="AD491" t="s">
        <v>216</v>
      </c>
      <c r="AE491" t="s">
        <v>217</v>
      </c>
      <c r="AG491" s="9" t="s">
        <v>221</v>
      </c>
      <c r="AH491" t="s">
        <v>219</v>
      </c>
      <c r="AI491" s="9" t="s">
        <v>218</v>
      </c>
      <c r="AJ491" s="9" t="s">
        <v>218</v>
      </c>
      <c r="AK491" t="s">
        <v>234</v>
      </c>
      <c r="AL491" s="8" t="s">
        <v>221</v>
      </c>
      <c r="AM491" s="9" t="s">
        <v>218</v>
      </c>
      <c r="AN491" s="8" t="s">
        <v>221</v>
      </c>
      <c r="AO491" s="8" t="s">
        <v>222</v>
      </c>
      <c r="AP491" s="8">
        <v>0</v>
      </c>
      <c r="AQ491" s="8">
        <v>0</v>
      </c>
      <c r="AR491" s="9">
        <v>136</v>
      </c>
      <c r="AS491" s="8">
        <v>0</v>
      </c>
      <c r="AT491" s="8">
        <v>0</v>
      </c>
      <c r="AU491" s="8">
        <v>0</v>
      </c>
      <c r="AV491" s="8">
        <v>0</v>
      </c>
      <c r="AW491" s="9">
        <v>136</v>
      </c>
      <c r="AX491" s="8"/>
      <c r="AY491" s="9" t="s">
        <v>1426</v>
      </c>
      <c r="AZ491">
        <v>2</v>
      </c>
      <c r="BA491" t="s">
        <v>2502</v>
      </c>
      <c r="BB491" t="s">
        <v>1428</v>
      </c>
    </row>
    <row r="492" spans="1:54">
      <c r="A492" s="6">
        <v>45807</v>
      </c>
      <c r="B492" s="7" t="s">
        <v>1176</v>
      </c>
      <c r="C492" t="s">
        <v>205</v>
      </c>
      <c r="D492" t="s">
        <v>2254</v>
      </c>
      <c r="G492" t="s">
        <v>207</v>
      </c>
      <c r="H492" s="8" t="s">
        <v>208</v>
      </c>
      <c r="I492" s="8" t="s">
        <v>208</v>
      </c>
      <c r="J492" s="8" t="s">
        <v>208</v>
      </c>
      <c r="K492" s="8" t="s">
        <v>208</v>
      </c>
      <c r="L492" s="8" t="s">
        <v>208</v>
      </c>
      <c r="M492" s="8" t="s">
        <v>208</v>
      </c>
      <c r="N492" s="8" t="s">
        <v>208</v>
      </c>
      <c r="O492" s="8" t="s">
        <v>221</v>
      </c>
      <c r="Q492" t="s">
        <v>1173</v>
      </c>
      <c r="R492" t="s">
        <v>1175</v>
      </c>
      <c r="U492" t="s">
        <v>1177</v>
      </c>
      <c r="V492" t="s">
        <v>140</v>
      </c>
      <c r="W492" t="s">
        <v>774</v>
      </c>
      <c r="X492" t="s">
        <v>212</v>
      </c>
      <c r="Y492" t="s">
        <v>775</v>
      </c>
      <c r="Z492" t="s">
        <v>213</v>
      </c>
      <c r="AA492" t="s">
        <v>1164</v>
      </c>
      <c r="AB492" t="s">
        <v>301</v>
      </c>
      <c r="AC492" t="s">
        <v>701</v>
      </c>
      <c r="AD492" t="s">
        <v>216</v>
      </c>
      <c r="AE492" t="s">
        <v>2259</v>
      </c>
      <c r="AG492" s="8" t="s">
        <v>218</v>
      </c>
      <c r="AH492" t="s">
        <v>219</v>
      </c>
      <c r="AI492" s="9" t="s">
        <v>218</v>
      </c>
      <c r="AJ492" s="9" t="s">
        <v>218</v>
      </c>
      <c r="AK492" t="s">
        <v>234</v>
      </c>
      <c r="AL492" s="9" t="s">
        <v>218</v>
      </c>
      <c r="AM492" s="8" t="s">
        <v>221</v>
      </c>
      <c r="AN492" s="8" t="s">
        <v>221</v>
      </c>
      <c r="AO492" s="8" t="s">
        <v>222</v>
      </c>
      <c r="AP492" s="8">
        <v>0</v>
      </c>
      <c r="AQ492" s="8">
        <v>0</v>
      </c>
      <c r="AR492" s="9">
        <v>7</v>
      </c>
      <c r="AS492" s="8">
        <v>0</v>
      </c>
      <c r="AT492" s="8">
        <v>0</v>
      </c>
      <c r="AU492" s="8">
        <v>0</v>
      </c>
      <c r="AV492" s="8">
        <v>0</v>
      </c>
      <c r="AW492" s="9">
        <v>7</v>
      </c>
      <c r="AX492" s="8"/>
      <c r="AY492" s="9" t="s">
        <v>1178</v>
      </c>
      <c r="AZ492">
        <v>0</v>
      </c>
      <c r="BB492" t="s">
        <v>2285</v>
      </c>
    </row>
    <row r="493" spans="1:54">
      <c r="A493" s="6">
        <v>45807</v>
      </c>
      <c r="B493" s="7" t="s">
        <v>1186</v>
      </c>
      <c r="C493" t="s">
        <v>205</v>
      </c>
      <c r="D493" t="s">
        <v>2254</v>
      </c>
      <c r="G493" t="s">
        <v>207</v>
      </c>
      <c r="H493" s="8" t="s">
        <v>208</v>
      </c>
      <c r="I493" s="8" t="s">
        <v>208</v>
      </c>
      <c r="J493" s="8" t="s">
        <v>208</v>
      </c>
      <c r="K493" s="8" t="s">
        <v>208</v>
      </c>
      <c r="L493" s="8" t="s">
        <v>208</v>
      </c>
      <c r="M493" s="8" t="s">
        <v>208</v>
      </c>
      <c r="N493" s="8" t="s">
        <v>208</v>
      </c>
      <c r="O493" s="8" t="s">
        <v>221</v>
      </c>
      <c r="Q493" t="s">
        <v>1183</v>
      </c>
      <c r="R493" t="s">
        <v>1185</v>
      </c>
      <c r="U493" t="s">
        <v>1187</v>
      </c>
      <c r="V493" t="s">
        <v>140</v>
      </c>
      <c r="W493" t="s">
        <v>774</v>
      </c>
      <c r="Y493" t="s">
        <v>775</v>
      </c>
      <c r="AA493" t="s">
        <v>1164</v>
      </c>
      <c r="AB493" t="s">
        <v>301</v>
      </c>
      <c r="AD493" t="s">
        <v>216</v>
      </c>
      <c r="AE493" t="s">
        <v>2259</v>
      </c>
      <c r="AG493" s="8" t="s">
        <v>218</v>
      </c>
      <c r="AH493" t="s">
        <v>219</v>
      </c>
      <c r="AI493" s="9" t="s">
        <v>218</v>
      </c>
      <c r="AJ493" s="9" t="s">
        <v>218</v>
      </c>
      <c r="AK493" t="s">
        <v>234</v>
      </c>
      <c r="AL493" s="9" t="s">
        <v>218</v>
      </c>
      <c r="AM493" s="8" t="s">
        <v>221</v>
      </c>
      <c r="AN493" s="8" t="s">
        <v>221</v>
      </c>
      <c r="AO493" s="8" t="s">
        <v>222</v>
      </c>
      <c r="AP493" s="8">
        <v>0</v>
      </c>
      <c r="AQ493" s="8">
        <v>0</v>
      </c>
      <c r="AR493" s="8">
        <v>0</v>
      </c>
      <c r="AS493" s="8">
        <v>0</v>
      </c>
      <c r="AT493" s="8">
        <v>0</v>
      </c>
      <c r="AU493" s="8">
        <v>0</v>
      </c>
      <c r="AV493" s="8">
        <v>0</v>
      </c>
      <c r="AW493" s="8">
        <v>0</v>
      </c>
      <c r="AX493" s="8"/>
      <c r="AY493" s="8"/>
      <c r="AZ493">
        <v>0</v>
      </c>
    </row>
    <row r="494" spans="1:54">
      <c r="A494" s="6">
        <v>45807</v>
      </c>
      <c r="B494" s="7" t="s">
        <v>1219</v>
      </c>
      <c r="C494" t="s">
        <v>205</v>
      </c>
      <c r="D494" t="s">
        <v>2254</v>
      </c>
      <c r="G494" t="s">
        <v>207</v>
      </c>
      <c r="H494" s="8" t="s">
        <v>208</v>
      </c>
      <c r="I494" s="8" t="s">
        <v>208</v>
      </c>
      <c r="J494" s="8" t="s">
        <v>208</v>
      </c>
      <c r="K494" s="8" t="s">
        <v>208</v>
      </c>
      <c r="L494" s="8" t="s">
        <v>208</v>
      </c>
      <c r="M494" s="8" t="s">
        <v>208</v>
      </c>
      <c r="N494" s="8" t="s">
        <v>208</v>
      </c>
      <c r="O494" s="8" t="s">
        <v>221</v>
      </c>
      <c r="Q494" t="s">
        <v>1216</v>
      </c>
      <c r="R494" t="s">
        <v>1218</v>
      </c>
      <c r="U494" t="s">
        <v>1220</v>
      </c>
      <c r="V494" t="s">
        <v>140</v>
      </c>
      <c r="W494" t="s">
        <v>774</v>
      </c>
      <c r="Y494" t="s">
        <v>775</v>
      </c>
      <c r="AA494" t="s">
        <v>1164</v>
      </c>
      <c r="AB494" t="s">
        <v>312</v>
      </c>
      <c r="AD494" t="s">
        <v>216</v>
      </c>
      <c r="AE494" t="s">
        <v>2259</v>
      </c>
      <c r="AG494" s="8" t="s">
        <v>218</v>
      </c>
      <c r="AH494" t="s">
        <v>219</v>
      </c>
      <c r="AI494" s="9" t="s">
        <v>218</v>
      </c>
      <c r="AJ494" s="9" t="s">
        <v>218</v>
      </c>
      <c r="AK494" t="s">
        <v>234</v>
      </c>
      <c r="AL494" s="9" t="s">
        <v>218</v>
      </c>
      <c r="AM494" s="8" t="s">
        <v>221</v>
      </c>
      <c r="AN494" s="8" t="s">
        <v>221</v>
      </c>
      <c r="AO494" s="8" t="s">
        <v>222</v>
      </c>
      <c r="AP494" s="8">
        <v>0</v>
      </c>
      <c r="AQ494" s="8">
        <v>0</v>
      </c>
      <c r="AR494" s="8">
        <v>0</v>
      </c>
      <c r="AS494" s="8">
        <v>0</v>
      </c>
      <c r="AT494" s="8">
        <v>0</v>
      </c>
      <c r="AU494" s="8">
        <v>0</v>
      </c>
      <c r="AV494" s="8">
        <v>0</v>
      </c>
      <c r="AW494" s="8">
        <v>0</v>
      </c>
      <c r="AX494" s="8"/>
      <c r="AY494" s="8"/>
      <c r="AZ494">
        <v>0</v>
      </c>
    </row>
    <row r="495" spans="1:54">
      <c r="A495" s="6">
        <v>45807</v>
      </c>
      <c r="B495" s="7" t="s">
        <v>1236</v>
      </c>
      <c r="C495" t="s">
        <v>205</v>
      </c>
      <c r="D495" t="s">
        <v>2254</v>
      </c>
      <c r="G495" t="s">
        <v>207</v>
      </c>
      <c r="H495" s="8" t="s">
        <v>208</v>
      </c>
      <c r="I495" s="8" t="s">
        <v>208</v>
      </c>
      <c r="J495" s="8" t="s">
        <v>208</v>
      </c>
      <c r="K495" s="8" t="s">
        <v>208</v>
      </c>
      <c r="L495" s="8" t="s">
        <v>208</v>
      </c>
      <c r="M495" s="8" t="s">
        <v>208</v>
      </c>
      <c r="N495" s="8" t="s">
        <v>208</v>
      </c>
      <c r="O495" s="8" t="s">
        <v>221</v>
      </c>
      <c r="Q495" t="s">
        <v>1233</v>
      </c>
      <c r="R495" t="s">
        <v>1235</v>
      </c>
      <c r="U495" t="s">
        <v>1237</v>
      </c>
      <c r="V495" t="s">
        <v>140</v>
      </c>
      <c r="W495" t="s">
        <v>774</v>
      </c>
      <c r="Y495" t="s">
        <v>775</v>
      </c>
      <c r="AA495" t="s">
        <v>1164</v>
      </c>
      <c r="AB495" t="s">
        <v>312</v>
      </c>
      <c r="AD495" t="s">
        <v>216</v>
      </c>
      <c r="AE495" t="s">
        <v>2259</v>
      </c>
      <c r="AG495" s="8" t="s">
        <v>218</v>
      </c>
      <c r="AH495" t="s">
        <v>219</v>
      </c>
      <c r="AI495" s="9" t="s">
        <v>218</v>
      </c>
      <c r="AJ495" s="9" t="s">
        <v>218</v>
      </c>
      <c r="AK495" t="s">
        <v>234</v>
      </c>
      <c r="AL495" s="9" t="s">
        <v>218</v>
      </c>
      <c r="AM495" s="8" t="s">
        <v>221</v>
      </c>
      <c r="AN495" s="8" t="s">
        <v>221</v>
      </c>
      <c r="AO495" s="8" t="s">
        <v>222</v>
      </c>
      <c r="AP495" s="8">
        <v>0</v>
      </c>
      <c r="AQ495" s="8">
        <v>0</v>
      </c>
      <c r="AR495" s="8">
        <v>0</v>
      </c>
      <c r="AS495" s="8">
        <v>0</v>
      </c>
      <c r="AT495" s="8">
        <v>0</v>
      </c>
      <c r="AU495" s="8">
        <v>0</v>
      </c>
      <c r="AV495" s="8">
        <v>0</v>
      </c>
      <c r="AW495" s="8">
        <v>0</v>
      </c>
      <c r="AX495" s="8"/>
      <c r="AY495" s="8"/>
      <c r="AZ495">
        <v>0</v>
      </c>
    </row>
    <row r="496" spans="1:54">
      <c r="A496" s="6">
        <v>45807</v>
      </c>
      <c r="B496" s="7" t="s">
        <v>1322</v>
      </c>
      <c r="C496" t="s">
        <v>205</v>
      </c>
      <c r="D496" t="s">
        <v>2266</v>
      </c>
      <c r="G496" t="s">
        <v>207</v>
      </c>
      <c r="H496" s="8" t="s">
        <v>208</v>
      </c>
      <c r="I496" s="8" t="s">
        <v>208</v>
      </c>
      <c r="J496" s="8" t="s">
        <v>208</v>
      </c>
      <c r="K496" s="8" t="s">
        <v>208</v>
      </c>
      <c r="L496" s="8" t="s">
        <v>208</v>
      </c>
      <c r="M496" s="8" t="s">
        <v>208</v>
      </c>
      <c r="N496" s="8" t="s">
        <v>208</v>
      </c>
      <c r="O496" s="8" t="s">
        <v>221</v>
      </c>
      <c r="Q496" t="s">
        <v>1323</v>
      </c>
      <c r="R496" t="s">
        <v>1324</v>
      </c>
      <c r="U496" t="s">
        <v>1325</v>
      </c>
      <c r="V496" t="s">
        <v>140</v>
      </c>
      <c r="W496" t="s">
        <v>774</v>
      </c>
      <c r="X496" t="s">
        <v>774</v>
      </c>
      <c r="Y496" t="s">
        <v>775</v>
      </c>
      <c r="Z496" t="s">
        <v>775</v>
      </c>
      <c r="AA496" t="s">
        <v>1164</v>
      </c>
      <c r="AB496" t="s">
        <v>2267</v>
      </c>
      <c r="AC496" t="s">
        <v>1147</v>
      </c>
      <c r="AD496" t="s">
        <v>216</v>
      </c>
      <c r="AE496" t="s">
        <v>2259</v>
      </c>
      <c r="AG496" s="8" t="s">
        <v>218</v>
      </c>
      <c r="AH496" t="s">
        <v>219</v>
      </c>
      <c r="AI496" s="9" t="s">
        <v>218</v>
      </c>
      <c r="AJ496" s="9" t="s">
        <v>218</v>
      </c>
      <c r="AK496" t="s">
        <v>234</v>
      </c>
      <c r="AL496" s="9" t="s">
        <v>218</v>
      </c>
      <c r="AM496" s="8" t="s">
        <v>221</v>
      </c>
      <c r="AN496" s="8" t="s">
        <v>221</v>
      </c>
      <c r="AO496" s="8" t="s">
        <v>222</v>
      </c>
      <c r="AP496" s="8">
        <v>0</v>
      </c>
      <c r="AQ496" s="8">
        <v>0</v>
      </c>
      <c r="AR496" s="9">
        <v>176</v>
      </c>
      <c r="AS496" s="8">
        <v>0</v>
      </c>
      <c r="AT496" s="8">
        <v>0</v>
      </c>
      <c r="AU496" s="8">
        <v>0</v>
      </c>
      <c r="AV496" s="9">
        <v>3</v>
      </c>
      <c r="AW496" s="9">
        <v>179</v>
      </c>
      <c r="AX496" s="8"/>
      <c r="AY496" s="9" t="s">
        <v>2503</v>
      </c>
      <c r="AZ496">
        <v>0</v>
      </c>
      <c r="BB496" t="s">
        <v>1329</v>
      </c>
    </row>
    <row r="497" spans="1:54">
      <c r="A497" s="6">
        <v>45807</v>
      </c>
      <c r="B497" s="7" t="s">
        <v>1158</v>
      </c>
      <c r="C497" t="s">
        <v>205</v>
      </c>
      <c r="D497" t="s">
        <v>2266</v>
      </c>
      <c r="G497" t="s">
        <v>207</v>
      </c>
      <c r="H497" s="8" t="s">
        <v>208</v>
      </c>
      <c r="I497" s="8" t="s">
        <v>208</v>
      </c>
      <c r="J497" s="8" t="s">
        <v>208</v>
      </c>
      <c r="K497" s="8" t="s">
        <v>208</v>
      </c>
      <c r="L497" s="8" t="s">
        <v>208</v>
      </c>
      <c r="M497" s="8" t="s">
        <v>208</v>
      </c>
      <c r="N497" s="8" t="s">
        <v>208</v>
      </c>
      <c r="O497" s="8" t="s">
        <v>221</v>
      </c>
      <c r="Q497" t="s">
        <v>1161</v>
      </c>
      <c r="R497" t="s">
        <v>1162</v>
      </c>
      <c r="U497" t="s">
        <v>1163</v>
      </c>
      <c r="V497" t="s">
        <v>140</v>
      </c>
      <c r="W497" t="s">
        <v>774</v>
      </c>
      <c r="X497" t="s">
        <v>774</v>
      </c>
      <c r="Y497" t="s">
        <v>775</v>
      </c>
      <c r="Z497" t="s">
        <v>775</v>
      </c>
      <c r="AA497" t="s">
        <v>1164</v>
      </c>
      <c r="AB497" t="s">
        <v>425</v>
      </c>
      <c r="AC497" t="s">
        <v>312</v>
      </c>
      <c r="AD497" t="s">
        <v>216</v>
      </c>
      <c r="AE497" t="s">
        <v>2259</v>
      </c>
      <c r="AG497" s="8" t="s">
        <v>218</v>
      </c>
      <c r="AH497" t="s">
        <v>219</v>
      </c>
      <c r="AI497" s="9" t="s">
        <v>218</v>
      </c>
      <c r="AJ497" s="9" t="s">
        <v>218</v>
      </c>
      <c r="AK497" t="s">
        <v>1167</v>
      </c>
      <c r="AL497" s="9" t="s">
        <v>218</v>
      </c>
      <c r="AM497" s="8" t="s">
        <v>221</v>
      </c>
      <c r="AN497" s="8" t="s">
        <v>221</v>
      </c>
      <c r="AO497" s="8" t="s">
        <v>222</v>
      </c>
      <c r="AP497" s="8">
        <v>0</v>
      </c>
      <c r="AQ497" s="8">
        <v>0</v>
      </c>
      <c r="AR497" s="8">
        <v>0</v>
      </c>
      <c r="AS497" s="8">
        <v>0</v>
      </c>
      <c r="AT497" s="8">
        <v>0</v>
      </c>
      <c r="AU497" s="8">
        <v>0</v>
      </c>
      <c r="AV497" s="8">
        <v>0</v>
      </c>
      <c r="AW497" s="8">
        <v>0</v>
      </c>
      <c r="AX497" s="8"/>
      <c r="AY497" s="9" t="s">
        <v>2504</v>
      </c>
      <c r="AZ497">
        <v>0</v>
      </c>
      <c r="BB497" t="s">
        <v>1170</v>
      </c>
    </row>
    <row r="498" spans="1:54">
      <c r="A498" s="6">
        <v>45807</v>
      </c>
      <c r="B498" s="7" t="s">
        <v>2198</v>
      </c>
      <c r="C498" t="s">
        <v>205</v>
      </c>
      <c r="D498" t="s">
        <v>2266</v>
      </c>
      <c r="G498" t="s">
        <v>207</v>
      </c>
      <c r="H498" s="8" t="s">
        <v>208</v>
      </c>
      <c r="I498" s="8" t="s">
        <v>208</v>
      </c>
      <c r="J498" s="8" t="s">
        <v>208</v>
      </c>
      <c r="K498" s="8" t="s">
        <v>208</v>
      </c>
      <c r="L498" s="8" t="s">
        <v>208</v>
      </c>
      <c r="M498" s="8" t="s">
        <v>208</v>
      </c>
      <c r="N498" s="8" t="s">
        <v>208</v>
      </c>
      <c r="O498" s="8" t="s">
        <v>221</v>
      </c>
      <c r="Q498" t="s">
        <v>2199</v>
      </c>
      <c r="R498" t="s">
        <v>2200</v>
      </c>
      <c r="U498" t="s">
        <v>2201</v>
      </c>
      <c r="V498" t="s">
        <v>140</v>
      </c>
      <c r="W498" t="s">
        <v>774</v>
      </c>
      <c r="X498" t="s">
        <v>774</v>
      </c>
      <c r="Y498" t="s">
        <v>775</v>
      </c>
      <c r="Z498" t="s">
        <v>775</v>
      </c>
      <c r="AA498" t="s">
        <v>1164</v>
      </c>
      <c r="AB498" t="s">
        <v>425</v>
      </c>
      <c r="AC498" t="s">
        <v>465</v>
      </c>
      <c r="AD498" t="s">
        <v>216</v>
      </c>
      <c r="AE498" t="s">
        <v>2259</v>
      </c>
      <c r="AG498" s="8" t="s">
        <v>218</v>
      </c>
      <c r="AH498" t="s">
        <v>219</v>
      </c>
      <c r="AI498" s="9" t="s">
        <v>218</v>
      </c>
      <c r="AJ498" s="9" t="s">
        <v>218</v>
      </c>
      <c r="AK498" t="s">
        <v>234</v>
      </c>
      <c r="AL498" s="9" t="s">
        <v>218</v>
      </c>
      <c r="AM498" s="8" t="s">
        <v>221</v>
      </c>
      <c r="AN498" s="8" t="s">
        <v>221</v>
      </c>
      <c r="AO498" s="8" t="s">
        <v>222</v>
      </c>
      <c r="AP498" s="8">
        <v>0</v>
      </c>
      <c r="AQ498" s="8">
        <v>0</v>
      </c>
      <c r="AR498" s="9">
        <v>2</v>
      </c>
      <c r="AS498" s="8">
        <v>0</v>
      </c>
      <c r="AT498" s="8">
        <v>0</v>
      </c>
      <c r="AU498" s="8">
        <v>0</v>
      </c>
      <c r="AV498" s="8">
        <v>0</v>
      </c>
      <c r="AW498" s="9">
        <v>2</v>
      </c>
      <c r="AX498" s="8"/>
      <c r="AY498" s="9" t="s">
        <v>2505</v>
      </c>
      <c r="AZ498">
        <v>0</v>
      </c>
      <c r="BB498" t="s">
        <v>2204</v>
      </c>
    </row>
    <row r="499" spans="1:54">
      <c r="A499" s="6">
        <v>45807</v>
      </c>
      <c r="B499" s="7" t="s">
        <v>1476</v>
      </c>
      <c r="C499" t="s">
        <v>205</v>
      </c>
      <c r="D499" t="s">
        <v>2266</v>
      </c>
      <c r="G499" t="s">
        <v>207</v>
      </c>
      <c r="H499" s="8" t="s">
        <v>208</v>
      </c>
      <c r="I499" s="8" t="s">
        <v>208</v>
      </c>
      <c r="J499" s="8" t="s">
        <v>208</v>
      </c>
      <c r="K499" s="8" t="s">
        <v>208</v>
      </c>
      <c r="L499" s="8" t="s">
        <v>208</v>
      </c>
      <c r="M499" s="8" t="s">
        <v>208</v>
      </c>
      <c r="N499" s="8" t="s">
        <v>208</v>
      </c>
      <c r="O499" s="8" t="s">
        <v>221</v>
      </c>
      <c r="Q499" t="s">
        <v>1477</v>
      </c>
      <c r="R499" t="s">
        <v>1478</v>
      </c>
      <c r="U499" t="s">
        <v>1479</v>
      </c>
      <c r="V499" t="s">
        <v>140</v>
      </c>
      <c r="W499" t="s">
        <v>774</v>
      </c>
      <c r="X499" t="s">
        <v>774</v>
      </c>
      <c r="Y499" t="s">
        <v>775</v>
      </c>
      <c r="Z499" t="s">
        <v>775</v>
      </c>
      <c r="AA499" t="s">
        <v>1164</v>
      </c>
      <c r="AB499" t="s">
        <v>399</v>
      </c>
      <c r="AC499" t="s">
        <v>417</v>
      </c>
      <c r="AD499" t="s">
        <v>216</v>
      </c>
      <c r="AE499" t="s">
        <v>2259</v>
      </c>
      <c r="AG499" s="9" t="s">
        <v>221</v>
      </c>
      <c r="AH499" t="s">
        <v>219</v>
      </c>
      <c r="AI499" s="9" t="s">
        <v>218</v>
      </c>
      <c r="AJ499" s="9" t="s">
        <v>218</v>
      </c>
      <c r="AK499" t="s">
        <v>1481</v>
      </c>
      <c r="AL499" s="9" t="s">
        <v>218</v>
      </c>
      <c r="AM499" s="8" t="s">
        <v>221</v>
      </c>
      <c r="AN499" s="8" t="s">
        <v>221</v>
      </c>
      <c r="AO499" s="8" t="s">
        <v>222</v>
      </c>
      <c r="AP499" s="8">
        <v>0</v>
      </c>
      <c r="AQ499" s="8">
        <v>0</v>
      </c>
      <c r="AR499" s="9">
        <v>12</v>
      </c>
      <c r="AS499" s="8">
        <v>0</v>
      </c>
      <c r="AT499" s="8">
        <v>0</v>
      </c>
      <c r="AU499" s="8">
        <v>0</v>
      </c>
      <c r="AV499" s="8">
        <v>0</v>
      </c>
      <c r="AW499" s="9">
        <v>12</v>
      </c>
      <c r="AX499" s="8"/>
      <c r="AY499" s="9" t="s">
        <v>1482</v>
      </c>
      <c r="AZ499">
        <v>0</v>
      </c>
      <c r="BB499" t="s">
        <v>1484</v>
      </c>
    </row>
    <row r="500" spans="1:54">
      <c r="A500" s="6">
        <v>45807</v>
      </c>
      <c r="B500" s="7" t="s">
        <v>2506</v>
      </c>
      <c r="C500" t="s">
        <v>714</v>
      </c>
      <c r="D500" t="s">
        <v>2254</v>
      </c>
      <c r="G500" t="s">
        <v>207</v>
      </c>
      <c r="H500" s="8" t="s">
        <v>208</v>
      </c>
      <c r="I500" s="8" t="s">
        <v>208</v>
      </c>
      <c r="J500" s="8" t="s">
        <v>208</v>
      </c>
      <c r="K500" s="8" t="s">
        <v>208</v>
      </c>
      <c r="L500" s="8" t="s">
        <v>208</v>
      </c>
      <c r="M500" s="8" t="s">
        <v>208</v>
      </c>
      <c r="N500" s="8" t="s">
        <v>208</v>
      </c>
      <c r="O500" s="8" t="s">
        <v>221</v>
      </c>
      <c r="P500" t="s">
        <v>2507</v>
      </c>
      <c r="Q500" t="s">
        <v>2508</v>
      </c>
      <c r="R500" t="s">
        <v>2509</v>
      </c>
      <c r="U500" t="s">
        <v>2510</v>
      </c>
      <c r="V500" t="s">
        <v>1146</v>
      </c>
      <c r="W500" t="s">
        <v>298</v>
      </c>
      <c r="X500" t="s">
        <v>298</v>
      </c>
      <c r="Y500" t="s">
        <v>299</v>
      </c>
      <c r="Z500" t="s">
        <v>299</v>
      </c>
      <c r="AA500" t="s">
        <v>645</v>
      </c>
      <c r="AB500" t="s">
        <v>408</v>
      </c>
      <c r="AC500" t="s">
        <v>391</v>
      </c>
      <c r="AD500" t="s">
        <v>216</v>
      </c>
      <c r="AE500" t="s">
        <v>645</v>
      </c>
      <c r="AG500" s="8" t="s">
        <v>218</v>
      </c>
      <c r="AH500" t="s">
        <v>302</v>
      </c>
      <c r="AI500" s="9" t="s">
        <v>218</v>
      </c>
      <c r="AJ500" s="9" t="s">
        <v>218</v>
      </c>
      <c r="AK500" t="s">
        <v>234</v>
      </c>
      <c r="AL500" s="9" t="s">
        <v>218</v>
      </c>
      <c r="AM500" s="8" t="s">
        <v>221</v>
      </c>
      <c r="AN500" s="8" t="s">
        <v>221</v>
      </c>
      <c r="AO500" s="8" t="s">
        <v>222</v>
      </c>
      <c r="AP500" s="8">
        <v>0</v>
      </c>
      <c r="AQ500" s="8">
        <v>0</v>
      </c>
      <c r="AR500" s="9">
        <v>12</v>
      </c>
      <c r="AS500" s="8">
        <v>0</v>
      </c>
      <c r="AT500" s="8">
        <v>0</v>
      </c>
      <c r="AU500" s="8">
        <v>0</v>
      </c>
      <c r="AV500" s="8">
        <v>0</v>
      </c>
      <c r="AW500" s="9">
        <v>12</v>
      </c>
      <c r="AX500" s="8"/>
      <c r="AY500" s="8"/>
      <c r="AZ500">
        <v>0</v>
      </c>
      <c r="BB500" t="s">
        <v>2511</v>
      </c>
    </row>
    <row r="501" spans="1:54">
      <c r="A501" s="6">
        <v>45807</v>
      </c>
      <c r="B501" s="7" t="s">
        <v>2512</v>
      </c>
      <c r="C501" t="s">
        <v>714</v>
      </c>
      <c r="D501" t="s">
        <v>2254</v>
      </c>
      <c r="G501" t="s">
        <v>207</v>
      </c>
      <c r="H501" s="8" t="s">
        <v>208</v>
      </c>
      <c r="I501" s="8" t="s">
        <v>208</v>
      </c>
      <c r="J501" s="8" t="s">
        <v>208</v>
      </c>
      <c r="K501" s="8" t="s">
        <v>208</v>
      </c>
      <c r="L501" s="8" t="s">
        <v>208</v>
      </c>
      <c r="M501" s="8" t="s">
        <v>208</v>
      </c>
      <c r="N501" s="8" t="s">
        <v>208</v>
      </c>
      <c r="O501" s="8" t="s">
        <v>221</v>
      </c>
      <c r="P501" t="s">
        <v>2507</v>
      </c>
      <c r="Q501" t="s">
        <v>2513</v>
      </c>
      <c r="R501" t="s">
        <v>2514</v>
      </c>
      <c r="U501" t="s">
        <v>2515</v>
      </c>
      <c r="V501" t="s">
        <v>700</v>
      </c>
      <c r="W501" t="s">
        <v>298</v>
      </c>
      <c r="X501" t="s">
        <v>298</v>
      </c>
      <c r="Y501" t="s">
        <v>299</v>
      </c>
      <c r="Z501" t="s">
        <v>299</v>
      </c>
      <c r="AA501" t="s">
        <v>645</v>
      </c>
      <c r="AB501" t="s">
        <v>312</v>
      </c>
      <c r="AC501" t="s">
        <v>312</v>
      </c>
      <c r="AD501" t="s">
        <v>216</v>
      </c>
      <c r="AE501" t="s">
        <v>645</v>
      </c>
      <c r="AG501" s="8" t="s">
        <v>218</v>
      </c>
      <c r="AH501" t="s">
        <v>302</v>
      </c>
      <c r="AI501" s="9" t="s">
        <v>218</v>
      </c>
      <c r="AJ501" s="9" t="s">
        <v>218</v>
      </c>
      <c r="AK501" t="s">
        <v>234</v>
      </c>
      <c r="AL501" s="9" t="s">
        <v>218</v>
      </c>
      <c r="AM501" s="8" t="s">
        <v>221</v>
      </c>
      <c r="AN501" s="8" t="s">
        <v>221</v>
      </c>
      <c r="AO501" s="8" t="s">
        <v>222</v>
      </c>
      <c r="AP501" s="8">
        <v>0</v>
      </c>
      <c r="AQ501" s="8">
        <v>0</v>
      </c>
      <c r="AR501" s="8">
        <v>0</v>
      </c>
      <c r="AS501" s="8">
        <v>0</v>
      </c>
      <c r="AT501" s="8">
        <v>0</v>
      </c>
      <c r="AU501" s="8">
        <v>0</v>
      </c>
      <c r="AV501" s="8">
        <v>0</v>
      </c>
      <c r="AW501" s="8">
        <v>0</v>
      </c>
      <c r="AX501" s="8"/>
      <c r="AY501" s="8"/>
      <c r="AZ501">
        <v>0</v>
      </c>
      <c r="BB501" t="s">
        <v>2516</v>
      </c>
    </row>
    <row r="502" spans="1:54">
      <c r="A502" s="6">
        <v>45807</v>
      </c>
      <c r="B502" s="7" t="s">
        <v>1486</v>
      </c>
      <c r="C502" t="s">
        <v>714</v>
      </c>
      <c r="D502" t="s">
        <v>2254</v>
      </c>
      <c r="G502" t="s">
        <v>207</v>
      </c>
      <c r="H502" s="8" t="s">
        <v>208</v>
      </c>
      <c r="I502" s="8" t="s">
        <v>208</v>
      </c>
      <c r="J502" s="8" t="s">
        <v>208</v>
      </c>
      <c r="K502" s="8" t="s">
        <v>208</v>
      </c>
      <c r="L502" s="8" t="s">
        <v>208</v>
      </c>
      <c r="M502" s="8" t="s">
        <v>208</v>
      </c>
      <c r="N502" s="8" t="s">
        <v>208</v>
      </c>
      <c r="O502" s="8" t="s">
        <v>221</v>
      </c>
      <c r="P502" t="s">
        <v>2507</v>
      </c>
      <c r="Q502" t="s">
        <v>1487</v>
      </c>
      <c r="R502" t="s">
        <v>1488</v>
      </c>
      <c r="U502" t="s">
        <v>1489</v>
      </c>
      <c r="V502" t="s">
        <v>138</v>
      </c>
      <c r="W502" t="s">
        <v>212</v>
      </c>
      <c r="X502" t="s">
        <v>212</v>
      </c>
      <c r="Y502" t="s">
        <v>213</v>
      </c>
      <c r="Z502" t="s">
        <v>213</v>
      </c>
      <c r="AA502" t="s">
        <v>214</v>
      </c>
      <c r="AB502" t="s">
        <v>701</v>
      </c>
      <c r="AC502" t="s">
        <v>242</v>
      </c>
      <c r="AD502" t="s">
        <v>216</v>
      </c>
      <c r="AE502" t="s">
        <v>217</v>
      </c>
      <c r="AG502" s="8" t="s">
        <v>218</v>
      </c>
      <c r="AH502" t="s">
        <v>219</v>
      </c>
      <c r="AI502" s="9" t="s">
        <v>218</v>
      </c>
      <c r="AJ502" s="9" t="s">
        <v>218</v>
      </c>
      <c r="AK502" t="s">
        <v>234</v>
      </c>
      <c r="AL502" s="9" t="s">
        <v>218</v>
      </c>
      <c r="AM502" s="8" t="s">
        <v>221</v>
      </c>
      <c r="AN502" s="8" t="s">
        <v>221</v>
      </c>
      <c r="AO502" s="8" t="s">
        <v>222</v>
      </c>
      <c r="AP502" s="8">
        <v>0</v>
      </c>
      <c r="AQ502" s="8">
        <v>0</v>
      </c>
      <c r="AR502" s="8">
        <v>0</v>
      </c>
      <c r="AS502" s="8">
        <v>0</v>
      </c>
      <c r="AT502" s="8">
        <v>0</v>
      </c>
      <c r="AU502" s="8">
        <v>0</v>
      </c>
      <c r="AV502" s="8">
        <v>0</v>
      </c>
      <c r="AW502" s="8">
        <v>0</v>
      </c>
      <c r="AX502" s="8"/>
      <c r="AY502" s="9" t="s">
        <v>1490</v>
      </c>
      <c r="AZ502">
        <v>0</v>
      </c>
      <c r="BB502" t="s">
        <v>1492</v>
      </c>
    </row>
    <row r="503" spans="1:54">
      <c r="A503" s="6">
        <v>45807</v>
      </c>
      <c r="B503" s="7" t="s">
        <v>2517</v>
      </c>
      <c r="C503" t="s">
        <v>714</v>
      </c>
      <c r="D503" t="s">
        <v>2254</v>
      </c>
      <c r="G503" t="s">
        <v>207</v>
      </c>
      <c r="H503" s="8" t="s">
        <v>208</v>
      </c>
      <c r="I503" s="8" t="s">
        <v>208</v>
      </c>
      <c r="J503" s="8" t="s">
        <v>208</v>
      </c>
      <c r="K503" s="8" t="s">
        <v>208</v>
      </c>
      <c r="L503" s="8" t="s">
        <v>208</v>
      </c>
      <c r="M503" s="8" t="s">
        <v>208</v>
      </c>
      <c r="N503" s="8" t="s">
        <v>208</v>
      </c>
      <c r="O503" s="8" t="s">
        <v>221</v>
      </c>
      <c r="P503" t="s">
        <v>2507</v>
      </c>
      <c r="Q503" t="s">
        <v>2518</v>
      </c>
      <c r="R503" t="s">
        <v>2519</v>
      </c>
      <c r="U503" t="s">
        <v>2520</v>
      </c>
      <c r="V503" t="s">
        <v>136</v>
      </c>
      <c r="W503" t="s">
        <v>774</v>
      </c>
      <c r="X503" t="s">
        <v>774</v>
      </c>
      <c r="Y503" t="s">
        <v>775</v>
      </c>
      <c r="Z503" t="s">
        <v>775</v>
      </c>
      <c r="AA503" t="s">
        <v>1968</v>
      </c>
      <c r="AB503" t="s">
        <v>312</v>
      </c>
      <c r="AC503" t="s">
        <v>312</v>
      </c>
      <c r="AD503" t="s">
        <v>216</v>
      </c>
      <c r="AE503" t="s">
        <v>1969</v>
      </c>
      <c r="AG503" s="8" t="s">
        <v>218</v>
      </c>
      <c r="AH503" t="s">
        <v>219</v>
      </c>
      <c r="AI503" s="9" t="s">
        <v>218</v>
      </c>
      <c r="AJ503" s="9" t="s">
        <v>218</v>
      </c>
      <c r="AK503" t="s">
        <v>725</v>
      </c>
      <c r="AL503" s="9" t="s">
        <v>218</v>
      </c>
      <c r="AM503" s="8" t="s">
        <v>221</v>
      </c>
      <c r="AN503" s="8" t="s">
        <v>221</v>
      </c>
      <c r="AO503" s="8" t="s">
        <v>222</v>
      </c>
      <c r="AP503" s="8">
        <v>0</v>
      </c>
      <c r="AQ503" s="8">
        <v>0</v>
      </c>
      <c r="AR503" s="8">
        <v>0</v>
      </c>
      <c r="AS503" s="8">
        <v>0</v>
      </c>
      <c r="AT503" s="8">
        <v>0</v>
      </c>
      <c r="AU503" s="8">
        <v>0</v>
      </c>
      <c r="AV503" s="8">
        <v>0</v>
      </c>
      <c r="AW503" s="8">
        <v>0</v>
      </c>
      <c r="AX503" s="8"/>
      <c r="AY503" s="8"/>
      <c r="AZ503">
        <v>0</v>
      </c>
      <c r="BB503" t="s">
        <v>2521</v>
      </c>
    </row>
    <row r="504" spans="1:54">
      <c r="A504" s="6">
        <v>45807</v>
      </c>
      <c r="B504" s="7" t="s">
        <v>2522</v>
      </c>
      <c r="C504" t="s">
        <v>714</v>
      </c>
      <c r="D504" t="s">
        <v>2254</v>
      </c>
      <c r="G504" t="s">
        <v>207</v>
      </c>
      <c r="H504" s="8" t="s">
        <v>208</v>
      </c>
      <c r="I504" s="8" t="s">
        <v>208</v>
      </c>
      <c r="J504" s="8" t="s">
        <v>208</v>
      </c>
      <c r="K504" s="8" t="s">
        <v>208</v>
      </c>
      <c r="L504" s="8" t="s">
        <v>208</v>
      </c>
      <c r="M504" s="8" t="s">
        <v>208</v>
      </c>
      <c r="N504" s="8" t="s">
        <v>208</v>
      </c>
      <c r="O504" s="8" t="s">
        <v>221</v>
      </c>
      <c r="P504" t="s">
        <v>2507</v>
      </c>
      <c r="Q504" t="s">
        <v>2523</v>
      </c>
      <c r="R504" t="s">
        <v>2524</v>
      </c>
      <c r="U504" t="s">
        <v>2525</v>
      </c>
      <c r="V504" t="s">
        <v>134</v>
      </c>
      <c r="W504" t="s">
        <v>298</v>
      </c>
      <c r="X504" t="s">
        <v>298</v>
      </c>
      <c r="Y504" t="s">
        <v>299</v>
      </c>
      <c r="Z504" t="s">
        <v>299</v>
      </c>
      <c r="AA504" t="s">
        <v>2526</v>
      </c>
      <c r="AB504" t="s">
        <v>312</v>
      </c>
      <c r="AC504" t="s">
        <v>312</v>
      </c>
      <c r="AD504" t="s">
        <v>216</v>
      </c>
      <c r="AE504" t="s">
        <v>2526</v>
      </c>
      <c r="AG504" s="8" t="s">
        <v>218</v>
      </c>
      <c r="AH504" t="s">
        <v>302</v>
      </c>
      <c r="AI504" s="9" t="s">
        <v>218</v>
      </c>
      <c r="AJ504" s="9" t="s">
        <v>218</v>
      </c>
      <c r="AK504" t="s">
        <v>2527</v>
      </c>
      <c r="AL504" s="9" t="s">
        <v>218</v>
      </c>
      <c r="AM504" s="8" t="s">
        <v>221</v>
      </c>
      <c r="AN504" s="8" t="s">
        <v>221</v>
      </c>
      <c r="AO504" s="8" t="s">
        <v>222</v>
      </c>
      <c r="AP504" s="8">
        <v>0</v>
      </c>
      <c r="AQ504" s="8">
        <v>0</v>
      </c>
      <c r="AR504" s="8">
        <v>0</v>
      </c>
      <c r="AS504" s="8">
        <v>0</v>
      </c>
      <c r="AT504" s="8">
        <v>0</v>
      </c>
      <c r="AU504" s="8">
        <v>0</v>
      </c>
      <c r="AV504" s="8">
        <v>0</v>
      </c>
      <c r="AW504" s="8">
        <v>0</v>
      </c>
      <c r="AX504" s="8"/>
      <c r="AY504" s="8"/>
      <c r="AZ504">
        <v>0</v>
      </c>
      <c r="BB504" t="s">
        <v>2528</v>
      </c>
    </row>
    <row r="505" spans="1:54">
      <c r="A505" s="6">
        <v>45807</v>
      </c>
      <c r="B505" s="7" t="s">
        <v>2529</v>
      </c>
      <c r="C505" t="s">
        <v>714</v>
      </c>
      <c r="D505" t="s">
        <v>2254</v>
      </c>
      <c r="G505" t="s">
        <v>207</v>
      </c>
      <c r="H505" s="8" t="s">
        <v>208</v>
      </c>
      <c r="I505" s="8" t="s">
        <v>208</v>
      </c>
      <c r="J505" s="8" t="s">
        <v>208</v>
      </c>
      <c r="K505" s="8" t="s">
        <v>208</v>
      </c>
      <c r="L505" s="8" t="s">
        <v>208</v>
      </c>
      <c r="M505" s="8" t="s">
        <v>208</v>
      </c>
      <c r="N505" s="8" t="s">
        <v>208</v>
      </c>
      <c r="O505" s="8" t="s">
        <v>221</v>
      </c>
      <c r="P505" t="s">
        <v>2507</v>
      </c>
      <c r="Q505" t="s">
        <v>2530</v>
      </c>
      <c r="R505" t="s">
        <v>2531</v>
      </c>
      <c r="U505" t="s">
        <v>2532</v>
      </c>
      <c r="V505" t="s">
        <v>136</v>
      </c>
      <c r="W505" t="s">
        <v>774</v>
      </c>
      <c r="X505" t="s">
        <v>774</v>
      </c>
      <c r="Y505" t="s">
        <v>775</v>
      </c>
      <c r="Z505" t="s">
        <v>775</v>
      </c>
      <c r="AA505" t="s">
        <v>1968</v>
      </c>
      <c r="AB505" t="s">
        <v>312</v>
      </c>
      <c r="AC505" t="s">
        <v>312</v>
      </c>
      <c r="AD505" t="s">
        <v>216</v>
      </c>
      <c r="AE505" t="s">
        <v>1969</v>
      </c>
      <c r="AG505" s="8" t="s">
        <v>218</v>
      </c>
      <c r="AH505" t="s">
        <v>219</v>
      </c>
      <c r="AI505" s="9" t="s">
        <v>218</v>
      </c>
      <c r="AJ505" s="9" t="s">
        <v>218</v>
      </c>
      <c r="AK505" t="s">
        <v>234</v>
      </c>
      <c r="AL505" s="9" t="s">
        <v>218</v>
      </c>
      <c r="AM505" s="8" t="s">
        <v>221</v>
      </c>
      <c r="AN505" s="8" t="s">
        <v>221</v>
      </c>
      <c r="AO505" s="8" t="s">
        <v>222</v>
      </c>
      <c r="AP505" s="8">
        <v>0</v>
      </c>
      <c r="AQ505" s="8">
        <v>0</v>
      </c>
      <c r="AR505" s="8">
        <v>0</v>
      </c>
      <c r="AS505" s="8">
        <v>0</v>
      </c>
      <c r="AT505" s="8">
        <v>0</v>
      </c>
      <c r="AU505" s="8">
        <v>0</v>
      </c>
      <c r="AV505" s="8">
        <v>0</v>
      </c>
      <c r="AW505" s="8">
        <v>0</v>
      </c>
      <c r="AX505" s="8"/>
      <c r="AY505" s="8"/>
      <c r="AZ505">
        <v>0</v>
      </c>
      <c r="BB505" t="s">
        <v>2533</v>
      </c>
    </row>
    <row r="506" spans="1:54">
      <c r="A506" s="6">
        <v>45807</v>
      </c>
      <c r="B506" s="7" t="s">
        <v>1194</v>
      </c>
      <c r="C506" t="s">
        <v>205</v>
      </c>
      <c r="D506" t="s">
        <v>2254</v>
      </c>
      <c r="G506" t="s">
        <v>207</v>
      </c>
      <c r="H506" s="8" t="s">
        <v>208</v>
      </c>
      <c r="I506" s="8" t="s">
        <v>208</v>
      </c>
      <c r="J506" s="8" t="s">
        <v>208</v>
      </c>
      <c r="K506" s="8" t="s">
        <v>208</v>
      </c>
      <c r="L506" s="8" t="s">
        <v>208</v>
      </c>
      <c r="M506" s="8" t="s">
        <v>208</v>
      </c>
      <c r="N506" s="8" t="s">
        <v>208</v>
      </c>
      <c r="O506" s="8" t="s">
        <v>221</v>
      </c>
      <c r="Q506" t="s">
        <v>1191</v>
      </c>
      <c r="R506" t="s">
        <v>1193</v>
      </c>
      <c r="U506" t="s">
        <v>1195</v>
      </c>
      <c r="V506" t="s">
        <v>140</v>
      </c>
      <c r="W506" t="s">
        <v>774</v>
      </c>
      <c r="Y506" t="s">
        <v>775</v>
      </c>
      <c r="AA506" t="s">
        <v>1164</v>
      </c>
      <c r="AB506" t="s">
        <v>301</v>
      </c>
      <c r="AD506" t="s">
        <v>216</v>
      </c>
      <c r="AE506" t="s">
        <v>2259</v>
      </c>
      <c r="AG506" s="8" t="s">
        <v>218</v>
      </c>
      <c r="AH506" t="s">
        <v>219</v>
      </c>
      <c r="AI506" s="9" t="s">
        <v>218</v>
      </c>
      <c r="AJ506" s="9" t="s">
        <v>218</v>
      </c>
      <c r="AK506" t="s">
        <v>1196</v>
      </c>
      <c r="AL506" s="9" t="s">
        <v>218</v>
      </c>
      <c r="AM506" s="8" t="s">
        <v>221</v>
      </c>
      <c r="AN506" s="8" t="s">
        <v>221</v>
      </c>
      <c r="AO506" s="8" t="s">
        <v>222</v>
      </c>
      <c r="AP506" s="8">
        <v>0</v>
      </c>
      <c r="AQ506" s="8">
        <v>0</v>
      </c>
      <c r="AR506" s="8">
        <v>0</v>
      </c>
      <c r="AS506" s="8">
        <v>0</v>
      </c>
      <c r="AT506" s="8">
        <v>0</v>
      </c>
      <c r="AU506" s="8">
        <v>0</v>
      </c>
      <c r="AV506" s="8">
        <v>0</v>
      </c>
      <c r="AW506" s="8">
        <v>0</v>
      </c>
      <c r="AX506" s="8"/>
      <c r="AY506" s="8"/>
      <c r="AZ506">
        <v>0</v>
      </c>
    </row>
    <row r="507" spans="1:54">
      <c r="A507" s="6">
        <v>45807</v>
      </c>
      <c r="B507" s="7" t="s">
        <v>1203</v>
      </c>
      <c r="C507" t="s">
        <v>205</v>
      </c>
      <c r="D507" t="s">
        <v>2254</v>
      </c>
      <c r="G507" t="s">
        <v>207</v>
      </c>
      <c r="H507" s="8" t="s">
        <v>208</v>
      </c>
      <c r="I507" s="8" t="s">
        <v>208</v>
      </c>
      <c r="J507" s="8" t="s">
        <v>208</v>
      </c>
      <c r="K507" s="8" t="s">
        <v>208</v>
      </c>
      <c r="L507" s="8" t="s">
        <v>208</v>
      </c>
      <c r="M507" s="8" t="s">
        <v>208</v>
      </c>
      <c r="N507" s="8" t="s">
        <v>208</v>
      </c>
      <c r="O507" s="8" t="s">
        <v>221</v>
      </c>
      <c r="Q507" t="s">
        <v>1200</v>
      </c>
      <c r="R507" t="s">
        <v>1202</v>
      </c>
      <c r="U507" t="s">
        <v>1204</v>
      </c>
      <c r="V507" t="s">
        <v>140</v>
      </c>
      <c r="W507" t="s">
        <v>774</v>
      </c>
      <c r="Y507" t="s">
        <v>775</v>
      </c>
      <c r="AA507" t="s">
        <v>1164</v>
      </c>
      <c r="AB507" t="s">
        <v>301</v>
      </c>
      <c r="AD507" t="s">
        <v>216</v>
      </c>
      <c r="AE507" t="s">
        <v>2259</v>
      </c>
      <c r="AG507" s="8" t="s">
        <v>218</v>
      </c>
      <c r="AH507" t="s">
        <v>219</v>
      </c>
      <c r="AI507" s="9" t="s">
        <v>218</v>
      </c>
      <c r="AJ507" s="9" t="s">
        <v>218</v>
      </c>
      <c r="AK507" t="s">
        <v>234</v>
      </c>
      <c r="AL507" s="9" t="s">
        <v>218</v>
      </c>
      <c r="AM507" s="8" t="s">
        <v>221</v>
      </c>
      <c r="AN507" s="8" t="s">
        <v>221</v>
      </c>
      <c r="AO507" s="8" t="s">
        <v>222</v>
      </c>
      <c r="AP507" s="8">
        <v>0</v>
      </c>
      <c r="AQ507" s="8">
        <v>0</v>
      </c>
      <c r="AR507" s="8">
        <v>0</v>
      </c>
      <c r="AS507" s="8">
        <v>0</v>
      </c>
      <c r="AT507" s="8">
        <v>0</v>
      </c>
      <c r="AU507" s="8">
        <v>0</v>
      </c>
      <c r="AV507" s="8">
        <v>0</v>
      </c>
      <c r="AW507" s="8">
        <v>0</v>
      </c>
      <c r="AX507" s="8"/>
      <c r="AY507" s="8"/>
      <c r="AZ507">
        <v>0</v>
      </c>
    </row>
    <row r="508" spans="1:54">
      <c r="A508" s="6">
        <v>45807</v>
      </c>
      <c r="B508" s="7" t="s">
        <v>1211</v>
      </c>
      <c r="C508" t="s">
        <v>205</v>
      </c>
      <c r="D508" t="s">
        <v>2254</v>
      </c>
      <c r="G508" t="s">
        <v>207</v>
      </c>
      <c r="H508" s="8" t="s">
        <v>208</v>
      </c>
      <c r="I508" s="8" t="s">
        <v>208</v>
      </c>
      <c r="J508" s="8" t="s">
        <v>208</v>
      </c>
      <c r="K508" s="8" t="s">
        <v>208</v>
      </c>
      <c r="L508" s="8" t="s">
        <v>208</v>
      </c>
      <c r="M508" s="8" t="s">
        <v>208</v>
      </c>
      <c r="N508" s="8" t="s">
        <v>208</v>
      </c>
      <c r="O508" s="8" t="s">
        <v>221</v>
      </c>
      <c r="Q508" t="s">
        <v>1208</v>
      </c>
      <c r="R508" t="s">
        <v>1210</v>
      </c>
      <c r="U508" t="s">
        <v>1212</v>
      </c>
      <c r="V508" t="s">
        <v>140</v>
      </c>
      <c r="W508" t="s">
        <v>774</v>
      </c>
      <c r="Y508" t="s">
        <v>775</v>
      </c>
      <c r="AA508" t="s">
        <v>1164</v>
      </c>
      <c r="AB508" t="s">
        <v>301</v>
      </c>
      <c r="AD508" t="s">
        <v>216</v>
      </c>
      <c r="AE508" t="s">
        <v>2259</v>
      </c>
      <c r="AG508" s="8" t="s">
        <v>218</v>
      </c>
      <c r="AH508" t="s">
        <v>219</v>
      </c>
      <c r="AI508" s="9" t="s">
        <v>218</v>
      </c>
      <c r="AJ508" s="9" t="s">
        <v>218</v>
      </c>
      <c r="AK508" t="s">
        <v>1213</v>
      </c>
      <c r="AL508" s="9" t="s">
        <v>218</v>
      </c>
      <c r="AM508" s="8" t="s">
        <v>221</v>
      </c>
      <c r="AN508" s="8" t="s">
        <v>221</v>
      </c>
      <c r="AO508" s="8" t="s">
        <v>222</v>
      </c>
      <c r="AP508" s="8">
        <v>0</v>
      </c>
      <c r="AQ508" s="8">
        <v>0</v>
      </c>
      <c r="AR508" s="8">
        <v>0</v>
      </c>
      <c r="AS508" s="8">
        <v>0</v>
      </c>
      <c r="AT508" s="8">
        <v>0</v>
      </c>
      <c r="AU508" s="8">
        <v>0</v>
      </c>
      <c r="AV508" s="8">
        <v>0</v>
      </c>
      <c r="AW508" s="8">
        <v>0</v>
      </c>
      <c r="AX508" s="8"/>
      <c r="AY508" s="8"/>
      <c r="AZ508">
        <v>0</v>
      </c>
    </row>
    <row r="509" spans="1:54">
      <c r="A509" s="6">
        <v>45807</v>
      </c>
      <c r="B509" s="7" t="s">
        <v>1228</v>
      </c>
      <c r="C509" t="s">
        <v>205</v>
      </c>
      <c r="D509" t="s">
        <v>2254</v>
      </c>
      <c r="G509" t="s">
        <v>207</v>
      </c>
      <c r="H509" s="8" t="s">
        <v>208</v>
      </c>
      <c r="I509" s="8" t="s">
        <v>208</v>
      </c>
      <c r="J509" s="8" t="s">
        <v>208</v>
      </c>
      <c r="K509" s="8" t="s">
        <v>208</v>
      </c>
      <c r="L509" s="8" t="s">
        <v>208</v>
      </c>
      <c r="M509" s="8" t="s">
        <v>208</v>
      </c>
      <c r="N509" s="8" t="s">
        <v>208</v>
      </c>
      <c r="O509" s="8" t="s">
        <v>221</v>
      </c>
      <c r="Q509" t="s">
        <v>1225</v>
      </c>
      <c r="R509" t="s">
        <v>1227</v>
      </c>
      <c r="U509" t="s">
        <v>1229</v>
      </c>
      <c r="V509" t="s">
        <v>140</v>
      </c>
      <c r="W509" t="s">
        <v>774</v>
      </c>
      <c r="Y509" t="s">
        <v>775</v>
      </c>
      <c r="AA509" t="s">
        <v>1164</v>
      </c>
      <c r="AB509" t="s">
        <v>301</v>
      </c>
      <c r="AD509" t="s">
        <v>216</v>
      </c>
      <c r="AE509" t="s">
        <v>2259</v>
      </c>
      <c r="AG509" s="8" t="s">
        <v>218</v>
      </c>
      <c r="AH509" t="s">
        <v>219</v>
      </c>
      <c r="AI509" s="9" t="s">
        <v>218</v>
      </c>
      <c r="AJ509" s="9" t="s">
        <v>218</v>
      </c>
      <c r="AK509" t="s">
        <v>234</v>
      </c>
      <c r="AL509" s="9" t="s">
        <v>218</v>
      </c>
      <c r="AM509" s="8" t="s">
        <v>221</v>
      </c>
      <c r="AN509" s="8" t="s">
        <v>221</v>
      </c>
      <c r="AO509" s="8" t="s">
        <v>222</v>
      </c>
      <c r="AP509" s="8">
        <v>0</v>
      </c>
      <c r="AQ509" s="8">
        <v>0</v>
      </c>
      <c r="AR509" s="8">
        <v>0</v>
      </c>
      <c r="AS509" s="8">
        <v>0</v>
      </c>
      <c r="AT509" s="8">
        <v>0</v>
      </c>
      <c r="AU509" s="8">
        <v>0</v>
      </c>
      <c r="AV509" s="8">
        <v>0</v>
      </c>
      <c r="AW509" s="8">
        <v>0</v>
      </c>
      <c r="AX509" s="8"/>
      <c r="AY509" s="8"/>
      <c r="AZ509">
        <v>0</v>
      </c>
    </row>
    <row r="510" spans="1:54">
      <c r="A510" s="6">
        <v>45807</v>
      </c>
      <c r="B510" s="7" t="s">
        <v>2224</v>
      </c>
      <c r="C510" t="s">
        <v>205</v>
      </c>
      <c r="D510" t="s">
        <v>2254</v>
      </c>
      <c r="G510" t="s">
        <v>207</v>
      </c>
      <c r="H510" s="8" t="s">
        <v>208</v>
      </c>
      <c r="I510" s="8" t="s">
        <v>208</v>
      </c>
      <c r="J510" s="8" t="s">
        <v>208</v>
      </c>
      <c r="K510" s="8" t="s">
        <v>208</v>
      </c>
      <c r="L510" s="8" t="s">
        <v>208</v>
      </c>
      <c r="M510" s="8" t="s">
        <v>208</v>
      </c>
      <c r="N510" s="8" t="s">
        <v>208</v>
      </c>
      <c r="O510" s="8" t="s">
        <v>221</v>
      </c>
      <c r="Q510" t="s">
        <v>2221</v>
      </c>
      <c r="R510" t="s">
        <v>2223</v>
      </c>
      <c r="U510" t="s">
        <v>1251</v>
      </c>
      <c r="V510" t="s">
        <v>140</v>
      </c>
      <c r="W510" t="s">
        <v>774</v>
      </c>
      <c r="Y510" t="s">
        <v>775</v>
      </c>
      <c r="AA510" t="s">
        <v>1164</v>
      </c>
      <c r="AB510" t="s">
        <v>301</v>
      </c>
      <c r="AD510" t="s">
        <v>216</v>
      </c>
      <c r="AE510" t="s">
        <v>2259</v>
      </c>
      <c r="AG510" s="8" t="s">
        <v>218</v>
      </c>
      <c r="AH510" t="s">
        <v>219</v>
      </c>
      <c r="AI510" s="9" t="s">
        <v>218</v>
      </c>
      <c r="AJ510" s="9" t="s">
        <v>218</v>
      </c>
      <c r="AK510" t="s">
        <v>767</v>
      </c>
      <c r="AL510" s="9" t="s">
        <v>218</v>
      </c>
      <c r="AM510" s="8" t="s">
        <v>221</v>
      </c>
      <c r="AN510" s="8" t="s">
        <v>221</v>
      </c>
      <c r="AO510" s="8" t="s">
        <v>222</v>
      </c>
      <c r="AP510" s="8">
        <v>0</v>
      </c>
      <c r="AQ510" s="8">
        <v>0</v>
      </c>
      <c r="AR510" s="8">
        <v>0</v>
      </c>
      <c r="AS510" s="8">
        <v>0</v>
      </c>
      <c r="AT510" s="8">
        <v>0</v>
      </c>
      <c r="AU510" s="8">
        <v>0</v>
      </c>
      <c r="AV510" s="8">
        <v>0</v>
      </c>
      <c r="AW510" s="8">
        <v>0</v>
      </c>
      <c r="AX510" s="8"/>
      <c r="AY510" s="8"/>
      <c r="AZ510">
        <v>0</v>
      </c>
    </row>
    <row r="511" spans="1:54">
      <c r="A511" s="6">
        <v>45807</v>
      </c>
      <c r="B511" s="7" t="s">
        <v>1243</v>
      </c>
      <c r="C511" t="s">
        <v>205</v>
      </c>
      <c r="D511" t="s">
        <v>2254</v>
      </c>
      <c r="G511" t="s">
        <v>207</v>
      </c>
      <c r="H511" s="8" t="s">
        <v>208</v>
      </c>
      <c r="I511" s="8" t="s">
        <v>208</v>
      </c>
      <c r="J511" s="8" t="s">
        <v>208</v>
      </c>
      <c r="K511" s="8" t="s">
        <v>208</v>
      </c>
      <c r="L511" s="8" t="s">
        <v>208</v>
      </c>
      <c r="M511" s="8" t="s">
        <v>208</v>
      </c>
      <c r="N511" s="8" t="s">
        <v>208</v>
      </c>
      <c r="O511" s="8" t="s">
        <v>221</v>
      </c>
      <c r="Q511" t="s">
        <v>1240</v>
      </c>
      <c r="R511" t="s">
        <v>1242</v>
      </c>
      <c r="U511" t="s">
        <v>1244</v>
      </c>
      <c r="V511" t="s">
        <v>140</v>
      </c>
      <c r="W511" t="s">
        <v>774</v>
      </c>
      <c r="Y511" t="s">
        <v>775</v>
      </c>
      <c r="AA511" t="s">
        <v>1164</v>
      </c>
      <c r="AB511" t="s">
        <v>301</v>
      </c>
      <c r="AD511" t="s">
        <v>216</v>
      </c>
      <c r="AE511" t="s">
        <v>2259</v>
      </c>
      <c r="AG511" s="8" t="s">
        <v>218</v>
      </c>
      <c r="AH511" t="s">
        <v>219</v>
      </c>
      <c r="AI511" s="9" t="s">
        <v>218</v>
      </c>
      <c r="AJ511" s="9" t="s">
        <v>218</v>
      </c>
      <c r="AK511" t="s">
        <v>767</v>
      </c>
      <c r="AL511" s="9" t="s">
        <v>218</v>
      </c>
      <c r="AM511" s="8" t="s">
        <v>221</v>
      </c>
      <c r="AN511" s="8" t="s">
        <v>221</v>
      </c>
      <c r="AO511" s="8" t="s">
        <v>222</v>
      </c>
      <c r="AP511" s="8">
        <v>0</v>
      </c>
      <c r="AQ511" s="8">
        <v>0</v>
      </c>
      <c r="AR511" s="8">
        <v>0</v>
      </c>
      <c r="AS511" s="8">
        <v>0</v>
      </c>
      <c r="AT511" s="8">
        <v>0</v>
      </c>
      <c r="AU511" s="8">
        <v>0</v>
      </c>
      <c r="AV511" s="8">
        <v>0</v>
      </c>
      <c r="AW511" s="8">
        <v>0</v>
      </c>
      <c r="AX511" s="8"/>
      <c r="AY511" s="8"/>
      <c r="AZ511">
        <v>0</v>
      </c>
    </row>
    <row r="512" spans="1:54">
      <c r="A512" s="6">
        <v>45807</v>
      </c>
      <c r="B512" s="7" t="s">
        <v>1250</v>
      </c>
      <c r="C512" t="s">
        <v>205</v>
      </c>
      <c r="D512" t="s">
        <v>2254</v>
      </c>
      <c r="G512" t="s">
        <v>207</v>
      </c>
      <c r="H512" s="8" t="s">
        <v>208</v>
      </c>
      <c r="I512" s="8" t="s">
        <v>208</v>
      </c>
      <c r="J512" s="8" t="s">
        <v>208</v>
      </c>
      <c r="K512" s="8" t="s">
        <v>208</v>
      </c>
      <c r="L512" s="8" t="s">
        <v>208</v>
      </c>
      <c r="M512" s="8" t="s">
        <v>208</v>
      </c>
      <c r="N512" s="8" t="s">
        <v>208</v>
      </c>
      <c r="O512" s="8" t="s">
        <v>221</v>
      </c>
      <c r="Q512" t="s">
        <v>1247</v>
      </c>
      <c r="R512" t="s">
        <v>1249</v>
      </c>
      <c r="U512" t="s">
        <v>1251</v>
      </c>
      <c r="V512" t="s">
        <v>140</v>
      </c>
      <c r="W512" t="s">
        <v>774</v>
      </c>
      <c r="Y512" t="s">
        <v>775</v>
      </c>
      <c r="AA512" t="s">
        <v>1164</v>
      </c>
      <c r="AB512" t="s">
        <v>301</v>
      </c>
      <c r="AD512" t="s">
        <v>216</v>
      </c>
      <c r="AE512" t="s">
        <v>2259</v>
      </c>
      <c r="AG512" s="8" t="s">
        <v>218</v>
      </c>
      <c r="AH512" t="s">
        <v>219</v>
      </c>
      <c r="AI512" s="9" t="s">
        <v>218</v>
      </c>
      <c r="AJ512" s="9" t="s">
        <v>218</v>
      </c>
      <c r="AK512" t="s">
        <v>767</v>
      </c>
      <c r="AL512" s="9" t="s">
        <v>218</v>
      </c>
      <c r="AM512" s="8" t="s">
        <v>221</v>
      </c>
      <c r="AN512" s="8" t="s">
        <v>221</v>
      </c>
      <c r="AO512" s="8" t="s">
        <v>222</v>
      </c>
      <c r="AP512" s="8">
        <v>0</v>
      </c>
      <c r="AQ512" s="8">
        <v>0</v>
      </c>
      <c r="AR512" s="8">
        <v>0</v>
      </c>
      <c r="AS512" s="8">
        <v>0</v>
      </c>
      <c r="AT512" s="8">
        <v>0</v>
      </c>
      <c r="AU512" s="8">
        <v>0</v>
      </c>
      <c r="AV512" s="8">
        <v>0</v>
      </c>
      <c r="AW512" s="8">
        <v>0</v>
      </c>
      <c r="AX512" s="8"/>
      <c r="AY512" s="8"/>
      <c r="AZ512">
        <v>0</v>
      </c>
    </row>
    <row r="513" spans="1:54">
      <c r="A513" s="6">
        <v>45807</v>
      </c>
      <c r="B513" s="7" t="s">
        <v>1172</v>
      </c>
      <c r="C513" t="s">
        <v>387</v>
      </c>
      <c r="D513" t="s">
        <v>2254</v>
      </c>
      <c r="G513" t="s">
        <v>207</v>
      </c>
      <c r="H513" s="8" t="s">
        <v>208</v>
      </c>
      <c r="I513" s="8" t="s">
        <v>208</v>
      </c>
      <c r="J513" s="8" t="s">
        <v>208</v>
      </c>
      <c r="K513" s="8" t="s">
        <v>208</v>
      </c>
      <c r="L513" s="8" t="s">
        <v>208</v>
      </c>
      <c r="M513" s="8" t="s">
        <v>208</v>
      </c>
      <c r="N513" s="8" t="s">
        <v>208</v>
      </c>
      <c r="O513" s="8" t="s">
        <v>221</v>
      </c>
      <c r="Q513" t="s">
        <v>2280</v>
      </c>
      <c r="R513" t="s">
        <v>1174</v>
      </c>
      <c r="U513" t="s">
        <v>2281</v>
      </c>
      <c r="V513" t="s">
        <v>662</v>
      </c>
      <c r="W513" t="s">
        <v>298</v>
      </c>
      <c r="X513" t="s">
        <v>298</v>
      </c>
      <c r="Y513" t="s">
        <v>299</v>
      </c>
      <c r="Z513" t="s">
        <v>299</v>
      </c>
      <c r="AA513" t="s">
        <v>663</v>
      </c>
      <c r="AB513" t="s">
        <v>301</v>
      </c>
      <c r="AC513" t="s">
        <v>312</v>
      </c>
      <c r="AD513" t="s">
        <v>216</v>
      </c>
      <c r="AE513" t="s">
        <v>663</v>
      </c>
      <c r="AG513" s="8" t="s">
        <v>218</v>
      </c>
      <c r="AH513" t="s">
        <v>302</v>
      </c>
      <c r="AI513" s="9" t="s">
        <v>218</v>
      </c>
      <c r="AJ513" s="9" t="s">
        <v>218</v>
      </c>
      <c r="AK513" t="s">
        <v>234</v>
      </c>
      <c r="AL513" s="9" t="s">
        <v>218</v>
      </c>
      <c r="AM513" s="8" t="s">
        <v>221</v>
      </c>
      <c r="AN513" s="8" t="s">
        <v>221</v>
      </c>
      <c r="AO513" s="8" t="s">
        <v>222</v>
      </c>
      <c r="AP513" s="8">
        <v>0</v>
      </c>
      <c r="AQ513" s="8">
        <v>0</v>
      </c>
      <c r="AR513" s="8">
        <v>0</v>
      </c>
      <c r="AS513" s="8">
        <v>0</v>
      </c>
      <c r="AT513" s="8">
        <v>0</v>
      </c>
      <c r="AU513" s="8">
        <v>0</v>
      </c>
      <c r="AV513" s="8">
        <v>0</v>
      </c>
      <c r="AW513" s="8">
        <v>0</v>
      </c>
      <c r="AX513" s="8"/>
      <c r="AY513" s="9" t="s">
        <v>1178</v>
      </c>
      <c r="AZ513">
        <v>0</v>
      </c>
    </row>
    <row r="514" spans="1:54">
      <c r="A514" s="6">
        <v>45807</v>
      </c>
      <c r="B514" s="7" t="s">
        <v>2008</v>
      </c>
      <c r="C514" t="s">
        <v>205</v>
      </c>
      <c r="D514" t="s">
        <v>2286</v>
      </c>
      <c r="G514" t="s">
        <v>207</v>
      </c>
      <c r="H514" s="8" t="s">
        <v>208</v>
      </c>
      <c r="I514" s="8" t="s">
        <v>208</v>
      </c>
      <c r="J514" s="8" t="s">
        <v>208</v>
      </c>
      <c r="K514" s="8" t="s">
        <v>208</v>
      </c>
      <c r="L514" s="8" t="s">
        <v>208</v>
      </c>
      <c r="M514" s="8" t="s">
        <v>208</v>
      </c>
      <c r="N514" s="8" t="s">
        <v>208</v>
      </c>
      <c r="O514" s="8" t="s">
        <v>208</v>
      </c>
      <c r="Q514" t="s">
        <v>2010</v>
      </c>
      <c r="R514" t="s">
        <v>2011</v>
      </c>
      <c r="U514" t="s">
        <v>2012</v>
      </c>
      <c r="V514" t="s">
        <v>140</v>
      </c>
      <c r="W514" t="s">
        <v>212</v>
      </c>
      <c r="X514" t="s">
        <v>212</v>
      </c>
      <c r="Y514" t="s">
        <v>275</v>
      </c>
      <c r="Z514" t="s">
        <v>213</v>
      </c>
      <c r="AA514" t="s">
        <v>214</v>
      </c>
      <c r="AB514" t="s">
        <v>758</v>
      </c>
      <c r="AC514" t="s">
        <v>242</v>
      </c>
      <c r="AD514" t="s">
        <v>216</v>
      </c>
      <c r="AE514" t="s">
        <v>217</v>
      </c>
      <c r="AG514" s="8" t="s">
        <v>218</v>
      </c>
      <c r="AH514" t="s">
        <v>219</v>
      </c>
      <c r="AI514" s="9" t="s">
        <v>218</v>
      </c>
      <c r="AJ514" s="9" t="s">
        <v>218</v>
      </c>
      <c r="AK514" t="s">
        <v>234</v>
      </c>
      <c r="AL514" s="8" t="s">
        <v>221</v>
      </c>
      <c r="AM514" s="9" t="s">
        <v>218</v>
      </c>
      <c r="AN514" s="8" t="s">
        <v>221</v>
      </c>
      <c r="AO514" s="8" t="s">
        <v>222</v>
      </c>
      <c r="AP514" s="8">
        <v>0</v>
      </c>
      <c r="AQ514" s="8">
        <v>0</v>
      </c>
      <c r="AR514" s="8">
        <v>0</v>
      </c>
      <c r="AS514" s="8">
        <v>0</v>
      </c>
      <c r="AT514" s="8">
        <v>0</v>
      </c>
      <c r="AU514" s="8">
        <v>0</v>
      </c>
      <c r="AV514" s="8">
        <v>0</v>
      </c>
      <c r="AW514" s="8">
        <v>0</v>
      </c>
      <c r="AX514" s="8"/>
      <c r="AY514" s="9" t="s">
        <v>2534</v>
      </c>
      <c r="AZ514">
        <v>2</v>
      </c>
      <c r="BA514" t="s">
        <v>2535</v>
      </c>
      <c r="BB514" t="s">
        <v>2015</v>
      </c>
    </row>
    <row r="515" spans="1:54">
      <c r="A515" s="6">
        <v>45807</v>
      </c>
      <c r="B515" s="7" t="s">
        <v>2289</v>
      </c>
      <c r="C515" t="s">
        <v>205</v>
      </c>
      <c r="D515" t="s">
        <v>2286</v>
      </c>
      <c r="G515" t="s">
        <v>207</v>
      </c>
      <c r="H515" s="8" t="s">
        <v>208</v>
      </c>
      <c r="I515" s="8" t="s">
        <v>208</v>
      </c>
      <c r="J515" s="8" t="s">
        <v>208</v>
      </c>
      <c r="K515" s="8" t="s">
        <v>208</v>
      </c>
      <c r="L515" s="8" t="s">
        <v>208</v>
      </c>
      <c r="M515" s="8" t="s">
        <v>208</v>
      </c>
      <c r="N515" s="8" t="s">
        <v>208</v>
      </c>
      <c r="O515" s="8" t="s">
        <v>208</v>
      </c>
      <c r="Q515" t="s">
        <v>2290</v>
      </c>
      <c r="R515" t="s">
        <v>2291</v>
      </c>
      <c r="U515" t="s">
        <v>2536</v>
      </c>
      <c r="V515" t="s">
        <v>140</v>
      </c>
      <c r="W515" t="s">
        <v>212</v>
      </c>
      <c r="Y515" t="s">
        <v>275</v>
      </c>
      <c r="AA515" t="s">
        <v>214</v>
      </c>
      <c r="AB515" t="s">
        <v>701</v>
      </c>
      <c r="AD515" t="s">
        <v>216</v>
      </c>
      <c r="AE515" t="s">
        <v>217</v>
      </c>
      <c r="AG515" s="8" t="s">
        <v>218</v>
      </c>
      <c r="AH515" t="s">
        <v>219</v>
      </c>
      <c r="AI515" s="9" t="s">
        <v>218</v>
      </c>
      <c r="AJ515" s="9" t="s">
        <v>218</v>
      </c>
      <c r="AK515" t="s">
        <v>2292</v>
      </c>
      <c r="AL515" s="8" t="s">
        <v>221</v>
      </c>
      <c r="AM515" s="9" t="s">
        <v>218</v>
      </c>
      <c r="AN515" s="8" t="s">
        <v>221</v>
      </c>
      <c r="AO515" s="8" t="s">
        <v>222</v>
      </c>
      <c r="AP515" s="8">
        <v>0</v>
      </c>
      <c r="AQ515" s="8">
        <v>0</v>
      </c>
      <c r="AR515" s="8">
        <v>0</v>
      </c>
      <c r="AS515" s="8">
        <v>0</v>
      </c>
      <c r="AT515" s="8">
        <v>0</v>
      </c>
      <c r="AU515" s="8">
        <v>0</v>
      </c>
      <c r="AV515" s="8">
        <v>0</v>
      </c>
      <c r="AW515" s="8">
        <v>0</v>
      </c>
      <c r="AX515" s="8"/>
      <c r="AY515" s="9" t="s">
        <v>2537</v>
      </c>
      <c r="AZ515">
        <v>2</v>
      </c>
      <c r="BA515" t="s">
        <v>2538</v>
      </c>
    </row>
    <row r="516" spans="1:54">
      <c r="A516" s="6">
        <v>45807</v>
      </c>
      <c r="B516" s="7" t="s">
        <v>1565</v>
      </c>
      <c r="C516" t="s">
        <v>205</v>
      </c>
      <c r="D516" t="s">
        <v>2286</v>
      </c>
      <c r="G516" t="s">
        <v>207</v>
      </c>
      <c r="H516" s="8" t="s">
        <v>208</v>
      </c>
      <c r="I516" s="8" t="s">
        <v>208</v>
      </c>
      <c r="J516" s="8" t="s">
        <v>208</v>
      </c>
      <c r="K516" s="8" t="s">
        <v>208</v>
      </c>
      <c r="L516" s="8" t="s">
        <v>208</v>
      </c>
      <c r="M516" s="8" t="s">
        <v>208</v>
      </c>
      <c r="N516" s="8" t="s">
        <v>208</v>
      </c>
      <c r="O516" s="8" t="s">
        <v>208</v>
      </c>
      <c r="Q516" t="s">
        <v>1562</v>
      </c>
      <c r="R516" t="s">
        <v>1564</v>
      </c>
      <c r="U516" t="s">
        <v>1566</v>
      </c>
      <c r="V516" t="s">
        <v>140</v>
      </c>
      <c r="W516" t="s">
        <v>774</v>
      </c>
      <c r="X516" t="s">
        <v>212</v>
      </c>
      <c r="Y516" t="s">
        <v>775</v>
      </c>
      <c r="Z516" t="s">
        <v>213</v>
      </c>
      <c r="AA516" t="s">
        <v>1164</v>
      </c>
      <c r="AB516" t="s">
        <v>312</v>
      </c>
      <c r="AC516" t="s">
        <v>215</v>
      </c>
      <c r="AD516" t="s">
        <v>216</v>
      </c>
      <c r="AE516" t="s">
        <v>2259</v>
      </c>
      <c r="AG516" s="8" t="s">
        <v>218</v>
      </c>
      <c r="AH516" t="s">
        <v>219</v>
      </c>
      <c r="AI516" s="9" t="s">
        <v>218</v>
      </c>
      <c r="AJ516" s="9" t="s">
        <v>218</v>
      </c>
      <c r="AK516" t="s">
        <v>234</v>
      </c>
      <c r="AL516" s="9" t="s">
        <v>218</v>
      </c>
      <c r="AM516" s="8" t="s">
        <v>221</v>
      </c>
      <c r="AN516" s="8" t="s">
        <v>221</v>
      </c>
      <c r="AO516" s="8" t="s">
        <v>222</v>
      </c>
      <c r="AP516" s="8">
        <v>0</v>
      </c>
      <c r="AQ516" s="8">
        <v>0</v>
      </c>
      <c r="AR516" s="9">
        <v>9</v>
      </c>
      <c r="AS516" s="8">
        <v>0</v>
      </c>
      <c r="AT516" s="8">
        <v>0</v>
      </c>
      <c r="AU516" s="8">
        <v>0</v>
      </c>
      <c r="AV516" s="8">
        <v>0</v>
      </c>
      <c r="AW516" s="9">
        <v>9</v>
      </c>
      <c r="AX516" s="8"/>
      <c r="AY516" s="9" t="s">
        <v>2539</v>
      </c>
      <c r="AZ516">
        <v>0</v>
      </c>
      <c r="BB516" t="s">
        <v>2540</v>
      </c>
    </row>
    <row r="517" spans="1:54">
      <c r="A517" s="6">
        <v>45807</v>
      </c>
      <c r="B517" s="7" t="s">
        <v>2295</v>
      </c>
      <c r="C517" t="s">
        <v>205</v>
      </c>
      <c r="D517" t="s">
        <v>2286</v>
      </c>
      <c r="G517" t="s">
        <v>207</v>
      </c>
      <c r="H517" s="8" t="s">
        <v>208</v>
      </c>
      <c r="I517" s="8" t="s">
        <v>208</v>
      </c>
      <c r="J517" s="8" t="s">
        <v>208</v>
      </c>
      <c r="K517" s="8" t="s">
        <v>208</v>
      </c>
      <c r="L517" s="8" t="s">
        <v>208</v>
      </c>
      <c r="M517" s="8" t="s">
        <v>208</v>
      </c>
      <c r="N517" s="8" t="s">
        <v>208</v>
      </c>
      <c r="O517" s="8" t="s">
        <v>208</v>
      </c>
      <c r="Q517" t="s">
        <v>2296</v>
      </c>
      <c r="R517" t="s">
        <v>2297</v>
      </c>
      <c r="U517" t="s">
        <v>2298</v>
      </c>
      <c r="V517" t="s">
        <v>140</v>
      </c>
      <c r="W517" t="s">
        <v>774</v>
      </c>
      <c r="Y517" t="s">
        <v>775</v>
      </c>
      <c r="AA517" t="s">
        <v>1164</v>
      </c>
      <c r="AB517" t="s">
        <v>312</v>
      </c>
      <c r="AD517" t="s">
        <v>216</v>
      </c>
      <c r="AE517" t="s">
        <v>2259</v>
      </c>
      <c r="AG517" s="8" t="s">
        <v>218</v>
      </c>
      <c r="AH517" t="s">
        <v>219</v>
      </c>
      <c r="AI517" s="9" t="s">
        <v>218</v>
      </c>
      <c r="AJ517" s="9" t="s">
        <v>218</v>
      </c>
      <c r="AK517" t="s">
        <v>2299</v>
      </c>
      <c r="AL517" s="9" t="s">
        <v>218</v>
      </c>
      <c r="AM517" s="8" t="s">
        <v>221</v>
      </c>
      <c r="AN517" s="8" t="s">
        <v>221</v>
      </c>
      <c r="AO517" s="8" t="s">
        <v>222</v>
      </c>
      <c r="AP517" s="8">
        <v>0</v>
      </c>
      <c r="AQ517" s="8">
        <v>0</v>
      </c>
      <c r="AR517" s="8">
        <v>0</v>
      </c>
      <c r="AS517" s="8">
        <v>0</v>
      </c>
      <c r="AT517" s="8">
        <v>0</v>
      </c>
      <c r="AU517" s="8">
        <v>0</v>
      </c>
      <c r="AV517" s="8">
        <v>0</v>
      </c>
      <c r="AW517" s="8">
        <v>0</v>
      </c>
      <c r="AX517" s="8"/>
      <c r="AY517" s="8"/>
      <c r="AZ517">
        <v>0</v>
      </c>
    </row>
    <row r="518" spans="1:54">
      <c r="A518" s="6">
        <v>45807</v>
      </c>
      <c r="B518" s="7" t="s">
        <v>2300</v>
      </c>
      <c r="C518" t="s">
        <v>205</v>
      </c>
      <c r="D518" t="s">
        <v>2286</v>
      </c>
      <c r="G518" t="s">
        <v>207</v>
      </c>
      <c r="H518" s="8" t="s">
        <v>208</v>
      </c>
      <c r="I518" s="8" t="s">
        <v>208</v>
      </c>
      <c r="J518" s="8" t="s">
        <v>208</v>
      </c>
      <c r="K518" s="8" t="s">
        <v>208</v>
      </c>
      <c r="L518" s="8" t="s">
        <v>208</v>
      </c>
      <c r="M518" s="8" t="s">
        <v>208</v>
      </c>
      <c r="N518" s="8" t="s">
        <v>208</v>
      </c>
      <c r="O518" s="8" t="s">
        <v>208</v>
      </c>
      <c r="Q518" t="s">
        <v>2301</v>
      </c>
      <c r="R518" t="s">
        <v>2302</v>
      </c>
      <c r="U518" t="s">
        <v>2303</v>
      </c>
      <c r="V518" t="s">
        <v>140</v>
      </c>
      <c r="W518" t="s">
        <v>774</v>
      </c>
      <c r="X518" t="s">
        <v>774</v>
      </c>
      <c r="Y518" t="s">
        <v>775</v>
      </c>
      <c r="Z518" t="s">
        <v>775</v>
      </c>
      <c r="AA518" t="s">
        <v>1164</v>
      </c>
      <c r="AB518" t="s">
        <v>391</v>
      </c>
      <c r="AC518" t="s">
        <v>465</v>
      </c>
      <c r="AD518" t="s">
        <v>216</v>
      </c>
      <c r="AE518" t="s">
        <v>2259</v>
      </c>
      <c r="AG518" s="8" t="s">
        <v>218</v>
      </c>
      <c r="AH518" t="s">
        <v>219</v>
      </c>
      <c r="AI518" s="9" t="s">
        <v>218</v>
      </c>
      <c r="AJ518" s="9" t="s">
        <v>218</v>
      </c>
      <c r="AK518" t="s">
        <v>234</v>
      </c>
      <c r="AL518" s="9" t="s">
        <v>218</v>
      </c>
      <c r="AM518" s="8" t="s">
        <v>221</v>
      </c>
      <c r="AN518" s="8" t="s">
        <v>221</v>
      </c>
      <c r="AO518" s="8" t="s">
        <v>222</v>
      </c>
      <c r="AP518" s="8">
        <v>0</v>
      </c>
      <c r="AQ518" s="8">
        <v>0</v>
      </c>
      <c r="AR518" s="9">
        <v>12</v>
      </c>
      <c r="AS518" s="8">
        <v>0</v>
      </c>
      <c r="AT518" s="8">
        <v>0</v>
      </c>
      <c r="AU518" s="8">
        <v>0</v>
      </c>
      <c r="AV518" s="8">
        <v>0</v>
      </c>
      <c r="AW518" s="9">
        <v>12</v>
      </c>
      <c r="AX518" s="9" t="s">
        <v>2304</v>
      </c>
      <c r="AY518" s="8"/>
      <c r="AZ518">
        <v>0</v>
      </c>
      <c r="BB518" t="s">
        <v>2541</v>
      </c>
    </row>
    <row r="519" spans="1:54">
      <c r="A519" s="6">
        <v>45807</v>
      </c>
      <c r="B519" s="7" t="s">
        <v>1561</v>
      </c>
      <c r="C519" t="s">
        <v>205</v>
      </c>
      <c r="D519" t="s">
        <v>2286</v>
      </c>
      <c r="G519" t="s">
        <v>207</v>
      </c>
      <c r="H519" s="8" t="s">
        <v>208</v>
      </c>
      <c r="I519" s="8" t="s">
        <v>208</v>
      </c>
      <c r="J519" s="8" t="s">
        <v>208</v>
      </c>
      <c r="K519" s="8" t="s">
        <v>208</v>
      </c>
      <c r="L519" s="8" t="s">
        <v>208</v>
      </c>
      <c r="M519" s="8" t="s">
        <v>208</v>
      </c>
      <c r="N519" s="8" t="s">
        <v>208</v>
      </c>
      <c r="O519" s="8" t="s">
        <v>208</v>
      </c>
      <c r="Q519" t="s">
        <v>2307</v>
      </c>
      <c r="R519" t="s">
        <v>1563</v>
      </c>
      <c r="U519" t="s">
        <v>2308</v>
      </c>
      <c r="V519" t="s">
        <v>138</v>
      </c>
      <c r="W519" t="s">
        <v>212</v>
      </c>
      <c r="Y519" t="s">
        <v>275</v>
      </c>
      <c r="AA519" t="s">
        <v>214</v>
      </c>
      <c r="AB519" t="s">
        <v>242</v>
      </c>
      <c r="AD519" t="s">
        <v>216</v>
      </c>
      <c r="AE519" t="s">
        <v>217</v>
      </c>
      <c r="AG519" s="8" t="s">
        <v>218</v>
      </c>
      <c r="AH519" t="s">
        <v>219</v>
      </c>
      <c r="AI519" s="9" t="s">
        <v>218</v>
      </c>
      <c r="AJ519" s="9" t="s">
        <v>218</v>
      </c>
      <c r="AK519" t="s">
        <v>2292</v>
      </c>
      <c r="AL519" s="8" t="s">
        <v>221</v>
      </c>
      <c r="AM519" s="9" t="s">
        <v>218</v>
      </c>
      <c r="AN519" s="8" t="s">
        <v>221</v>
      </c>
      <c r="AO519" s="8" t="s">
        <v>222</v>
      </c>
      <c r="AP519" s="8">
        <v>0</v>
      </c>
      <c r="AQ519" s="8">
        <v>0</v>
      </c>
      <c r="AR519" s="8">
        <v>0</v>
      </c>
      <c r="AS519" s="8">
        <v>0</v>
      </c>
      <c r="AT519" s="8">
        <v>0</v>
      </c>
      <c r="AU519" s="8">
        <v>0</v>
      </c>
      <c r="AV519" s="8">
        <v>0</v>
      </c>
      <c r="AW519" s="8">
        <v>0</v>
      </c>
      <c r="AX519" s="8"/>
      <c r="AY519" s="9" t="s">
        <v>2542</v>
      </c>
      <c r="AZ519">
        <v>2</v>
      </c>
      <c r="BA519" t="s">
        <v>2543</v>
      </c>
    </row>
    <row r="520" spans="1:54">
      <c r="A520" s="6">
        <v>45807</v>
      </c>
      <c r="B520" s="7" t="s">
        <v>1459</v>
      </c>
      <c r="C520" t="s">
        <v>205</v>
      </c>
      <c r="D520" t="s">
        <v>2286</v>
      </c>
      <c r="G520" t="s">
        <v>207</v>
      </c>
      <c r="H520" s="8" t="s">
        <v>208</v>
      </c>
      <c r="I520" s="8" t="s">
        <v>208</v>
      </c>
      <c r="J520" s="8" t="s">
        <v>208</v>
      </c>
      <c r="K520" s="8" t="s">
        <v>208</v>
      </c>
      <c r="L520" s="8" t="s">
        <v>208</v>
      </c>
      <c r="M520" s="8" t="s">
        <v>208</v>
      </c>
      <c r="N520" s="8" t="s">
        <v>208</v>
      </c>
      <c r="O520" s="8" t="s">
        <v>208</v>
      </c>
      <c r="Q520" t="s">
        <v>1460</v>
      </c>
      <c r="R520" t="s">
        <v>1461</v>
      </c>
      <c r="U520" t="s">
        <v>1462</v>
      </c>
      <c r="V520" t="s">
        <v>138</v>
      </c>
      <c r="W520" t="s">
        <v>212</v>
      </c>
      <c r="X520" t="s">
        <v>212</v>
      </c>
      <c r="Y520" t="s">
        <v>213</v>
      </c>
      <c r="Z520" t="s">
        <v>213</v>
      </c>
      <c r="AA520" t="s">
        <v>214</v>
      </c>
      <c r="AB520" t="s">
        <v>1335</v>
      </c>
      <c r="AC520" t="s">
        <v>285</v>
      </c>
      <c r="AD520" t="s">
        <v>216</v>
      </c>
      <c r="AE520" t="s">
        <v>217</v>
      </c>
      <c r="AG520" s="8" t="s">
        <v>218</v>
      </c>
      <c r="AH520" t="s">
        <v>219</v>
      </c>
      <c r="AI520" s="9" t="s">
        <v>218</v>
      </c>
      <c r="AJ520" s="9" t="s">
        <v>218</v>
      </c>
      <c r="AK520" t="s">
        <v>234</v>
      </c>
      <c r="AL520" s="9" t="s">
        <v>218</v>
      </c>
      <c r="AM520" s="8" t="s">
        <v>221</v>
      </c>
      <c r="AN520" s="8" t="s">
        <v>221</v>
      </c>
      <c r="AO520" s="8" t="s">
        <v>222</v>
      </c>
      <c r="AP520" s="8">
        <v>0</v>
      </c>
      <c r="AQ520" s="8">
        <v>0</v>
      </c>
      <c r="AR520" s="9">
        <v>19</v>
      </c>
      <c r="AS520" s="8">
        <v>0</v>
      </c>
      <c r="AT520" s="8">
        <v>0</v>
      </c>
      <c r="AU520" s="8">
        <v>0</v>
      </c>
      <c r="AV520" s="8">
        <v>0</v>
      </c>
      <c r="AW520" s="9">
        <v>19</v>
      </c>
      <c r="AX520" s="8"/>
      <c r="AY520" s="9" t="s">
        <v>2544</v>
      </c>
      <c r="AZ520">
        <v>0</v>
      </c>
      <c r="BB520" t="s">
        <v>1465</v>
      </c>
    </row>
    <row r="521" spans="1:54">
      <c r="A521" s="6">
        <v>45807</v>
      </c>
      <c r="B521" s="7" t="s">
        <v>1476</v>
      </c>
      <c r="C521" t="s">
        <v>205</v>
      </c>
      <c r="D521" t="s">
        <v>2286</v>
      </c>
      <c r="G521" t="s">
        <v>207</v>
      </c>
      <c r="H521" s="8" t="s">
        <v>208</v>
      </c>
      <c r="I521" s="8" t="s">
        <v>208</v>
      </c>
      <c r="J521" s="8" t="s">
        <v>208</v>
      </c>
      <c r="K521" s="8" t="s">
        <v>208</v>
      </c>
      <c r="L521" s="8" t="s">
        <v>208</v>
      </c>
      <c r="M521" s="8" t="s">
        <v>208</v>
      </c>
      <c r="N521" s="8" t="s">
        <v>208</v>
      </c>
      <c r="O521" s="8" t="s">
        <v>208</v>
      </c>
      <c r="Q521" t="s">
        <v>1477</v>
      </c>
      <c r="R521" t="s">
        <v>1478</v>
      </c>
      <c r="U521" t="s">
        <v>1479</v>
      </c>
      <c r="V521" t="s">
        <v>140</v>
      </c>
      <c r="W521" t="s">
        <v>774</v>
      </c>
      <c r="X521" t="s">
        <v>774</v>
      </c>
      <c r="Y521" t="s">
        <v>775</v>
      </c>
      <c r="Z521" t="s">
        <v>775</v>
      </c>
      <c r="AA521" t="s">
        <v>1164</v>
      </c>
      <c r="AB521" t="s">
        <v>399</v>
      </c>
      <c r="AC521" t="s">
        <v>417</v>
      </c>
      <c r="AD521" t="s">
        <v>216</v>
      </c>
      <c r="AE521" t="s">
        <v>2259</v>
      </c>
      <c r="AG521" s="9" t="s">
        <v>221</v>
      </c>
      <c r="AH521" t="s">
        <v>219</v>
      </c>
      <c r="AI521" s="9" t="s">
        <v>218</v>
      </c>
      <c r="AJ521" s="9" t="s">
        <v>218</v>
      </c>
      <c r="AK521" t="s">
        <v>1481</v>
      </c>
      <c r="AL521" s="9" t="s">
        <v>218</v>
      </c>
      <c r="AM521" s="8" t="s">
        <v>221</v>
      </c>
      <c r="AN521" s="8" t="s">
        <v>221</v>
      </c>
      <c r="AO521" s="8" t="s">
        <v>222</v>
      </c>
      <c r="AP521" s="8">
        <v>0</v>
      </c>
      <c r="AQ521" s="8">
        <v>0</v>
      </c>
      <c r="AR521" s="9">
        <v>12</v>
      </c>
      <c r="AS521" s="8">
        <v>0</v>
      </c>
      <c r="AT521" s="8">
        <v>0</v>
      </c>
      <c r="AU521" s="8">
        <v>0</v>
      </c>
      <c r="AV521" s="8">
        <v>0</v>
      </c>
      <c r="AW521" s="9">
        <v>12</v>
      </c>
      <c r="AX521" s="8"/>
      <c r="AY521" s="9" t="s">
        <v>1482</v>
      </c>
      <c r="AZ521">
        <v>0</v>
      </c>
      <c r="BB521" t="s">
        <v>1484</v>
      </c>
    </row>
    <row r="522" spans="1:54">
      <c r="A522" s="6">
        <v>45807</v>
      </c>
      <c r="B522" s="7" t="s">
        <v>2310</v>
      </c>
      <c r="C522" t="s">
        <v>205</v>
      </c>
      <c r="D522" t="s">
        <v>2286</v>
      </c>
      <c r="G522" t="s">
        <v>207</v>
      </c>
      <c r="H522" s="8" t="s">
        <v>208</v>
      </c>
      <c r="I522" s="8" t="s">
        <v>208</v>
      </c>
      <c r="J522" s="8" t="s">
        <v>208</v>
      </c>
      <c r="K522" s="8" t="s">
        <v>208</v>
      </c>
      <c r="L522" s="8" t="s">
        <v>208</v>
      </c>
      <c r="M522" s="8" t="s">
        <v>208</v>
      </c>
      <c r="N522" s="8" t="s">
        <v>208</v>
      </c>
      <c r="O522" s="8" t="s">
        <v>208</v>
      </c>
      <c r="Q522" t="s">
        <v>2311</v>
      </c>
      <c r="R522" t="s">
        <v>2312</v>
      </c>
      <c r="U522" t="s">
        <v>2313</v>
      </c>
      <c r="V522" t="s">
        <v>140</v>
      </c>
      <c r="W522" t="s">
        <v>212</v>
      </c>
      <c r="X522" t="s">
        <v>212</v>
      </c>
      <c r="Y522" t="s">
        <v>213</v>
      </c>
      <c r="Z522" t="s">
        <v>213</v>
      </c>
      <c r="AA522" t="s">
        <v>214</v>
      </c>
      <c r="AB522" t="s">
        <v>701</v>
      </c>
      <c r="AC522" t="s">
        <v>242</v>
      </c>
      <c r="AD522" t="s">
        <v>216</v>
      </c>
      <c r="AE522" t="s">
        <v>217</v>
      </c>
      <c r="AG522" s="8" t="s">
        <v>218</v>
      </c>
      <c r="AH522" t="s">
        <v>219</v>
      </c>
      <c r="AI522" s="9" t="s">
        <v>218</v>
      </c>
      <c r="AJ522" s="9" t="s">
        <v>218</v>
      </c>
      <c r="AK522" t="s">
        <v>2314</v>
      </c>
      <c r="AL522" s="9" t="s">
        <v>218</v>
      </c>
      <c r="AM522" s="8" t="s">
        <v>221</v>
      </c>
      <c r="AN522" s="8" t="s">
        <v>221</v>
      </c>
      <c r="AO522" s="8" t="s">
        <v>222</v>
      </c>
      <c r="AP522" s="8">
        <v>0</v>
      </c>
      <c r="AQ522" s="8">
        <v>0</v>
      </c>
      <c r="AR522" s="8">
        <v>0</v>
      </c>
      <c r="AS522" s="8">
        <v>0</v>
      </c>
      <c r="AT522" s="8">
        <v>0</v>
      </c>
      <c r="AU522" s="8">
        <v>0</v>
      </c>
      <c r="AV522" s="8">
        <v>0</v>
      </c>
      <c r="AW522" s="8">
        <v>0</v>
      </c>
      <c r="AX522" s="8"/>
      <c r="AY522" s="9" t="s">
        <v>2545</v>
      </c>
      <c r="AZ522">
        <v>0</v>
      </c>
      <c r="BB522" t="s">
        <v>2317</v>
      </c>
    </row>
    <row r="523" spans="1:54">
      <c r="A523" s="6">
        <v>45807</v>
      </c>
      <c r="B523" s="7" t="s">
        <v>1494</v>
      </c>
      <c r="C523" t="s">
        <v>205</v>
      </c>
      <c r="D523" t="s">
        <v>2286</v>
      </c>
      <c r="G523" t="s">
        <v>207</v>
      </c>
      <c r="H523" s="8" t="s">
        <v>208</v>
      </c>
      <c r="I523" s="8" t="s">
        <v>208</v>
      </c>
      <c r="J523" s="8" t="s">
        <v>208</v>
      </c>
      <c r="K523" s="8" t="s">
        <v>208</v>
      </c>
      <c r="L523" s="8" t="s">
        <v>208</v>
      </c>
      <c r="M523" s="8" t="s">
        <v>208</v>
      </c>
      <c r="N523" s="8" t="s">
        <v>208</v>
      </c>
      <c r="O523" s="8" t="s">
        <v>208</v>
      </c>
      <c r="Q523" t="s">
        <v>1495</v>
      </c>
      <c r="R523" t="s">
        <v>1496</v>
      </c>
      <c r="U523" t="s">
        <v>1497</v>
      </c>
      <c r="V523" t="s">
        <v>140</v>
      </c>
      <c r="W523" t="s">
        <v>774</v>
      </c>
      <c r="X523" t="s">
        <v>774</v>
      </c>
      <c r="Y523" t="s">
        <v>775</v>
      </c>
      <c r="Z523" t="s">
        <v>775</v>
      </c>
      <c r="AA523" t="s">
        <v>1164</v>
      </c>
      <c r="AB523" t="s">
        <v>391</v>
      </c>
      <c r="AC523" t="s">
        <v>465</v>
      </c>
      <c r="AD523" t="s">
        <v>216</v>
      </c>
      <c r="AE523" t="s">
        <v>2259</v>
      </c>
      <c r="AG523" s="8" t="s">
        <v>218</v>
      </c>
      <c r="AH523" t="s">
        <v>219</v>
      </c>
      <c r="AI523" s="9" t="s">
        <v>218</v>
      </c>
      <c r="AJ523" s="9" t="s">
        <v>218</v>
      </c>
      <c r="AK523" t="s">
        <v>1498</v>
      </c>
      <c r="AL523" s="9" t="s">
        <v>218</v>
      </c>
      <c r="AM523" s="8" t="s">
        <v>221</v>
      </c>
      <c r="AN523" s="8" t="s">
        <v>221</v>
      </c>
      <c r="AO523" s="8" t="s">
        <v>222</v>
      </c>
      <c r="AP523" s="8">
        <v>0</v>
      </c>
      <c r="AQ523" s="8">
        <v>0</v>
      </c>
      <c r="AR523" s="8">
        <v>0</v>
      </c>
      <c r="AS523" s="8">
        <v>0</v>
      </c>
      <c r="AT523" s="8">
        <v>0</v>
      </c>
      <c r="AU523" s="8">
        <v>0</v>
      </c>
      <c r="AV523" s="8">
        <v>0</v>
      </c>
      <c r="AW523" s="8">
        <v>0</v>
      </c>
      <c r="AX523" s="8"/>
      <c r="AY523" s="9" t="s">
        <v>2546</v>
      </c>
      <c r="AZ523">
        <v>0</v>
      </c>
      <c r="BB523" t="s">
        <v>1501</v>
      </c>
    </row>
    <row r="524" spans="1:54">
      <c r="A524" s="6">
        <v>45807</v>
      </c>
      <c r="B524" s="7" t="s">
        <v>2320</v>
      </c>
      <c r="C524" t="s">
        <v>205</v>
      </c>
      <c r="D524" t="s">
        <v>2286</v>
      </c>
      <c r="G524" t="s">
        <v>207</v>
      </c>
      <c r="H524" s="8" t="s">
        <v>208</v>
      </c>
      <c r="I524" s="8" t="s">
        <v>208</v>
      </c>
      <c r="J524" s="8" t="s">
        <v>208</v>
      </c>
      <c r="K524" s="8" t="s">
        <v>208</v>
      </c>
      <c r="L524" s="8" t="s">
        <v>208</v>
      </c>
      <c r="M524" s="8" t="s">
        <v>208</v>
      </c>
      <c r="N524" s="8" t="s">
        <v>208</v>
      </c>
      <c r="O524" s="8" t="s">
        <v>208</v>
      </c>
      <c r="Q524" t="s">
        <v>2321</v>
      </c>
      <c r="R524" t="s">
        <v>2322</v>
      </c>
      <c r="U524" t="s">
        <v>2323</v>
      </c>
      <c r="V524" t="s">
        <v>140</v>
      </c>
      <c r="W524" t="s">
        <v>774</v>
      </c>
      <c r="X524" t="s">
        <v>774</v>
      </c>
      <c r="Y524" t="s">
        <v>775</v>
      </c>
      <c r="Z524" t="s">
        <v>775</v>
      </c>
      <c r="AA524" t="s">
        <v>1164</v>
      </c>
      <c r="AB524" t="s">
        <v>391</v>
      </c>
      <c r="AC524" t="s">
        <v>425</v>
      </c>
      <c r="AD524" t="s">
        <v>216</v>
      </c>
      <c r="AE524" t="s">
        <v>2259</v>
      </c>
      <c r="AG524" s="8" t="s">
        <v>218</v>
      </c>
      <c r="AH524" t="s">
        <v>219</v>
      </c>
      <c r="AI524" s="9" t="s">
        <v>218</v>
      </c>
      <c r="AJ524" s="9" t="s">
        <v>218</v>
      </c>
      <c r="AK524" t="s">
        <v>2090</v>
      </c>
      <c r="AL524" s="9" t="s">
        <v>218</v>
      </c>
      <c r="AM524" s="8" t="s">
        <v>221</v>
      </c>
      <c r="AN524" s="8" t="s">
        <v>221</v>
      </c>
      <c r="AO524" s="8" t="s">
        <v>222</v>
      </c>
      <c r="AP524" s="8">
        <v>0</v>
      </c>
      <c r="AQ524" s="8">
        <v>0</v>
      </c>
      <c r="AR524" s="8">
        <v>0</v>
      </c>
      <c r="AS524" s="8">
        <v>0</v>
      </c>
      <c r="AT524" s="8">
        <v>0</v>
      </c>
      <c r="AU524" s="8">
        <v>0</v>
      </c>
      <c r="AV524" s="8">
        <v>0</v>
      </c>
      <c r="AW524" s="8">
        <v>0</v>
      </c>
      <c r="AX524" s="8"/>
      <c r="AY524" s="9" t="s">
        <v>2547</v>
      </c>
      <c r="AZ524">
        <v>0</v>
      </c>
      <c r="BB524" t="s">
        <v>2325</v>
      </c>
    </row>
    <row r="525" spans="1:54">
      <c r="A525" s="6">
        <v>45807</v>
      </c>
      <c r="B525" s="7" t="s">
        <v>2326</v>
      </c>
      <c r="C525" t="s">
        <v>205</v>
      </c>
      <c r="D525" t="s">
        <v>2286</v>
      </c>
      <c r="G525" t="s">
        <v>207</v>
      </c>
      <c r="H525" s="8" t="s">
        <v>208</v>
      </c>
      <c r="I525" s="8" t="s">
        <v>208</v>
      </c>
      <c r="J525" s="8" t="s">
        <v>208</v>
      </c>
      <c r="K525" s="8" t="s">
        <v>208</v>
      </c>
      <c r="L525" s="8" t="s">
        <v>208</v>
      </c>
      <c r="M525" s="8" t="s">
        <v>208</v>
      </c>
      <c r="N525" s="8" t="s">
        <v>208</v>
      </c>
      <c r="O525" s="8" t="s">
        <v>208</v>
      </c>
      <c r="Q525" t="s">
        <v>2327</v>
      </c>
      <c r="R525" t="s">
        <v>2328</v>
      </c>
      <c r="U525" t="s">
        <v>2329</v>
      </c>
      <c r="V525" t="s">
        <v>140</v>
      </c>
      <c r="W525" t="s">
        <v>774</v>
      </c>
      <c r="X525" t="s">
        <v>774</v>
      </c>
      <c r="Y525" t="s">
        <v>775</v>
      </c>
      <c r="Z525" t="s">
        <v>775</v>
      </c>
      <c r="AA525" t="s">
        <v>1164</v>
      </c>
      <c r="AB525" t="s">
        <v>408</v>
      </c>
      <c r="AC525" t="s">
        <v>391</v>
      </c>
      <c r="AD525" t="s">
        <v>216</v>
      </c>
      <c r="AE525" t="s">
        <v>2259</v>
      </c>
      <c r="AG525" s="8" t="s">
        <v>218</v>
      </c>
      <c r="AH525" t="s">
        <v>219</v>
      </c>
      <c r="AI525" s="9" t="s">
        <v>218</v>
      </c>
      <c r="AJ525" s="9" t="s">
        <v>218</v>
      </c>
      <c r="AK525" t="s">
        <v>2090</v>
      </c>
      <c r="AL525" s="9" t="s">
        <v>218</v>
      </c>
      <c r="AM525" s="8" t="s">
        <v>221</v>
      </c>
      <c r="AN525" s="8" t="s">
        <v>221</v>
      </c>
      <c r="AO525" s="8" t="s">
        <v>222</v>
      </c>
      <c r="AP525" s="8">
        <v>0</v>
      </c>
      <c r="AQ525" s="8">
        <v>0</v>
      </c>
      <c r="AR525" s="9">
        <v>4</v>
      </c>
      <c r="AS525" s="8">
        <v>0</v>
      </c>
      <c r="AT525" s="8">
        <v>0</v>
      </c>
      <c r="AU525" s="8">
        <v>0</v>
      </c>
      <c r="AV525" s="8">
        <v>0</v>
      </c>
      <c r="AW525" s="9">
        <v>4</v>
      </c>
      <c r="AX525" s="9" t="s">
        <v>2330</v>
      </c>
      <c r="AY525" s="8"/>
      <c r="AZ525">
        <v>0</v>
      </c>
      <c r="BB525" t="s">
        <v>2332</v>
      </c>
    </row>
    <row r="526" spans="1:54">
      <c r="A526" s="6">
        <v>45807</v>
      </c>
      <c r="B526" s="7" t="s">
        <v>2333</v>
      </c>
      <c r="C526" t="s">
        <v>205</v>
      </c>
      <c r="D526" t="s">
        <v>2286</v>
      </c>
      <c r="G526" t="s">
        <v>207</v>
      </c>
      <c r="H526" s="8" t="s">
        <v>208</v>
      </c>
      <c r="I526" s="8" t="s">
        <v>208</v>
      </c>
      <c r="J526" s="8" t="s">
        <v>208</v>
      </c>
      <c r="K526" s="8" t="s">
        <v>208</v>
      </c>
      <c r="L526" s="8" t="s">
        <v>208</v>
      </c>
      <c r="M526" s="8" t="s">
        <v>208</v>
      </c>
      <c r="N526" s="8" t="s">
        <v>208</v>
      </c>
      <c r="O526" s="8" t="s">
        <v>208</v>
      </c>
      <c r="Q526" t="s">
        <v>2334</v>
      </c>
      <c r="R526" t="s">
        <v>2335</v>
      </c>
      <c r="U526" t="s">
        <v>2336</v>
      </c>
      <c r="V526" t="s">
        <v>140</v>
      </c>
      <c r="W526" t="s">
        <v>774</v>
      </c>
      <c r="X526" t="s">
        <v>774</v>
      </c>
      <c r="Y526" t="s">
        <v>775</v>
      </c>
      <c r="Z526" t="s">
        <v>775</v>
      </c>
      <c r="AA526" t="s">
        <v>1164</v>
      </c>
      <c r="AB526" t="s">
        <v>603</v>
      </c>
      <c r="AC526" t="s">
        <v>408</v>
      </c>
      <c r="AD526" t="s">
        <v>216</v>
      </c>
      <c r="AE526" t="s">
        <v>2259</v>
      </c>
      <c r="AG526" s="8" t="s">
        <v>218</v>
      </c>
      <c r="AH526" t="s">
        <v>219</v>
      </c>
      <c r="AI526" s="9" t="s">
        <v>218</v>
      </c>
      <c r="AJ526" s="9" t="s">
        <v>218</v>
      </c>
      <c r="AK526" t="s">
        <v>2090</v>
      </c>
      <c r="AL526" s="9" t="s">
        <v>218</v>
      </c>
      <c r="AM526" s="8" t="s">
        <v>221</v>
      </c>
      <c r="AN526" s="8" t="s">
        <v>221</v>
      </c>
      <c r="AO526" s="8" t="s">
        <v>222</v>
      </c>
      <c r="AP526" s="8">
        <v>0</v>
      </c>
      <c r="AQ526" s="8">
        <v>0</v>
      </c>
      <c r="AR526" s="9">
        <v>12</v>
      </c>
      <c r="AS526" s="8">
        <v>0</v>
      </c>
      <c r="AT526" s="8">
        <v>0</v>
      </c>
      <c r="AU526" s="8">
        <v>0</v>
      </c>
      <c r="AV526" s="8">
        <v>0</v>
      </c>
      <c r="AW526" s="9">
        <v>12</v>
      </c>
      <c r="AX526" s="8"/>
      <c r="AY526" s="8"/>
      <c r="AZ526">
        <v>0</v>
      </c>
      <c r="BB526" t="s">
        <v>2337</v>
      </c>
    </row>
    <row r="527" spans="1:54">
      <c r="A527" s="6">
        <v>45807</v>
      </c>
      <c r="B527" s="7" t="s">
        <v>2338</v>
      </c>
      <c r="C527" t="s">
        <v>205</v>
      </c>
      <c r="D527" t="s">
        <v>2286</v>
      </c>
      <c r="G527" t="s">
        <v>207</v>
      </c>
      <c r="H527" s="8" t="s">
        <v>208</v>
      </c>
      <c r="I527" s="8" t="s">
        <v>208</v>
      </c>
      <c r="J527" s="8" t="s">
        <v>208</v>
      </c>
      <c r="K527" s="8" t="s">
        <v>208</v>
      </c>
      <c r="L527" s="8" t="s">
        <v>208</v>
      </c>
      <c r="M527" s="8" t="s">
        <v>208</v>
      </c>
      <c r="N527" s="8" t="s">
        <v>208</v>
      </c>
      <c r="O527" s="8" t="s">
        <v>208</v>
      </c>
      <c r="Q527" t="s">
        <v>2339</v>
      </c>
      <c r="R527" t="s">
        <v>2340</v>
      </c>
      <c r="U527" t="s">
        <v>2341</v>
      </c>
      <c r="V527" t="s">
        <v>140</v>
      </c>
      <c r="W527" t="s">
        <v>774</v>
      </c>
      <c r="X527" t="s">
        <v>774</v>
      </c>
      <c r="Y527" t="s">
        <v>775</v>
      </c>
      <c r="Z527" t="s">
        <v>775</v>
      </c>
      <c r="AA527" t="s">
        <v>1164</v>
      </c>
      <c r="AB527" t="s">
        <v>425</v>
      </c>
      <c r="AC527" t="s">
        <v>465</v>
      </c>
      <c r="AD527" t="s">
        <v>216</v>
      </c>
      <c r="AE527" t="s">
        <v>2259</v>
      </c>
      <c r="AG527" s="8" t="s">
        <v>218</v>
      </c>
      <c r="AH527" t="s">
        <v>219</v>
      </c>
      <c r="AI527" s="9" t="s">
        <v>218</v>
      </c>
      <c r="AJ527" s="9" t="s">
        <v>218</v>
      </c>
      <c r="AK527" t="s">
        <v>2342</v>
      </c>
      <c r="AL527" s="9" t="s">
        <v>218</v>
      </c>
      <c r="AM527" s="8" t="s">
        <v>221</v>
      </c>
      <c r="AN527" s="8" t="s">
        <v>221</v>
      </c>
      <c r="AO527" s="8" t="s">
        <v>222</v>
      </c>
      <c r="AP527" s="8">
        <v>0</v>
      </c>
      <c r="AQ527" s="8">
        <v>0</v>
      </c>
      <c r="AR527" s="8">
        <v>0</v>
      </c>
      <c r="AS527" s="8">
        <v>0</v>
      </c>
      <c r="AT527" s="8">
        <v>0</v>
      </c>
      <c r="AU527" s="8">
        <v>0</v>
      </c>
      <c r="AV527" s="8">
        <v>0</v>
      </c>
      <c r="AW527" s="8">
        <v>0</v>
      </c>
      <c r="AX527" s="8"/>
      <c r="AY527" s="8"/>
      <c r="AZ527">
        <v>0</v>
      </c>
      <c r="BB527" t="s">
        <v>2344</v>
      </c>
    </row>
    <row r="528" spans="1:54">
      <c r="A528" s="6">
        <v>45807</v>
      </c>
      <c r="B528" s="7" t="s">
        <v>2345</v>
      </c>
      <c r="C528" t="s">
        <v>205</v>
      </c>
      <c r="D528" t="s">
        <v>2286</v>
      </c>
      <c r="G528" t="s">
        <v>207</v>
      </c>
      <c r="H528" s="8" t="s">
        <v>208</v>
      </c>
      <c r="I528" s="8" t="s">
        <v>208</v>
      </c>
      <c r="J528" s="8" t="s">
        <v>208</v>
      </c>
      <c r="K528" s="8" t="s">
        <v>208</v>
      </c>
      <c r="L528" s="8" t="s">
        <v>208</v>
      </c>
      <c r="M528" s="8" t="s">
        <v>208</v>
      </c>
      <c r="N528" s="8" t="s">
        <v>208</v>
      </c>
      <c r="O528" s="8" t="s">
        <v>208</v>
      </c>
      <c r="Q528" t="s">
        <v>2346</v>
      </c>
      <c r="R528" t="s">
        <v>2347</v>
      </c>
      <c r="U528" t="s">
        <v>2348</v>
      </c>
      <c r="V528" t="s">
        <v>140</v>
      </c>
      <c r="W528" t="s">
        <v>774</v>
      </c>
      <c r="X528" t="s">
        <v>774</v>
      </c>
      <c r="Y528" t="s">
        <v>775</v>
      </c>
      <c r="Z528" t="s">
        <v>775</v>
      </c>
      <c r="AA528" t="s">
        <v>1164</v>
      </c>
      <c r="AB528" t="s">
        <v>465</v>
      </c>
      <c r="AC528" t="s">
        <v>301</v>
      </c>
      <c r="AD528" t="s">
        <v>216</v>
      </c>
      <c r="AE528" t="s">
        <v>2259</v>
      </c>
      <c r="AG528" s="8" t="s">
        <v>218</v>
      </c>
      <c r="AH528" t="s">
        <v>219</v>
      </c>
      <c r="AI528" s="9" t="s">
        <v>218</v>
      </c>
      <c r="AJ528" s="9" t="s">
        <v>218</v>
      </c>
      <c r="AK528" t="s">
        <v>234</v>
      </c>
      <c r="AL528" s="9" t="s">
        <v>218</v>
      </c>
      <c r="AM528" s="8" t="s">
        <v>221</v>
      </c>
      <c r="AN528" s="8" t="s">
        <v>221</v>
      </c>
      <c r="AO528" s="8" t="s">
        <v>222</v>
      </c>
      <c r="AP528" s="8">
        <v>0</v>
      </c>
      <c r="AQ528" s="8">
        <v>0</v>
      </c>
      <c r="AR528" s="8">
        <v>0</v>
      </c>
      <c r="AS528" s="8">
        <v>0</v>
      </c>
      <c r="AT528" s="8">
        <v>0</v>
      </c>
      <c r="AU528" s="8">
        <v>0</v>
      </c>
      <c r="AV528" s="8">
        <v>0</v>
      </c>
      <c r="AW528" s="8">
        <v>0</v>
      </c>
      <c r="AX528" s="8"/>
      <c r="AY528" s="8"/>
      <c r="AZ528">
        <v>0</v>
      </c>
      <c r="BB528" t="s">
        <v>2350</v>
      </c>
    </row>
    <row r="529" spans="1:54">
      <c r="A529" s="6">
        <v>45807</v>
      </c>
      <c r="B529" s="7" t="s">
        <v>2351</v>
      </c>
      <c r="C529" t="s">
        <v>205</v>
      </c>
      <c r="D529" t="s">
        <v>2286</v>
      </c>
      <c r="G529" t="s">
        <v>207</v>
      </c>
      <c r="H529" s="8" t="s">
        <v>208</v>
      </c>
      <c r="I529" s="8" t="s">
        <v>208</v>
      </c>
      <c r="J529" s="8" t="s">
        <v>208</v>
      </c>
      <c r="K529" s="8" t="s">
        <v>208</v>
      </c>
      <c r="L529" s="8" t="s">
        <v>208</v>
      </c>
      <c r="M529" s="8" t="s">
        <v>208</v>
      </c>
      <c r="N529" s="8" t="s">
        <v>208</v>
      </c>
      <c r="O529" s="8" t="s">
        <v>208</v>
      </c>
      <c r="Q529" t="s">
        <v>2352</v>
      </c>
      <c r="R529" t="s">
        <v>2353</v>
      </c>
      <c r="U529" t="s">
        <v>2354</v>
      </c>
      <c r="V529" t="s">
        <v>140</v>
      </c>
      <c r="W529" t="s">
        <v>774</v>
      </c>
      <c r="X529" t="s">
        <v>774</v>
      </c>
      <c r="Y529" t="s">
        <v>775</v>
      </c>
      <c r="Z529" t="s">
        <v>775</v>
      </c>
      <c r="AA529" t="s">
        <v>1164</v>
      </c>
      <c r="AB529" t="s">
        <v>465</v>
      </c>
      <c r="AC529" t="s">
        <v>301</v>
      </c>
      <c r="AD529" t="s">
        <v>216</v>
      </c>
      <c r="AE529" t="s">
        <v>2259</v>
      </c>
      <c r="AG529" s="8" t="s">
        <v>218</v>
      </c>
      <c r="AH529" t="s">
        <v>219</v>
      </c>
      <c r="AI529" s="9" t="s">
        <v>218</v>
      </c>
      <c r="AJ529" s="9" t="s">
        <v>218</v>
      </c>
      <c r="AK529" t="s">
        <v>2355</v>
      </c>
      <c r="AL529" s="9" t="s">
        <v>218</v>
      </c>
      <c r="AM529" s="8" t="s">
        <v>221</v>
      </c>
      <c r="AN529" s="8" t="s">
        <v>221</v>
      </c>
      <c r="AO529" s="8" t="s">
        <v>222</v>
      </c>
      <c r="AP529" s="8">
        <v>0</v>
      </c>
      <c r="AQ529" s="8">
        <v>0</v>
      </c>
      <c r="AR529" s="8">
        <v>0</v>
      </c>
      <c r="AS529" s="8">
        <v>0</v>
      </c>
      <c r="AT529" s="8">
        <v>0</v>
      </c>
      <c r="AU529" s="8">
        <v>0</v>
      </c>
      <c r="AV529" s="8">
        <v>0</v>
      </c>
      <c r="AW529" s="8">
        <v>0</v>
      </c>
      <c r="AX529" s="8"/>
      <c r="AY529" s="8"/>
      <c r="AZ529">
        <v>0</v>
      </c>
      <c r="BB529" t="s">
        <v>2356</v>
      </c>
    </row>
    <row r="530" spans="1:54">
      <c r="A530" s="6">
        <v>45807</v>
      </c>
      <c r="B530" s="7" t="s">
        <v>2357</v>
      </c>
      <c r="C530" t="s">
        <v>205</v>
      </c>
      <c r="D530" t="s">
        <v>2286</v>
      </c>
      <c r="G530" t="s">
        <v>207</v>
      </c>
      <c r="H530" s="8" t="s">
        <v>208</v>
      </c>
      <c r="I530" s="8" t="s">
        <v>208</v>
      </c>
      <c r="J530" s="8" t="s">
        <v>208</v>
      </c>
      <c r="K530" s="8" t="s">
        <v>208</v>
      </c>
      <c r="L530" s="8" t="s">
        <v>208</v>
      </c>
      <c r="M530" s="8" t="s">
        <v>208</v>
      </c>
      <c r="N530" s="8" t="s">
        <v>208</v>
      </c>
      <c r="O530" s="8" t="s">
        <v>208</v>
      </c>
      <c r="Q530" t="s">
        <v>2358</v>
      </c>
      <c r="R530" t="s">
        <v>2359</v>
      </c>
      <c r="U530" t="s">
        <v>2360</v>
      </c>
      <c r="V530" t="s">
        <v>140</v>
      </c>
      <c r="W530" t="s">
        <v>212</v>
      </c>
      <c r="X530" t="s">
        <v>212</v>
      </c>
      <c r="Y530" t="s">
        <v>213</v>
      </c>
      <c r="Z530" t="s">
        <v>213</v>
      </c>
      <c r="AA530" t="s">
        <v>214</v>
      </c>
      <c r="AB530" t="s">
        <v>758</v>
      </c>
      <c r="AC530" t="s">
        <v>215</v>
      </c>
      <c r="AD530" t="s">
        <v>216</v>
      </c>
      <c r="AE530" t="s">
        <v>217</v>
      </c>
      <c r="AG530" s="8" t="s">
        <v>218</v>
      </c>
      <c r="AH530" t="s">
        <v>219</v>
      </c>
      <c r="AI530" s="9" t="s">
        <v>218</v>
      </c>
      <c r="AJ530" s="9" t="s">
        <v>218</v>
      </c>
      <c r="AK530" t="s">
        <v>234</v>
      </c>
      <c r="AL530" s="9" t="s">
        <v>218</v>
      </c>
      <c r="AM530" s="8" t="s">
        <v>221</v>
      </c>
      <c r="AN530" s="8" t="s">
        <v>221</v>
      </c>
      <c r="AO530" s="8" t="s">
        <v>222</v>
      </c>
      <c r="AP530" s="8">
        <v>0</v>
      </c>
      <c r="AQ530" s="8">
        <v>0</v>
      </c>
      <c r="AR530" s="9">
        <v>46</v>
      </c>
      <c r="AS530" s="8">
        <v>0</v>
      </c>
      <c r="AT530" s="8">
        <v>0</v>
      </c>
      <c r="AU530" s="8">
        <v>0</v>
      </c>
      <c r="AV530" s="9">
        <v>1</v>
      </c>
      <c r="AW530" s="9">
        <v>47</v>
      </c>
      <c r="AX530" s="8"/>
      <c r="AY530" s="8"/>
      <c r="AZ530">
        <v>0</v>
      </c>
      <c r="BB530" t="s">
        <v>2362</v>
      </c>
    </row>
    <row r="531" spans="1:54">
      <c r="A531" s="6">
        <v>45807</v>
      </c>
      <c r="B531" s="7" t="s">
        <v>2017</v>
      </c>
      <c r="C531" t="s">
        <v>205</v>
      </c>
      <c r="D531" t="s">
        <v>2286</v>
      </c>
      <c r="G531" t="s">
        <v>207</v>
      </c>
      <c r="H531" s="8" t="s">
        <v>208</v>
      </c>
      <c r="I531" s="8" t="s">
        <v>208</v>
      </c>
      <c r="J531" s="8" t="s">
        <v>208</v>
      </c>
      <c r="K531" s="8" t="s">
        <v>208</v>
      </c>
      <c r="L531" s="8" t="s">
        <v>208</v>
      </c>
      <c r="M531" s="8" t="s">
        <v>208</v>
      </c>
      <c r="N531" s="8" t="s">
        <v>208</v>
      </c>
      <c r="O531" s="8" t="s">
        <v>208</v>
      </c>
      <c r="Q531" t="s">
        <v>2019</v>
      </c>
      <c r="R531" t="s">
        <v>2020</v>
      </c>
      <c r="U531" t="s">
        <v>2021</v>
      </c>
      <c r="V531" t="s">
        <v>140</v>
      </c>
      <c r="W531" t="s">
        <v>212</v>
      </c>
      <c r="X531" t="s">
        <v>212</v>
      </c>
      <c r="Y531" t="s">
        <v>213</v>
      </c>
      <c r="Z531" t="s">
        <v>213</v>
      </c>
      <c r="AA531" t="s">
        <v>214</v>
      </c>
      <c r="AB531" t="s">
        <v>758</v>
      </c>
      <c r="AC531" t="s">
        <v>701</v>
      </c>
      <c r="AD531" t="s">
        <v>216</v>
      </c>
      <c r="AE531" t="s">
        <v>217</v>
      </c>
      <c r="AG531" s="8" t="s">
        <v>218</v>
      </c>
      <c r="AH531" t="s">
        <v>219</v>
      </c>
      <c r="AI531" s="9" t="s">
        <v>218</v>
      </c>
      <c r="AJ531" s="9" t="s">
        <v>218</v>
      </c>
      <c r="AK531" t="s">
        <v>234</v>
      </c>
      <c r="AL531" s="9" t="s">
        <v>218</v>
      </c>
      <c r="AM531" s="8" t="s">
        <v>221</v>
      </c>
      <c r="AN531" s="8" t="s">
        <v>221</v>
      </c>
      <c r="AO531" s="8" t="s">
        <v>222</v>
      </c>
      <c r="AP531" s="8">
        <v>0</v>
      </c>
      <c r="AQ531" s="8">
        <v>0</v>
      </c>
      <c r="AR531" s="9">
        <v>40</v>
      </c>
      <c r="AS531" s="8">
        <v>0</v>
      </c>
      <c r="AT531" s="8">
        <v>0</v>
      </c>
      <c r="AU531" s="8">
        <v>0</v>
      </c>
      <c r="AV531" s="9">
        <v>1</v>
      </c>
      <c r="AW531" s="9">
        <v>41</v>
      </c>
      <c r="AX531" s="8"/>
      <c r="AY531" s="9" t="s">
        <v>2548</v>
      </c>
      <c r="AZ531">
        <v>0</v>
      </c>
      <c r="BB531" t="s">
        <v>2022</v>
      </c>
    </row>
    <row r="532" spans="1:54">
      <c r="A532" s="6">
        <v>45807</v>
      </c>
      <c r="B532" s="7" t="s">
        <v>2364</v>
      </c>
      <c r="C532" t="s">
        <v>205</v>
      </c>
      <c r="D532" t="s">
        <v>2286</v>
      </c>
      <c r="G532" t="s">
        <v>207</v>
      </c>
      <c r="H532" s="8" t="s">
        <v>208</v>
      </c>
      <c r="I532" s="8" t="s">
        <v>208</v>
      </c>
      <c r="J532" s="8" t="s">
        <v>208</v>
      </c>
      <c r="K532" s="8" t="s">
        <v>208</v>
      </c>
      <c r="L532" s="8" t="s">
        <v>208</v>
      </c>
      <c r="M532" s="8" t="s">
        <v>208</v>
      </c>
      <c r="N532" s="8" t="s">
        <v>208</v>
      </c>
      <c r="O532" s="8" t="s">
        <v>208</v>
      </c>
      <c r="Q532" t="s">
        <v>2365</v>
      </c>
      <c r="R532" t="s">
        <v>2366</v>
      </c>
      <c r="U532" t="s">
        <v>2367</v>
      </c>
      <c r="V532" t="s">
        <v>138</v>
      </c>
      <c r="W532" t="s">
        <v>212</v>
      </c>
      <c r="X532" t="s">
        <v>212</v>
      </c>
      <c r="Y532" t="s">
        <v>213</v>
      </c>
      <c r="Z532" t="s">
        <v>213</v>
      </c>
      <c r="AA532" t="s">
        <v>214</v>
      </c>
      <c r="AB532" t="s">
        <v>701</v>
      </c>
      <c r="AC532" t="s">
        <v>242</v>
      </c>
      <c r="AD532" t="s">
        <v>216</v>
      </c>
      <c r="AE532" t="s">
        <v>217</v>
      </c>
      <c r="AG532" s="8" t="s">
        <v>218</v>
      </c>
      <c r="AH532" t="s">
        <v>219</v>
      </c>
      <c r="AI532" s="9" t="s">
        <v>218</v>
      </c>
      <c r="AJ532" s="9" t="s">
        <v>218</v>
      </c>
      <c r="AK532" t="s">
        <v>2368</v>
      </c>
      <c r="AL532" s="9" t="s">
        <v>218</v>
      </c>
      <c r="AM532" s="8" t="s">
        <v>221</v>
      </c>
      <c r="AN532" s="8" t="s">
        <v>221</v>
      </c>
      <c r="AO532" s="8" t="s">
        <v>222</v>
      </c>
      <c r="AP532" s="8">
        <v>0</v>
      </c>
      <c r="AQ532" s="8">
        <v>0</v>
      </c>
      <c r="AR532" s="8">
        <v>0</v>
      </c>
      <c r="AS532" s="8">
        <v>0</v>
      </c>
      <c r="AT532" s="8">
        <v>0</v>
      </c>
      <c r="AU532" s="8">
        <v>0</v>
      </c>
      <c r="AV532" s="8">
        <v>0</v>
      </c>
      <c r="AW532" s="8">
        <v>0</v>
      </c>
      <c r="AX532" s="8"/>
      <c r="AY532" s="9" t="s">
        <v>1310</v>
      </c>
      <c r="AZ532">
        <v>0</v>
      </c>
      <c r="BB532" t="s">
        <v>2369</v>
      </c>
    </row>
    <row r="533" spans="1:54">
      <c r="A533" s="6">
        <v>45807</v>
      </c>
      <c r="B533" s="7" t="s">
        <v>2370</v>
      </c>
      <c r="C533" t="s">
        <v>387</v>
      </c>
      <c r="D533" t="s">
        <v>2286</v>
      </c>
      <c r="G533" t="s">
        <v>207</v>
      </c>
      <c r="H533" s="8" t="s">
        <v>208</v>
      </c>
      <c r="I533" s="8" t="s">
        <v>208</v>
      </c>
      <c r="J533" s="8" t="s">
        <v>208</v>
      </c>
      <c r="K533" s="8" t="s">
        <v>208</v>
      </c>
      <c r="L533" s="8" t="s">
        <v>208</v>
      </c>
      <c r="M533" s="8" t="s">
        <v>208</v>
      </c>
      <c r="N533" s="8" t="s">
        <v>208</v>
      </c>
      <c r="O533" s="8" t="s">
        <v>208</v>
      </c>
      <c r="Q533" t="s">
        <v>2371</v>
      </c>
      <c r="R533" t="s">
        <v>2372</v>
      </c>
      <c r="U533" t="s">
        <v>2373</v>
      </c>
      <c r="V533" t="s">
        <v>30</v>
      </c>
      <c r="W533" t="s">
        <v>298</v>
      </c>
      <c r="X533" t="s">
        <v>298</v>
      </c>
      <c r="Y533" t="s">
        <v>299</v>
      </c>
      <c r="Z533" t="s">
        <v>299</v>
      </c>
      <c r="AA533" t="s">
        <v>300</v>
      </c>
      <c r="AB533" t="s">
        <v>603</v>
      </c>
      <c r="AC533" t="s">
        <v>408</v>
      </c>
      <c r="AD533" t="s">
        <v>216</v>
      </c>
      <c r="AE533" t="s">
        <v>300</v>
      </c>
      <c r="AG533" s="8" t="s">
        <v>218</v>
      </c>
      <c r="AH533" t="s">
        <v>302</v>
      </c>
      <c r="AI533" s="9" t="s">
        <v>218</v>
      </c>
      <c r="AJ533" s="9" t="s">
        <v>218</v>
      </c>
      <c r="AK533" t="s">
        <v>400</v>
      </c>
      <c r="AL533" s="9" t="s">
        <v>218</v>
      </c>
      <c r="AM533" s="8" t="s">
        <v>221</v>
      </c>
      <c r="AN533" s="8" t="s">
        <v>221</v>
      </c>
      <c r="AO533" s="8" t="s">
        <v>222</v>
      </c>
      <c r="AP533" s="8">
        <v>0</v>
      </c>
      <c r="AQ533" s="8">
        <v>0</v>
      </c>
      <c r="AR533" s="8">
        <v>0</v>
      </c>
      <c r="AS533" s="8">
        <v>0</v>
      </c>
      <c r="AT533" s="8">
        <v>0</v>
      </c>
      <c r="AU533" s="8">
        <v>0</v>
      </c>
      <c r="AV533" s="8">
        <v>0</v>
      </c>
      <c r="AW533" s="8">
        <v>0</v>
      </c>
      <c r="AX533" s="8"/>
      <c r="AY533" s="8"/>
      <c r="AZ533">
        <v>0</v>
      </c>
      <c r="BB533" t="s">
        <v>2375</v>
      </c>
    </row>
    <row r="534" spans="1:54">
      <c r="A534" s="6">
        <v>45807</v>
      </c>
      <c r="B534" s="7" t="s">
        <v>705</v>
      </c>
      <c r="C534" t="s">
        <v>205</v>
      </c>
      <c r="D534" t="s">
        <v>2286</v>
      </c>
      <c r="G534" t="s">
        <v>207</v>
      </c>
      <c r="H534" s="8" t="s">
        <v>208</v>
      </c>
      <c r="I534" s="8" t="s">
        <v>208</v>
      </c>
      <c r="J534" s="8" t="s">
        <v>208</v>
      </c>
      <c r="K534" s="8" t="s">
        <v>208</v>
      </c>
      <c r="L534" s="8" t="s">
        <v>208</v>
      </c>
      <c r="M534" s="8" t="s">
        <v>208</v>
      </c>
      <c r="N534" s="8" t="s">
        <v>208</v>
      </c>
      <c r="O534" s="8" t="s">
        <v>208</v>
      </c>
      <c r="Q534" t="s">
        <v>706</v>
      </c>
      <c r="R534" t="s">
        <v>707</v>
      </c>
      <c r="U534" t="s">
        <v>708</v>
      </c>
      <c r="V534" t="s">
        <v>140</v>
      </c>
      <c r="W534" t="s">
        <v>212</v>
      </c>
      <c r="X534" t="s">
        <v>212</v>
      </c>
      <c r="Y534" t="s">
        <v>213</v>
      </c>
      <c r="Z534" t="s">
        <v>213</v>
      </c>
      <c r="AA534" t="s">
        <v>663</v>
      </c>
      <c r="AB534" t="s">
        <v>277</v>
      </c>
      <c r="AC534" t="s">
        <v>285</v>
      </c>
      <c r="AD534" t="s">
        <v>216</v>
      </c>
      <c r="AE534" t="s">
        <v>217</v>
      </c>
      <c r="AG534" s="8" t="s">
        <v>218</v>
      </c>
      <c r="AH534" t="s">
        <v>219</v>
      </c>
      <c r="AI534" s="9" t="s">
        <v>218</v>
      </c>
      <c r="AJ534" s="9" t="s">
        <v>218</v>
      </c>
      <c r="AK534" t="s">
        <v>709</v>
      </c>
      <c r="AL534" s="9" t="s">
        <v>218</v>
      </c>
      <c r="AM534" s="8" t="s">
        <v>221</v>
      </c>
      <c r="AN534" s="8" t="s">
        <v>221</v>
      </c>
      <c r="AO534" s="8" t="s">
        <v>222</v>
      </c>
      <c r="AP534" s="8">
        <v>0</v>
      </c>
      <c r="AQ534" s="8">
        <v>0</v>
      </c>
      <c r="AR534" s="9">
        <v>59</v>
      </c>
      <c r="AS534" s="8">
        <v>0</v>
      </c>
      <c r="AT534" s="8">
        <v>0</v>
      </c>
      <c r="AU534" s="8">
        <v>0</v>
      </c>
      <c r="AV534" s="8">
        <v>0</v>
      </c>
      <c r="AW534" s="9">
        <v>59</v>
      </c>
      <c r="AX534" s="8"/>
      <c r="AY534" s="8"/>
      <c r="AZ534">
        <v>0</v>
      </c>
      <c r="BB534" t="s">
        <v>711</v>
      </c>
    </row>
    <row r="535" spans="1:54">
      <c r="A535" s="6">
        <v>45807</v>
      </c>
      <c r="B535" s="7" t="s">
        <v>677</v>
      </c>
      <c r="C535" t="s">
        <v>205</v>
      </c>
      <c r="D535" t="s">
        <v>2286</v>
      </c>
      <c r="G535" t="s">
        <v>207</v>
      </c>
      <c r="H535" s="8" t="s">
        <v>208</v>
      </c>
      <c r="I535" s="8" t="s">
        <v>208</v>
      </c>
      <c r="J535" s="8" t="s">
        <v>208</v>
      </c>
      <c r="K535" s="8" t="s">
        <v>208</v>
      </c>
      <c r="L535" s="8" t="s">
        <v>208</v>
      </c>
      <c r="M535" s="8" t="s">
        <v>208</v>
      </c>
      <c r="N535" s="8" t="s">
        <v>208</v>
      </c>
      <c r="O535" s="8" t="s">
        <v>208</v>
      </c>
      <c r="Q535" t="s">
        <v>678</v>
      </c>
      <c r="R535" t="s">
        <v>679</v>
      </c>
      <c r="U535" t="s">
        <v>680</v>
      </c>
      <c r="V535" t="s">
        <v>140</v>
      </c>
      <c r="W535" t="s">
        <v>212</v>
      </c>
      <c r="X535" t="s">
        <v>212</v>
      </c>
      <c r="Y535" t="s">
        <v>275</v>
      </c>
      <c r="Z535" t="s">
        <v>213</v>
      </c>
      <c r="AA535" t="s">
        <v>214</v>
      </c>
      <c r="AB535" t="s">
        <v>672</v>
      </c>
      <c r="AC535" t="s">
        <v>758</v>
      </c>
      <c r="AD535" t="s">
        <v>216</v>
      </c>
      <c r="AE535" t="s">
        <v>217</v>
      </c>
      <c r="AG535" s="9" t="s">
        <v>221</v>
      </c>
      <c r="AH535" t="s">
        <v>219</v>
      </c>
      <c r="AI535" s="9" t="s">
        <v>218</v>
      </c>
      <c r="AJ535" s="9" t="s">
        <v>218</v>
      </c>
      <c r="AK535" t="s">
        <v>234</v>
      </c>
      <c r="AL535" s="8" t="s">
        <v>221</v>
      </c>
      <c r="AM535" s="9" t="s">
        <v>218</v>
      </c>
      <c r="AN535" s="8" t="s">
        <v>221</v>
      </c>
      <c r="AO535" s="8" t="s">
        <v>222</v>
      </c>
      <c r="AP535" s="8">
        <v>0</v>
      </c>
      <c r="AQ535" s="8">
        <v>0</v>
      </c>
      <c r="AR535" s="9">
        <v>123</v>
      </c>
      <c r="AS535" s="8">
        <v>0</v>
      </c>
      <c r="AT535" s="8">
        <v>0</v>
      </c>
      <c r="AU535" s="8">
        <v>0</v>
      </c>
      <c r="AV535" s="8">
        <v>0</v>
      </c>
      <c r="AW535" s="9">
        <v>123</v>
      </c>
      <c r="AX535" s="8"/>
      <c r="AY535" s="9" t="s">
        <v>2549</v>
      </c>
      <c r="AZ535">
        <v>2</v>
      </c>
      <c r="BA535" t="s">
        <v>2550</v>
      </c>
      <c r="BB535" t="s">
        <v>684</v>
      </c>
    </row>
    <row r="536" spans="1:54">
      <c r="A536" s="6">
        <v>45807</v>
      </c>
      <c r="B536" s="7" t="s">
        <v>1618</v>
      </c>
      <c r="C536" t="s">
        <v>205</v>
      </c>
      <c r="D536" t="s">
        <v>2286</v>
      </c>
      <c r="G536" t="s">
        <v>207</v>
      </c>
      <c r="H536" s="8" t="s">
        <v>208</v>
      </c>
      <c r="I536" s="8" t="s">
        <v>208</v>
      </c>
      <c r="J536" s="8" t="s">
        <v>208</v>
      </c>
      <c r="K536" s="8" t="s">
        <v>208</v>
      </c>
      <c r="L536" s="8" t="s">
        <v>208</v>
      </c>
      <c r="M536" s="8" t="s">
        <v>208</v>
      </c>
      <c r="N536" s="8" t="s">
        <v>208</v>
      </c>
      <c r="O536" s="8" t="s">
        <v>208</v>
      </c>
      <c r="Q536" t="s">
        <v>1619</v>
      </c>
      <c r="R536" t="s">
        <v>1620</v>
      </c>
      <c r="U536" t="s">
        <v>1621</v>
      </c>
      <c r="V536" t="s">
        <v>140</v>
      </c>
      <c r="W536" t="s">
        <v>212</v>
      </c>
      <c r="X536" t="s">
        <v>212</v>
      </c>
      <c r="Y536" t="s">
        <v>275</v>
      </c>
      <c r="Z536" t="s">
        <v>213</v>
      </c>
      <c r="AA536" t="s">
        <v>214</v>
      </c>
      <c r="AB536" t="s">
        <v>681</v>
      </c>
      <c r="AC536" t="s">
        <v>215</v>
      </c>
      <c r="AD536" t="s">
        <v>216</v>
      </c>
      <c r="AE536" t="s">
        <v>217</v>
      </c>
      <c r="AG536" s="8" t="s">
        <v>218</v>
      </c>
      <c r="AH536" t="s">
        <v>219</v>
      </c>
      <c r="AI536" s="9" t="s">
        <v>218</v>
      </c>
      <c r="AJ536" s="9" t="s">
        <v>218</v>
      </c>
      <c r="AK536" t="s">
        <v>234</v>
      </c>
      <c r="AL536" s="8" t="s">
        <v>221</v>
      </c>
      <c r="AM536" s="9" t="s">
        <v>218</v>
      </c>
      <c r="AN536" s="8" t="s">
        <v>221</v>
      </c>
      <c r="AO536" s="8" t="s">
        <v>222</v>
      </c>
      <c r="AP536" s="8">
        <v>0</v>
      </c>
      <c r="AQ536" s="8">
        <v>0</v>
      </c>
      <c r="AR536" s="9">
        <v>33</v>
      </c>
      <c r="AS536" s="8">
        <v>0</v>
      </c>
      <c r="AT536" s="8">
        <v>0</v>
      </c>
      <c r="AU536" s="8">
        <v>0</v>
      </c>
      <c r="AV536" s="8">
        <v>0</v>
      </c>
      <c r="AW536" s="9">
        <v>33</v>
      </c>
      <c r="AX536" s="8"/>
      <c r="AY536" s="9" t="s">
        <v>2551</v>
      </c>
      <c r="AZ536">
        <v>2</v>
      </c>
      <c r="BA536" t="s">
        <v>2552</v>
      </c>
      <c r="BB536" t="s">
        <v>1624</v>
      </c>
    </row>
    <row r="537" spans="1:54">
      <c r="A537" s="6">
        <v>45807</v>
      </c>
      <c r="B537" s="7" t="s">
        <v>2380</v>
      </c>
      <c r="C537" t="s">
        <v>205</v>
      </c>
      <c r="D537" t="s">
        <v>2286</v>
      </c>
      <c r="G537" t="s">
        <v>207</v>
      </c>
      <c r="H537" s="8" t="s">
        <v>208</v>
      </c>
      <c r="I537" s="8" t="s">
        <v>208</v>
      </c>
      <c r="J537" s="8" t="s">
        <v>208</v>
      </c>
      <c r="K537" s="8" t="s">
        <v>208</v>
      </c>
      <c r="L537" s="8" t="s">
        <v>208</v>
      </c>
      <c r="M537" s="8" t="s">
        <v>208</v>
      </c>
      <c r="N537" s="8" t="s">
        <v>208</v>
      </c>
      <c r="O537" s="8" t="s">
        <v>208</v>
      </c>
      <c r="Q537" t="s">
        <v>2381</v>
      </c>
      <c r="R537" t="s">
        <v>2382</v>
      </c>
      <c r="U537" t="s">
        <v>2383</v>
      </c>
      <c r="V537" t="s">
        <v>138</v>
      </c>
      <c r="W537" t="s">
        <v>212</v>
      </c>
      <c r="X537" t="s">
        <v>212</v>
      </c>
      <c r="Y537" t="s">
        <v>213</v>
      </c>
      <c r="Z537" t="s">
        <v>213</v>
      </c>
      <c r="AA537" t="s">
        <v>214</v>
      </c>
      <c r="AB537" t="s">
        <v>215</v>
      </c>
      <c r="AC537" t="s">
        <v>701</v>
      </c>
      <c r="AD537" t="s">
        <v>216</v>
      </c>
      <c r="AE537" t="s">
        <v>217</v>
      </c>
      <c r="AG537" s="8" t="s">
        <v>218</v>
      </c>
      <c r="AH537" t="s">
        <v>219</v>
      </c>
      <c r="AI537" s="9" t="s">
        <v>218</v>
      </c>
      <c r="AJ537" s="9" t="s">
        <v>218</v>
      </c>
      <c r="AK537" t="s">
        <v>234</v>
      </c>
      <c r="AL537" s="9" t="s">
        <v>218</v>
      </c>
      <c r="AM537" s="8" t="s">
        <v>221</v>
      </c>
      <c r="AN537" s="8" t="s">
        <v>221</v>
      </c>
      <c r="AO537" s="8" t="s">
        <v>222</v>
      </c>
      <c r="AP537" s="8">
        <v>0</v>
      </c>
      <c r="AQ537" s="8">
        <v>0</v>
      </c>
      <c r="AR537" s="9">
        <v>2</v>
      </c>
      <c r="AS537" s="8">
        <v>0</v>
      </c>
      <c r="AT537" s="8">
        <v>0</v>
      </c>
      <c r="AU537" s="8">
        <v>0</v>
      </c>
      <c r="AV537" s="8">
        <v>0</v>
      </c>
      <c r="AW537" s="9">
        <v>2</v>
      </c>
      <c r="AX537" s="8"/>
      <c r="AY537" s="8"/>
      <c r="AZ537">
        <v>0</v>
      </c>
      <c r="BB537" t="s">
        <v>2385</v>
      </c>
    </row>
    <row r="538" spans="1:54">
      <c r="A538" s="6">
        <v>45807</v>
      </c>
      <c r="B538" s="7" t="s">
        <v>2386</v>
      </c>
      <c r="C538" t="s">
        <v>205</v>
      </c>
      <c r="D538" t="s">
        <v>2286</v>
      </c>
      <c r="G538" t="s">
        <v>207</v>
      </c>
      <c r="H538" s="8" t="s">
        <v>208</v>
      </c>
      <c r="I538" s="8" t="s">
        <v>208</v>
      </c>
      <c r="J538" s="8" t="s">
        <v>208</v>
      </c>
      <c r="K538" s="8" t="s">
        <v>208</v>
      </c>
      <c r="L538" s="8" t="s">
        <v>208</v>
      </c>
      <c r="M538" s="8" t="s">
        <v>208</v>
      </c>
      <c r="N538" s="8" t="s">
        <v>208</v>
      </c>
      <c r="O538" s="8" t="s">
        <v>208</v>
      </c>
      <c r="Q538" t="s">
        <v>2387</v>
      </c>
      <c r="R538" t="s">
        <v>2388</v>
      </c>
      <c r="U538" t="s">
        <v>2389</v>
      </c>
      <c r="V538" t="s">
        <v>140</v>
      </c>
      <c r="W538" t="s">
        <v>774</v>
      </c>
      <c r="X538" t="s">
        <v>774</v>
      </c>
      <c r="Y538" t="s">
        <v>775</v>
      </c>
      <c r="Z538" t="s">
        <v>775</v>
      </c>
      <c r="AA538" t="s">
        <v>1164</v>
      </c>
      <c r="AB538" t="s">
        <v>465</v>
      </c>
      <c r="AC538" t="s">
        <v>301</v>
      </c>
      <c r="AD538" t="s">
        <v>216</v>
      </c>
      <c r="AE538" t="s">
        <v>2259</v>
      </c>
      <c r="AG538" s="8" t="s">
        <v>218</v>
      </c>
      <c r="AH538" t="s">
        <v>219</v>
      </c>
      <c r="AI538" s="9" t="s">
        <v>218</v>
      </c>
      <c r="AJ538" s="9" t="s">
        <v>218</v>
      </c>
      <c r="AK538" t="s">
        <v>2390</v>
      </c>
      <c r="AL538" s="9" t="s">
        <v>218</v>
      </c>
      <c r="AM538" s="8" t="s">
        <v>221</v>
      </c>
      <c r="AN538" s="8" t="s">
        <v>221</v>
      </c>
      <c r="AO538" s="8" t="s">
        <v>222</v>
      </c>
      <c r="AP538" s="8">
        <v>0</v>
      </c>
      <c r="AQ538" s="8">
        <v>0</v>
      </c>
      <c r="AR538" s="9">
        <v>6</v>
      </c>
      <c r="AS538" s="8">
        <v>0</v>
      </c>
      <c r="AT538" s="8">
        <v>0</v>
      </c>
      <c r="AU538" s="8">
        <v>0</v>
      </c>
      <c r="AV538" s="8">
        <v>0</v>
      </c>
      <c r="AW538" s="9">
        <v>6</v>
      </c>
      <c r="AX538" s="8"/>
      <c r="AY538" s="8"/>
      <c r="AZ538">
        <v>0</v>
      </c>
      <c r="BB538" t="s">
        <v>2392</v>
      </c>
    </row>
    <row r="539" spans="1:54">
      <c r="A539" s="6">
        <v>45807</v>
      </c>
      <c r="B539" s="7" t="s">
        <v>2393</v>
      </c>
      <c r="C539" t="s">
        <v>205</v>
      </c>
      <c r="D539" t="s">
        <v>2286</v>
      </c>
      <c r="G539" t="s">
        <v>207</v>
      </c>
      <c r="H539" s="8" t="s">
        <v>208</v>
      </c>
      <c r="I539" s="8" t="s">
        <v>208</v>
      </c>
      <c r="J539" s="8" t="s">
        <v>208</v>
      </c>
      <c r="K539" s="8" t="s">
        <v>208</v>
      </c>
      <c r="L539" s="8" t="s">
        <v>208</v>
      </c>
      <c r="M539" s="8" t="s">
        <v>208</v>
      </c>
      <c r="N539" s="8" t="s">
        <v>208</v>
      </c>
      <c r="O539" s="8" t="s">
        <v>208</v>
      </c>
      <c r="Q539" t="s">
        <v>2394</v>
      </c>
      <c r="R539" t="s">
        <v>2395</v>
      </c>
      <c r="U539" t="s">
        <v>2396</v>
      </c>
      <c r="V539" t="s">
        <v>140</v>
      </c>
      <c r="W539" t="s">
        <v>774</v>
      </c>
      <c r="X539" t="s">
        <v>774</v>
      </c>
      <c r="Y539" t="s">
        <v>775</v>
      </c>
      <c r="Z539" t="s">
        <v>775</v>
      </c>
      <c r="AA539" t="s">
        <v>1164</v>
      </c>
      <c r="AB539" t="s">
        <v>301</v>
      </c>
      <c r="AC539" t="s">
        <v>312</v>
      </c>
      <c r="AD539" t="s">
        <v>216</v>
      </c>
      <c r="AE539" t="s">
        <v>2259</v>
      </c>
      <c r="AG539" s="8" t="s">
        <v>218</v>
      </c>
      <c r="AH539" t="s">
        <v>219</v>
      </c>
      <c r="AI539" s="9" t="s">
        <v>218</v>
      </c>
      <c r="AJ539" s="9" t="s">
        <v>218</v>
      </c>
      <c r="AK539" t="s">
        <v>2397</v>
      </c>
      <c r="AL539" s="9" t="s">
        <v>218</v>
      </c>
      <c r="AM539" s="8" t="s">
        <v>221</v>
      </c>
      <c r="AN539" s="8" t="s">
        <v>221</v>
      </c>
      <c r="AO539" s="8" t="s">
        <v>222</v>
      </c>
      <c r="AP539" s="8">
        <v>0</v>
      </c>
      <c r="AQ539" s="8">
        <v>0</v>
      </c>
      <c r="AR539" s="8">
        <v>0</v>
      </c>
      <c r="AS539" s="8">
        <v>0</v>
      </c>
      <c r="AT539" s="8">
        <v>0</v>
      </c>
      <c r="AU539" s="8">
        <v>0</v>
      </c>
      <c r="AV539" s="8">
        <v>0</v>
      </c>
      <c r="AW539" s="8">
        <v>0</v>
      </c>
      <c r="AX539" s="8"/>
      <c r="AY539" s="8"/>
      <c r="AZ539">
        <v>0</v>
      </c>
      <c r="BB539" t="s">
        <v>2398</v>
      </c>
    </row>
    <row r="540" spans="1:54">
      <c r="A540" s="6">
        <v>45807</v>
      </c>
      <c r="B540" s="7" t="s">
        <v>1422</v>
      </c>
      <c r="C540" t="s">
        <v>205</v>
      </c>
      <c r="D540" t="s">
        <v>2286</v>
      </c>
      <c r="G540" t="s">
        <v>207</v>
      </c>
      <c r="H540" s="8" t="s">
        <v>208</v>
      </c>
      <c r="I540" s="8" t="s">
        <v>208</v>
      </c>
      <c r="J540" s="8" t="s">
        <v>208</v>
      </c>
      <c r="K540" s="8" t="s">
        <v>208</v>
      </c>
      <c r="L540" s="8" t="s">
        <v>208</v>
      </c>
      <c r="M540" s="8" t="s">
        <v>208</v>
      </c>
      <c r="N540" s="8" t="s">
        <v>208</v>
      </c>
      <c r="O540" s="8" t="s">
        <v>208</v>
      </c>
      <c r="Q540" t="s">
        <v>1423</v>
      </c>
      <c r="R540" t="s">
        <v>1424</v>
      </c>
      <c r="U540" t="s">
        <v>1425</v>
      </c>
      <c r="V540" t="s">
        <v>140</v>
      </c>
      <c r="W540" t="s">
        <v>212</v>
      </c>
      <c r="X540" t="s">
        <v>212</v>
      </c>
      <c r="Y540" t="s">
        <v>275</v>
      </c>
      <c r="Z540" t="s">
        <v>213</v>
      </c>
      <c r="AA540" t="s">
        <v>214</v>
      </c>
      <c r="AB540" t="s">
        <v>2501</v>
      </c>
      <c r="AC540" t="s">
        <v>215</v>
      </c>
      <c r="AD540" t="s">
        <v>216</v>
      </c>
      <c r="AE540" t="s">
        <v>217</v>
      </c>
      <c r="AG540" s="9" t="s">
        <v>221</v>
      </c>
      <c r="AH540" t="s">
        <v>219</v>
      </c>
      <c r="AI540" s="9" t="s">
        <v>218</v>
      </c>
      <c r="AJ540" s="9" t="s">
        <v>218</v>
      </c>
      <c r="AK540" t="s">
        <v>234</v>
      </c>
      <c r="AL540" s="8" t="s">
        <v>221</v>
      </c>
      <c r="AM540" s="9" t="s">
        <v>218</v>
      </c>
      <c r="AN540" s="8" t="s">
        <v>221</v>
      </c>
      <c r="AO540" s="8" t="s">
        <v>222</v>
      </c>
      <c r="AP540" s="8">
        <v>0</v>
      </c>
      <c r="AQ540" s="8">
        <v>0</v>
      </c>
      <c r="AR540" s="9">
        <v>136</v>
      </c>
      <c r="AS540" s="8">
        <v>0</v>
      </c>
      <c r="AT540" s="8">
        <v>0</v>
      </c>
      <c r="AU540" s="8">
        <v>0</v>
      </c>
      <c r="AV540" s="8">
        <v>0</v>
      </c>
      <c r="AW540" s="9">
        <v>136</v>
      </c>
      <c r="AX540" s="8"/>
      <c r="AY540" s="9" t="s">
        <v>1426</v>
      </c>
      <c r="AZ540">
        <v>2</v>
      </c>
      <c r="BA540" t="s">
        <v>2502</v>
      </c>
      <c r="BB540" t="s">
        <v>1428</v>
      </c>
    </row>
    <row r="541" spans="1:54">
      <c r="A541" s="6">
        <v>45807</v>
      </c>
      <c r="B541" s="7" t="s">
        <v>686</v>
      </c>
      <c r="C541" t="s">
        <v>205</v>
      </c>
      <c r="D541" t="s">
        <v>2286</v>
      </c>
      <c r="G541" t="s">
        <v>207</v>
      </c>
      <c r="H541" s="8" t="s">
        <v>208</v>
      </c>
      <c r="I541" s="8" t="s">
        <v>208</v>
      </c>
      <c r="J541" s="8" t="s">
        <v>208</v>
      </c>
      <c r="K541" s="8" t="s">
        <v>208</v>
      </c>
      <c r="L541" s="8" t="s">
        <v>208</v>
      </c>
      <c r="M541" s="8" t="s">
        <v>208</v>
      </c>
      <c r="N541" s="8" t="s">
        <v>208</v>
      </c>
      <c r="O541" s="8" t="s">
        <v>208</v>
      </c>
      <c r="Q541" t="s">
        <v>688</v>
      </c>
      <c r="R541" t="s">
        <v>689</v>
      </c>
      <c r="U541" t="s">
        <v>690</v>
      </c>
      <c r="V541" t="s">
        <v>662</v>
      </c>
      <c r="W541" t="s">
        <v>232</v>
      </c>
      <c r="X541" t="s">
        <v>232</v>
      </c>
      <c r="Y541" t="s">
        <v>1082</v>
      </c>
      <c r="Z541" t="s">
        <v>233</v>
      </c>
      <c r="AA541" t="s">
        <v>663</v>
      </c>
      <c r="AB541" t="s">
        <v>2553</v>
      </c>
      <c r="AC541" t="s">
        <v>681</v>
      </c>
      <c r="AD541" t="s">
        <v>216</v>
      </c>
      <c r="AE541" t="s">
        <v>217</v>
      </c>
      <c r="AG541" s="9" t="s">
        <v>221</v>
      </c>
      <c r="AH541" t="s">
        <v>219</v>
      </c>
      <c r="AI541" s="9" t="s">
        <v>218</v>
      </c>
      <c r="AJ541" s="9" t="s">
        <v>218</v>
      </c>
      <c r="AK541" t="s">
        <v>234</v>
      </c>
      <c r="AL541" s="8" t="s">
        <v>221</v>
      </c>
      <c r="AM541" s="9" t="s">
        <v>218</v>
      </c>
      <c r="AN541" s="8" t="s">
        <v>221</v>
      </c>
      <c r="AO541" s="8" t="s">
        <v>222</v>
      </c>
      <c r="AP541" s="8">
        <v>0</v>
      </c>
      <c r="AQ541" s="8">
        <v>0</v>
      </c>
      <c r="AR541" s="9">
        <v>636</v>
      </c>
      <c r="AS541" s="8">
        <v>0</v>
      </c>
      <c r="AT541" s="8">
        <v>0</v>
      </c>
      <c r="AU541" s="8">
        <v>0</v>
      </c>
      <c r="AV541" s="8">
        <v>0</v>
      </c>
      <c r="AW541" s="9">
        <v>636</v>
      </c>
      <c r="AX541" s="9" t="s">
        <v>692</v>
      </c>
      <c r="AY541" s="8"/>
      <c r="AZ541">
        <v>2</v>
      </c>
      <c r="BA541" t="s">
        <v>2554</v>
      </c>
      <c r="BB541" t="s">
        <v>694</v>
      </c>
    </row>
    <row r="542" spans="1:54">
      <c r="A542" s="6">
        <v>45807</v>
      </c>
      <c r="B542" s="7" t="s">
        <v>2401</v>
      </c>
      <c r="C542" t="s">
        <v>205</v>
      </c>
      <c r="D542" t="s">
        <v>2286</v>
      </c>
      <c r="G542" t="s">
        <v>207</v>
      </c>
      <c r="H542" s="8" t="s">
        <v>208</v>
      </c>
      <c r="I542" s="8" t="s">
        <v>208</v>
      </c>
      <c r="J542" s="8" t="s">
        <v>208</v>
      </c>
      <c r="K542" s="8" t="s">
        <v>208</v>
      </c>
      <c r="L542" s="8" t="s">
        <v>208</v>
      </c>
      <c r="M542" s="8" t="s">
        <v>208</v>
      </c>
      <c r="N542" s="8" t="s">
        <v>208</v>
      </c>
      <c r="O542" s="8" t="s">
        <v>208</v>
      </c>
      <c r="Q542" t="s">
        <v>2402</v>
      </c>
      <c r="R542" t="s">
        <v>2403</v>
      </c>
      <c r="U542" t="s">
        <v>2404</v>
      </c>
      <c r="V542" t="s">
        <v>140</v>
      </c>
      <c r="W542" t="s">
        <v>212</v>
      </c>
      <c r="X542" t="s">
        <v>212</v>
      </c>
      <c r="Y542" t="s">
        <v>213</v>
      </c>
      <c r="Z542" t="s">
        <v>213</v>
      </c>
      <c r="AA542" t="s">
        <v>214</v>
      </c>
      <c r="AB542" t="s">
        <v>215</v>
      </c>
      <c r="AC542" t="s">
        <v>701</v>
      </c>
      <c r="AD542" t="s">
        <v>216</v>
      </c>
      <c r="AE542" t="s">
        <v>217</v>
      </c>
      <c r="AG542" s="8" t="s">
        <v>218</v>
      </c>
      <c r="AH542" t="s">
        <v>219</v>
      </c>
      <c r="AI542" s="9" t="s">
        <v>218</v>
      </c>
      <c r="AJ542" s="9" t="s">
        <v>218</v>
      </c>
      <c r="AK542" t="s">
        <v>234</v>
      </c>
      <c r="AL542" s="9" t="s">
        <v>218</v>
      </c>
      <c r="AM542" s="8" t="s">
        <v>221</v>
      </c>
      <c r="AN542" s="8" t="s">
        <v>221</v>
      </c>
      <c r="AO542" s="8" t="s">
        <v>222</v>
      </c>
      <c r="AP542" s="8">
        <v>0</v>
      </c>
      <c r="AQ542" s="8">
        <v>0</v>
      </c>
      <c r="AR542" s="9">
        <v>3</v>
      </c>
      <c r="AS542" s="8">
        <v>0</v>
      </c>
      <c r="AT542" s="8">
        <v>0</v>
      </c>
      <c r="AU542" s="8">
        <v>0</v>
      </c>
      <c r="AV542" s="8">
        <v>0</v>
      </c>
      <c r="AW542" s="9">
        <v>3</v>
      </c>
      <c r="AX542" s="8"/>
      <c r="AY542" s="8"/>
      <c r="AZ542">
        <v>0</v>
      </c>
      <c r="BB542" t="s">
        <v>2406</v>
      </c>
    </row>
    <row r="543" spans="1:54">
      <c r="A543" s="6">
        <v>45807</v>
      </c>
      <c r="B543" s="7" t="s">
        <v>2407</v>
      </c>
      <c r="C543" t="s">
        <v>205</v>
      </c>
      <c r="D543" t="s">
        <v>2286</v>
      </c>
      <c r="G543" t="s">
        <v>207</v>
      </c>
      <c r="H543" s="8" t="s">
        <v>208</v>
      </c>
      <c r="I543" s="8" t="s">
        <v>208</v>
      </c>
      <c r="J543" s="8" t="s">
        <v>208</v>
      </c>
      <c r="K543" s="8" t="s">
        <v>208</v>
      </c>
      <c r="L543" s="8" t="s">
        <v>208</v>
      </c>
      <c r="M543" s="8" t="s">
        <v>208</v>
      </c>
      <c r="N543" s="8" t="s">
        <v>208</v>
      </c>
      <c r="O543" s="8" t="s">
        <v>208</v>
      </c>
      <c r="Q543" t="s">
        <v>2408</v>
      </c>
      <c r="R543" t="s">
        <v>2409</v>
      </c>
      <c r="U543" t="s">
        <v>2410</v>
      </c>
      <c r="V543" t="s">
        <v>138</v>
      </c>
      <c r="W543" t="s">
        <v>212</v>
      </c>
      <c r="X543" t="s">
        <v>212</v>
      </c>
      <c r="Y543" t="s">
        <v>213</v>
      </c>
      <c r="Z543" t="s">
        <v>213</v>
      </c>
      <c r="AA543" t="s">
        <v>214</v>
      </c>
      <c r="AB543" t="s">
        <v>215</v>
      </c>
      <c r="AC543" t="s">
        <v>242</v>
      </c>
      <c r="AD543" t="s">
        <v>216</v>
      </c>
      <c r="AE543" t="s">
        <v>217</v>
      </c>
      <c r="AG543" s="8" t="s">
        <v>218</v>
      </c>
      <c r="AH543" t="s">
        <v>219</v>
      </c>
      <c r="AI543" s="9" t="s">
        <v>218</v>
      </c>
      <c r="AJ543" s="9" t="s">
        <v>218</v>
      </c>
      <c r="AK543" t="s">
        <v>234</v>
      </c>
      <c r="AL543" s="9" t="s">
        <v>218</v>
      </c>
      <c r="AM543" s="8" t="s">
        <v>221</v>
      </c>
      <c r="AN543" s="8" t="s">
        <v>221</v>
      </c>
      <c r="AO543" s="8" t="s">
        <v>222</v>
      </c>
      <c r="AP543" s="8">
        <v>0</v>
      </c>
      <c r="AQ543" s="8">
        <v>0</v>
      </c>
      <c r="AR543" s="8">
        <v>0</v>
      </c>
      <c r="AS543" s="8">
        <v>0</v>
      </c>
      <c r="AT543" s="8">
        <v>0</v>
      </c>
      <c r="AU543" s="8">
        <v>0</v>
      </c>
      <c r="AV543" s="8">
        <v>0</v>
      </c>
      <c r="AW543" s="8">
        <v>0</v>
      </c>
      <c r="AX543" s="8"/>
      <c r="AY543" s="8"/>
      <c r="AZ543">
        <v>0</v>
      </c>
      <c r="BB543" t="s">
        <v>2411</v>
      </c>
    </row>
    <row r="544" spans="1:54">
      <c r="A544" s="6">
        <v>45807</v>
      </c>
      <c r="B544" s="7" t="s">
        <v>2412</v>
      </c>
      <c r="C544" t="s">
        <v>205</v>
      </c>
      <c r="D544" t="s">
        <v>2286</v>
      </c>
      <c r="G544" t="s">
        <v>207</v>
      </c>
      <c r="H544" s="8" t="s">
        <v>208</v>
      </c>
      <c r="I544" s="8" t="s">
        <v>208</v>
      </c>
      <c r="J544" s="8" t="s">
        <v>208</v>
      </c>
      <c r="K544" s="8" t="s">
        <v>208</v>
      </c>
      <c r="L544" s="8" t="s">
        <v>208</v>
      </c>
      <c r="M544" s="8" t="s">
        <v>208</v>
      </c>
      <c r="N544" s="8" t="s">
        <v>208</v>
      </c>
      <c r="O544" s="8" t="s">
        <v>208</v>
      </c>
      <c r="Q544" t="s">
        <v>2413</v>
      </c>
      <c r="R544" t="s">
        <v>2414</v>
      </c>
      <c r="U544" t="s">
        <v>2415</v>
      </c>
      <c r="V544" t="s">
        <v>140</v>
      </c>
      <c r="W544" t="s">
        <v>212</v>
      </c>
      <c r="X544" t="s">
        <v>212</v>
      </c>
      <c r="Y544" t="s">
        <v>213</v>
      </c>
      <c r="Z544" t="s">
        <v>213</v>
      </c>
      <c r="AA544" t="s">
        <v>214</v>
      </c>
      <c r="AB544" t="s">
        <v>701</v>
      </c>
      <c r="AC544" t="s">
        <v>242</v>
      </c>
      <c r="AD544" t="s">
        <v>216</v>
      </c>
      <c r="AE544" t="s">
        <v>217</v>
      </c>
      <c r="AG544" s="8" t="s">
        <v>218</v>
      </c>
      <c r="AH544" t="s">
        <v>219</v>
      </c>
      <c r="AI544" s="9" t="s">
        <v>218</v>
      </c>
      <c r="AJ544" s="9" t="s">
        <v>218</v>
      </c>
      <c r="AK544" t="s">
        <v>234</v>
      </c>
      <c r="AL544" s="9" t="s">
        <v>218</v>
      </c>
      <c r="AM544" s="8" t="s">
        <v>221</v>
      </c>
      <c r="AN544" s="8" t="s">
        <v>221</v>
      </c>
      <c r="AO544" s="8" t="s">
        <v>222</v>
      </c>
      <c r="AP544" s="8">
        <v>0</v>
      </c>
      <c r="AQ544" s="8">
        <v>0</v>
      </c>
      <c r="AR544" s="8">
        <v>0</v>
      </c>
      <c r="AS544" s="8">
        <v>0</v>
      </c>
      <c r="AT544" s="8">
        <v>0</v>
      </c>
      <c r="AU544" s="8">
        <v>0</v>
      </c>
      <c r="AV544" s="8">
        <v>0</v>
      </c>
      <c r="AW544" s="8">
        <v>0</v>
      </c>
      <c r="AX544" s="8"/>
      <c r="AY544" s="8"/>
      <c r="AZ544">
        <v>0</v>
      </c>
      <c r="BB544" t="s">
        <v>2416</v>
      </c>
    </row>
    <row r="545" spans="1:54">
      <c r="A545" s="6">
        <v>45807</v>
      </c>
      <c r="B545" s="7" t="s">
        <v>2417</v>
      </c>
      <c r="C545" t="s">
        <v>387</v>
      </c>
      <c r="D545" t="s">
        <v>2286</v>
      </c>
      <c r="G545" t="s">
        <v>207</v>
      </c>
      <c r="H545" s="8" t="s">
        <v>208</v>
      </c>
      <c r="I545" s="8" t="s">
        <v>208</v>
      </c>
      <c r="J545" s="8" t="s">
        <v>208</v>
      </c>
      <c r="K545" s="8" t="s">
        <v>208</v>
      </c>
      <c r="L545" s="8" t="s">
        <v>208</v>
      </c>
      <c r="M545" s="8" t="s">
        <v>208</v>
      </c>
      <c r="N545" s="8" t="s">
        <v>208</v>
      </c>
      <c r="O545" s="8" t="s">
        <v>208</v>
      </c>
      <c r="Q545" t="s">
        <v>2418</v>
      </c>
      <c r="R545" t="s">
        <v>2419</v>
      </c>
      <c r="U545" t="s">
        <v>2420</v>
      </c>
      <c r="V545" t="s">
        <v>635</v>
      </c>
      <c r="W545" t="s">
        <v>298</v>
      </c>
      <c r="X545" t="s">
        <v>298</v>
      </c>
      <c r="Y545" t="s">
        <v>299</v>
      </c>
      <c r="Z545" t="s">
        <v>299</v>
      </c>
      <c r="AA545" t="s">
        <v>636</v>
      </c>
      <c r="AB545" t="s">
        <v>301</v>
      </c>
      <c r="AC545" t="s">
        <v>312</v>
      </c>
      <c r="AD545" t="s">
        <v>216</v>
      </c>
      <c r="AE545" t="s">
        <v>636</v>
      </c>
      <c r="AG545" s="8" t="s">
        <v>218</v>
      </c>
      <c r="AH545" t="s">
        <v>302</v>
      </c>
      <c r="AI545" s="9" t="s">
        <v>218</v>
      </c>
      <c r="AJ545" s="9" t="s">
        <v>218</v>
      </c>
      <c r="AK545" t="s">
        <v>2421</v>
      </c>
      <c r="AL545" s="9" t="s">
        <v>218</v>
      </c>
      <c r="AM545" s="8" t="s">
        <v>221</v>
      </c>
      <c r="AN545" s="8" t="s">
        <v>221</v>
      </c>
      <c r="AO545" s="8" t="s">
        <v>222</v>
      </c>
      <c r="AP545" s="8">
        <v>0</v>
      </c>
      <c r="AQ545" s="8">
        <v>0</v>
      </c>
      <c r="AR545" s="8">
        <v>0</v>
      </c>
      <c r="AS545" s="8">
        <v>0</v>
      </c>
      <c r="AT545" s="8">
        <v>0</v>
      </c>
      <c r="AU545" s="8">
        <v>0</v>
      </c>
      <c r="AV545" s="8">
        <v>0</v>
      </c>
      <c r="AW545" s="8">
        <v>0</v>
      </c>
      <c r="AX545" s="8"/>
      <c r="AY545" s="8"/>
      <c r="AZ545">
        <v>0</v>
      </c>
      <c r="BB545" t="s">
        <v>2423</v>
      </c>
    </row>
    <row r="546" spans="1:54">
      <c r="A546" s="6">
        <v>45807</v>
      </c>
      <c r="B546" s="7" t="s">
        <v>2424</v>
      </c>
      <c r="C546" t="s">
        <v>205</v>
      </c>
      <c r="D546" t="s">
        <v>2286</v>
      </c>
      <c r="G546" t="s">
        <v>207</v>
      </c>
      <c r="H546" s="8" t="s">
        <v>208</v>
      </c>
      <c r="I546" s="8" t="s">
        <v>208</v>
      </c>
      <c r="J546" s="8" t="s">
        <v>208</v>
      </c>
      <c r="K546" s="8" t="s">
        <v>208</v>
      </c>
      <c r="L546" s="8" t="s">
        <v>208</v>
      </c>
      <c r="M546" s="8" t="s">
        <v>208</v>
      </c>
      <c r="N546" s="8" t="s">
        <v>208</v>
      </c>
      <c r="O546" s="8" t="s">
        <v>208</v>
      </c>
      <c r="Q546" t="s">
        <v>2425</v>
      </c>
      <c r="R546" t="s">
        <v>2426</v>
      </c>
      <c r="U546" t="s">
        <v>2427</v>
      </c>
      <c r="V546" t="s">
        <v>140</v>
      </c>
      <c r="W546" t="s">
        <v>774</v>
      </c>
      <c r="X546" t="s">
        <v>774</v>
      </c>
      <c r="Y546" t="s">
        <v>775</v>
      </c>
      <c r="Z546" t="s">
        <v>775</v>
      </c>
      <c r="AA546" t="s">
        <v>1164</v>
      </c>
      <c r="AB546" t="s">
        <v>301</v>
      </c>
      <c r="AC546" t="s">
        <v>312</v>
      </c>
      <c r="AD546" t="s">
        <v>216</v>
      </c>
      <c r="AE546" t="s">
        <v>2259</v>
      </c>
      <c r="AG546" s="8" t="s">
        <v>218</v>
      </c>
      <c r="AH546" t="s">
        <v>219</v>
      </c>
      <c r="AI546" s="9" t="s">
        <v>218</v>
      </c>
      <c r="AJ546" s="9" t="s">
        <v>218</v>
      </c>
      <c r="AK546" t="s">
        <v>234</v>
      </c>
      <c r="AL546" s="9" t="s">
        <v>218</v>
      </c>
      <c r="AM546" s="8" t="s">
        <v>221</v>
      </c>
      <c r="AN546" s="8" t="s">
        <v>221</v>
      </c>
      <c r="AO546" s="8" t="s">
        <v>222</v>
      </c>
      <c r="AP546" s="8">
        <v>0</v>
      </c>
      <c r="AQ546" s="8">
        <v>0</v>
      </c>
      <c r="AR546" s="8">
        <v>0</v>
      </c>
      <c r="AS546" s="8">
        <v>0</v>
      </c>
      <c r="AT546" s="8">
        <v>0</v>
      </c>
      <c r="AU546" s="8">
        <v>0</v>
      </c>
      <c r="AV546" s="8">
        <v>0</v>
      </c>
      <c r="AW546" s="8">
        <v>0</v>
      </c>
      <c r="AX546" s="8"/>
      <c r="AY546" s="8"/>
      <c r="AZ546">
        <v>0</v>
      </c>
      <c r="BB546" t="s">
        <v>2429</v>
      </c>
    </row>
    <row r="547" spans="1:54">
      <c r="A547" s="6">
        <v>45807</v>
      </c>
      <c r="B547" s="7" t="s">
        <v>2430</v>
      </c>
      <c r="C547" t="s">
        <v>205</v>
      </c>
      <c r="D547" t="s">
        <v>2286</v>
      </c>
      <c r="G547" t="s">
        <v>207</v>
      </c>
      <c r="H547" s="8" t="s">
        <v>208</v>
      </c>
      <c r="I547" s="8" t="s">
        <v>208</v>
      </c>
      <c r="J547" s="8" t="s">
        <v>208</v>
      </c>
      <c r="K547" s="8" t="s">
        <v>208</v>
      </c>
      <c r="L547" s="8" t="s">
        <v>208</v>
      </c>
      <c r="M547" s="8" t="s">
        <v>208</v>
      </c>
      <c r="N547" s="8" t="s">
        <v>208</v>
      </c>
      <c r="O547" s="8" t="s">
        <v>208</v>
      </c>
      <c r="Q547" t="s">
        <v>2431</v>
      </c>
      <c r="R547" t="s">
        <v>2432</v>
      </c>
      <c r="U547" t="s">
        <v>2427</v>
      </c>
      <c r="V547" t="s">
        <v>140</v>
      </c>
      <c r="W547" t="s">
        <v>774</v>
      </c>
      <c r="X547" t="s">
        <v>774</v>
      </c>
      <c r="Y547" t="s">
        <v>775</v>
      </c>
      <c r="Z547" t="s">
        <v>775</v>
      </c>
      <c r="AA547" t="s">
        <v>1164</v>
      </c>
      <c r="AB547" t="s">
        <v>391</v>
      </c>
      <c r="AC547" t="s">
        <v>425</v>
      </c>
      <c r="AD547" t="s">
        <v>216</v>
      </c>
      <c r="AE547" t="s">
        <v>2259</v>
      </c>
      <c r="AG547" s="8" t="s">
        <v>218</v>
      </c>
      <c r="AH547" t="s">
        <v>219</v>
      </c>
      <c r="AI547" s="9" t="s">
        <v>218</v>
      </c>
      <c r="AJ547" s="9" t="s">
        <v>218</v>
      </c>
      <c r="AK547" t="s">
        <v>234</v>
      </c>
      <c r="AL547" s="9" t="s">
        <v>218</v>
      </c>
      <c r="AM547" s="8" t="s">
        <v>221</v>
      </c>
      <c r="AN547" s="8" t="s">
        <v>221</v>
      </c>
      <c r="AO547" s="8" t="s">
        <v>222</v>
      </c>
      <c r="AP547" s="8">
        <v>0</v>
      </c>
      <c r="AQ547" s="8">
        <v>0</v>
      </c>
      <c r="AR547" s="8">
        <v>0</v>
      </c>
      <c r="AS547" s="8">
        <v>0</v>
      </c>
      <c r="AT547" s="8">
        <v>0</v>
      </c>
      <c r="AU547" s="8">
        <v>0</v>
      </c>
      <c r="AV547" s="8">
        <v>0</v>
      </c>
      <c r="AW547" s="8">
        <v>0</v>
      </c>
      <c r="AX547" s="8"/>
      <c r="AY547" s="8"/>
      <c r="AZ547">
        <v>0</v>
      </c>
      <c r="BB547" t="s">
        <v>2433</v>
      </c>
    </row>
    <row r="548" spans="1:54">
      <c r="A548" s="6">
        <v>45807</v>
      </c>
      <c r="B548" s="7" t="s">
        <v>2434</v>
      </c>
      <c r="C548" t="s">
        <v>205</v>
      </c>
      <c r="D548" t="s">
        <v>2286</v>
      </c>
      <c r="G548" t="s">
        <v>207</v>
      </c>
      <c r="H548" s="8" t="s">
        <v>208</v>
      </c>
      <c r="I548" s="8" t="s">
        <v>208</v>
      </c>
      <c r="J548" s="8" t="s">
        <v>208</v>
      </c>
      <c r="K548" s="8" t="s">
        <v>208</v>
      </c>
      <c r="L548" s="8" t="s">
        <v>208</v>
      </c>
      <c r="M548" s="8" t="s">
        <v>208</v>
      </c>
      <c r="N548" s="8" t="s">
        <v>208</v>
      </c>
      <c r="O548" s="8" t="s">
        <v>208</v>
      </c>
      <c r="Q548" t="s">
        <v>2435</v>
      </c>
      <c r="R548" t="s">
        <v>2436</v>
      </c>
      <c r="U548" t="s">
        <v>2437</v>
      </c>
      <c r="V548" t="s">
        <v>135</v>
      </c>
      <c r="W548" t="s">
        <v>212</v>
      </c>
      <c r="X548" t="s">
        <v>212</v>
      </c>
      <c r="Y548" t="s">
        <v>213</v>
      </c>
      <c r="Z548" t="s">
        <v>213</v>
      </c>
      <c r="AA548" t="s">
        <v>214</v>
      </c>
      <c r="AB548" t="s">
        <v>701</v>
      </c>
      <c r="AC548" t="s">
        <v>242</v>
      </c>
      <c r="AD548" t="s">
        <v>216</v>
      </c>
      <c r="AE548" t="s">
        <v>217</v>
      </c>
      <c r="AG548" s="8" t="s">
        <v>218</v>
      </c>
      <c r="AH548" t="s">
        <v>219</v>
      </c>
      <c r="AI548" s="9" t="s">
        <v>218</v>
      </c>
      <c r="AJ548" s="9" t="s">
        <v>218</v>
      </c>
      <c r="AK548" t="s">
        <v>234</v>
      </c>
      <c r="AL548" s="9" t="s">
        <v>218</v>
      </c>
      <c r="AM548" s="8" t="s">
        <v>221</v>
      </c>
      <c r="AN548" s="8" t="s">
        <v>221</v>
      </c>
      <c r="AO548" s="8" t="s">
        <v>222</v>
      </c>
      <c r="AP548" s="8">
        <v>0</v>
      </c>
      <c r="AQ548" s="8">
        <v>0</v>
      </c>
      <c r="AR548" s="9">
        <v>13</v>
      </c>
      <c r="AS548" s="8">
        <v>0</v>
      </c>
      <c r="AT548" s="8">
        <v>0</v>
      </c>
      <c r="AU548" s="8">
        <v>0</v>
      </c>
      <c r="AV548" s="8">
        <v>0</v>
      </c>
      <c r="AW548" s="9">
        <v>13</v>
      </c>
      <c r="AX548" s="8"/>
      <c r="AY548" s="8"/>
      <c r="AZ548">
        <v>0</v>
      </c>
      <c r="BB548" t="s">
        <v>2438</v>
      </c>
    </row>
    <row r="549" spans="1:54">
      <c r="A549" s="6">
        <v>45807</v>
      </c>
      <c r="B549" s="7" t="s">
        <v>2439</v>
      </c>
      <c r="C549" t="s">
        <v>387</v>
      </c>
      <c r="D549" t="s">
        <v>2286</v>
      </c>
      <c r="G549" t="s">
        <v>207</v>
      </c>
      <c r="H549" s="8" t="s">
        <v>208</v>
      </c>
      <c r="I549" s="8" t="s">
        <v>208</v>
      </c>
      <c r="J549" s="8" t="s">
        <v>208</v>
      </c>
      <c r="K549" s="8" t="s">
        <v>208</v>
      </c>
      <c r="L549" s="8" t="s">
        <v>208</v>
      </c>
      <c r="M549" s="8" t="s">
        <v>208</v>
      </c>
      <c r="N549" s="8" t="s">
        <v>208</v>
      </c>
      <c r="O549" s="8" t="s">
        <v>208</v>
      </c>
      <c r="Q549" t="s">
        <v>2440</v>
      </c>
      <c r="R549" t="s">
        <v>2441</v>
      </c>
      <c r="U549" t="s">
        <v>2442</v>
      </c>
      <c r="V549" t="s">
        <v>662</v>
      </c>
      <c r="W549" t="s">
        <v>298</v>
      </c>
      <c r="X549" t="s">
        <v>298</v>
      </c>
      <c r="Y549" t="s">
        <v>1103</v>
      </c>
      <c r="Z549" t="s">
        <v>299</v>
      </c>
      <c r="AA549" t="s">
        <v>663</v>
      </c>
      <c r="AB549" t="s">
        <v>827</v>
      </c>
      <c r="AC549" t="s">
        <v>538</v>
      </c>
      <c r="AD549" t="s">
        <v>216</v>
      </c>
      <c r="AE549" t="s">
        <v>663</v>
      </c>
      <c r="AG549" s="9" t="s">
        <v>221</v>
      </c>
      <c r="AH549" t="s">
        <v>302</v>
      </c>
      <c r="AI549" s="9" t="s">
        <v>218</v>
      </c>
      <c r="AJ549" s="9" t="s">
        <v>218</v>
      </c>
      <c r="AK549" t="s">
        <v>234</v>
      </c>
      <c r="AL549" s="8" t="s">
        <v>221</v>
      </c>
      <c r="AM549" s="9" t="s">
        <v>218</v>
      </c>
      <c r="AN549" s="8" t="s">
        <v>221</v>
      </c>
      <c r="AO549" s="8" t="s">
        <v>222</v>
      </c>
      <c r="AP549" s="8">
        <v>0</v>
      </c>
      <c r="AQ549" s="9">
        <v>1</v>
      </c>
      <c r="AR549" s="9">
        <v>26</v>
      </c>
      <c r="AS549" s="8">
        <v>0</v>
      </c>
      <c r="AT549" s="8">
        <v>0</v>
      </c>
      <c r="AU549" s="8">
        <v>0</v>
      </c>
      <c r="AV549" s="9">
        <v>1</v>
      </c>
      <c r="AW549" s="9">
        <v>28</v>
      </c>
      <c r="AX549" s="9" t="s">
        <v>2443</v>
      </c>
      <c r="AY549" s="9" t="s">
        <v>2444</v>
      </c>
      <c r="AZ549">
        <v>2</v>
      </c>
      <c r="BA549" t="s">
        <v>2555</v>
      </c>
      <c r="BB549" t="s">
        <v>2445</v>
      </c>
    </row>
    <row r="550" spans="1:54">
      <c r="A550" s="6">
        <v>45807</v>
      </c>
      <c r="B550" s="7" t="s">
        <v>2446</v>
      </c>
      <c r="C550" t="s">
        <v>387</v>
      </c>
      <c r="D550" t="s">
        <v>2286</v>
      </c>
      <c r="G550" t="s">
        <v>207</v>
      </c>
      <c r="H550" s="8" t="s">
        <v>208</v>
      </c>
      <c r="I550" s="8" t="s">
        <v>208</v>
      </c>
      <c r="J550" s="8" t="s">
        <v>208</v>
      </c>
      <c r="K550" s="8" t="s">
        <v>208</v>
      </c>
      <c r="L550" s="8" t="s">
        <v>208</v>
      </c>
      <c r="M550" s="8" t="s">
        <v>208</v>
      </c>
      <c r="N550" s="8" t="s">
        <v>208</v>
      </c>
      <c r="O550" s="8" t="s">
        <v>208</v>
      </c>
      <c r="Q550" t="s">
        <v>2447</v>
      </c>
      <c r="R550" t="s">
        <v>2448</v>
      </c>
      <c r="U550" t="s">
        <v>2449</v>
      </c>
      <c r="V550" t="s">
        <v>662</v>
      </c>
      <c r="W550" t="s">
        <v>298</v>
      </c>
      <c r="X550" t="s">
        <v>298</v>
      </c>
      <c r="Y550" t="s">
        <v>299</v>
      </c>
      <c r="Z550" t="s">
        <v>299</v>
      </c>
      <c r="AA550" t="s">
        <v>663</v>
      </c>
      <c r="AB550" t="s">
        <v>391</v>
      </c>
      <c r="AC550" t="s">
        <v>425</v>
      </c>
      <c r="AD550" t="s">
        <v>216</v>
      </c>
      <c r="AE550" t="s">
        <v>663</v>
      </c>
      <c r="AG550" s="8" t="s">
        <v>218</v>
      </c>
      <c r="AH550" t="s">
        <v>302</v>
      </c>
      <c r="AI550" s="9" t="s">
        <v>218</v>
      </c>
      <c r="AJ550" s="9" t="s">
        <v>218</v>
      </c>
      <c r="AK550" t="s">
        <v>234</v>
      </c>
      <c r="AL550" s="9" t="s">
        <v>218</v>
      </c>
      <c r="AM550" s="8" t="s">
        <v>221</v>
      </c>
      <c r="AN550" s="8" t="s">
        <v>221</v>
      </c>
      <c r="AO550" s="8" t="s">
        <v>222</v>
      </c>
      <c r="AP550" s="8">
        <v>0</v>
      </c>
      <c r="AQ550" s="8">
        <v>0</v>
      </c>
      <c r="AR550" s="8">
        <v>0</v>
      </c>
      <c r="AS550" s="8">
        <v>0</v>
      </c>
      <c r="AT550" s="8">
        <v>0</v>
      </c>
      <c r="AU550" s="8">
        <v>0</v>
      </c>
      <c r="AV550" s="8">
        <v>0</v>
      </c>
      <c r="AW550" s="8">
        <v>0</v>
      </c>
      <c r="AX550" s="8"/>
      <c r="AY550" s="8"/>
      <c r="AZ550">
        <v>1</v>
      </c>
      <c r="BA550" t="s">
        <v>2556</v>
      </c>
      <c r="BB550" t="s">
        <v>2451</v>
      </c>
    </row>
    <row r="551" spans="1:54">
      <c r="A551" s="6">
        <v>45807</v>
      </c>
      <c r="B551" s="7" t="s">
        <v>2452</v>
      </c>
      <c r="C551" t="s">
        <v>387</v>
      </c>
      <c r="D551" t="s">
        <v>2286</v>
      </c>
      <c r="G551" t="s">
        <v>207</v>
      </c>
      <c r="H551" s="8" t="s">
        <v>208</v>
      </c>
      <c r="I551" s="8" t="s">
        <v>208</v>
      </c>
      <c r="J551" s="8" t="s">
        <v>208</v>
      </c>
      <c r="K551" s="8" t="s">
        <v>208</v>
      </c>
      <c r="L551" s="8" t="s">
        <v>208</v>
      </c>
      <c r="M551" s="8" t="s">
        <v>208</v>
      </c>
      <c r="N551" s="8" t="s">
        <v>208</v>
      </c>
      <c r="O551" s="8" t="s">
        <v>208</v>
      </c>
      <c r="Q551" t="s">
        <v>2453</v>
      </c>
      <c r="R551" t="s">
        <v>2454</v>
      </c>
      <c r="U551" t="s">
        <v>2455</v>
      </c>
      <c r="V551" t="s">
        <v>2456</v>
      </c>
      <c r="W551" t="s">
        <v>298</v>
      </c>
      <c r="X551" t="s">
        <v>298</v>
      </c>
      <c r="Y551" t="s">
        <v>299</v>
      </c>
      <c r="Z551" t="s">
        <v>299</v>
      </c>
      <c r="AA551" t="s">
        <v>645</v>
      </c>
      <c r="AB551" t="s">
        <v>425</v>
      </c>
      <c r="AC551" t="s">
        <v>312</v>
      </c>
      <c r="AD551" t="s">
        <v>216</v>
      </c>
      <c r="AE551" t="s">
        <v>645</v>
      </c>
      <c r="AG551" s="8" t="s">
        <v>218</v>
      </c>
      <c r="AH551" t="s">
        <v>302</v>
      </c>
      <c r="AI551" s="9" t="s">
        <v>218</v>
      </c>
      <c r="AJ551" s="9" t="s">
        <v>218</v>
      </c>
      <c r="AK551" t="s">
        <v>2457</v>
      </c>
      <c r="AL551" s="9" t="s">
        <v>218</v>
      </c>
      <c r="AM551" s="8" t="s">
        <v>221</v>
      </c>
      <c r="AN551" s="8" t="s">
        <v>221</v>
      </c>
      <c r="AO551" s="8" t="s">
        <v>222</v>
      </c>
      <c r="AP551" s="8">
        <v>0</v>
      </c>
      <c r="AQ551" s="8">
        <v>0</v>
      </c>
      <c r="AR551" s="9">
        <v>16</v>
      </c>
      <c r="AS551" s="8">
        <v>0</v>
      </c>
      <c r="AT551" s="8">
        <v>0</v>
      </c>
      <c r="AU551" s="8">
        <v>0</v>
      </c>
      <c r="AV551" s="8">
        <v>0</v>
      </c>
      <c r="AW551" s="9">
        <v>16</v>
      </c>
      <c r="AX551" s="8"/>
      <c r="AY551" s="8"/>
      <c r="AZ551">
        <v>0</v>
      </c>
      <c r="BB551" t="s">
        <v>2458</v>
      </c>
    </row>
    <row r="552" spans="1:54">
      <c r="A552" s="6">
        <v>45807</v>
      </c>
      <c r="B552" s="7" t="s">
        <v>2459</v>
      </c>
      <c r="C552" t="s">
        <v>205</v>
      </c>
      <c r="D552" t="s">
        <v>2254</v>
      </c>
      <c r="G552" t="s">
        <v>207</v>
      </c>
      <c r="H552" s="8" t="s">
        <v>208</v>
      </c>
      <c r="I552" s="8" t="s">
        <v>208</v>
      </c>
      <c r="J552" s="8" t="s">
        <v>208</v>
      </c>
      <c r="K552" s="8" t="s">
        <v>208</v>
      </c>
      <c r="L552" s="8" t="s">
        <v>208</v>
      </c>
      <c r="M552" s="8" t="s">
        <v>208</v>
      </c>
      <c r="N552" s="8" t="s">
        <v>208</v>
      </c>
      <c r="O552" s="8" t="s">
        <v>208</v>
      </c>
      <c r="Q552" t="s">
        <v>2460</v>
      </c>
      <c r="R552" t="s">
        <v>2461</v>
      </c>
      <c r="U552" t="s">
        <v>2462</v>
      </c>
      <c r="V552" t="s">
        <v>14</v>
      </c>
      <c r="W552" t="s">
        <v>774</v>
      </c>
      <c r="X552" t="s">
        <v>774</v>
      </c>
      <c r="Y552" t="s">
        <v>775</v>
      </c>
      <c r="Z552" t="s">
        <v>775</v>
      </c>
      <c r="AA552" t="s">
        <v>214</v>
      </c>
      <c r="AB552" t="s">
        <v>408</v>
      </c>
      <c r="AC552" t="s">
        <v>391</v>
      </c>
      <c r="AD552" t="s">
        <v>216</v>
      </c>
      <c r="AE552" t="s">
        <v>217</v>
      </c>
      <c r="AG552" s="8" t="s">
        <v>218</v>
      </c>
      <c r="AH552" t="s">
        <v>219</v>
      </c>
      <c r="AI552" s="9" t="s">
        <v>218</v>
      </c>
      <c r="AJ552" s="9" t="s">
        <v>218</v>
      </c>
      <c r="AK552" t="s">
        <v>234</v>
      </c>
      <c r="AL552" s="9" t="s">
        <v>218</v>
      </c>
      <c r="AM552" s="8" t="s">
        <v>221</v>
      </c>
      <c r="AN552" s="8" t="s">
        <v>221</v>
      </c>
      <c r="AO552" s="8" t="s">
        <v>222</v>
      </c>
      <c r="AP552" s="8">
        <v>0</v>
      </c>
      <c r="AQ552" s="8">
        <v>0</v>
      </c>
      <c r="AR552" s="8">
        <v>0</v>
      </c>
      <c r="AS552" s="8">
        <v>0</v>
      </c>
      <c r="AT552" s="8">
        <v>0</v>
      </c>
      <c r="AU552" s="8">
        <v>0</v>
      </c>
      <c r="AV552" s="8">
        <v>0</v>
      </c>
      <c r="AW552" s="8">
        <v>0</v>
      </c>
      <c r="AX552" s="8"/>
      <c r="AY552" s="8"/>
      <c r="AZ552">
        <v>0</v>
      </c>
      <c r="BB552" t="s">
        <v>2463</v>
      </c>
    </row>
    <row r="553" spans="1:54">
      <c r="A553" s="6">
        <v>45807</v>
      </c>
      <c r="B553" s="7" t="s">
        <v>2464</v>
      </c>
      <c r="C553" t="s">
        <v>205</v>
      </c>
      <c r="D553" t="s">
        <v>2254</v>
      </c>
      <c r="G553" t="s">
        <v>207</v>
      </c>
      <c r="H553" s="8" t="s">
        <v>208</v>
      </c>
      <c r="I553" s="8" t="s">
        <v>208</v>
      </c>
      <c r="J553" s="8" t="s">
        <v>208</v>
      </c>
      <c r="K553" s="8" t="s">
        <v>208</v>
      </c>
      <c r="L553" s="8" t="s">
        <v>208</v>
      </c>
      <c r="M553" s="8" t="s">
        <v>208</v>
      </c>
      <c r="N553" s="8" t="s">
        <v>208</v>
      </c>
      <c r="O553" s="8" t="s">
        <v>208</v>
      </c>
      <c r="Q553" t="s">
        <v>2465</v>
      </c>
      <c r="R553" t="s">
        <v>2466</v>
      </c>
      <c r="U553" t="s">
        <v>2467</v>
      </c>
      <c r="V553" t="s">
        <v>140</v>
      </c>
      <c r="W553" t="s">
        <v>774</v>
      </c>
      <c r="Y553" t="s">
        <v>775</v>
      </c>
      <c r="AA553" t="s">
        <v>214</v>
      </c>
      <c r="AB553" t="s">
        <v>465</v>
      </c>
      <c r="AD553" t="s">
        <v>216</v>
      </c>
      <c r="AE553" t="s">
        <v>217</v>
      </c>
      <c r="AG553" s="8" t="s">
        <v>218</v>
      </c>
      <c r="AH553" t="s">
        <v>219</v>
      </c>
      <c r="AI553" s="9" t="s">
        <v>218</v>
      </c>
      <c r="AJ553" s="9" t="s">
        <v>218</v>
      </c>
      <c r="AK553" t="s">
        <v>234</v>
      </c>
      <c r="AL553" s="9" t="s">
        <v>218</v>
      </c>
      <c r="AM553" s="8" t="s">
        <v>221</v>
      </c>
      <c r="AN553" s="8" t="s">
        <v>221</v>
      </c>
      <c r="AO553" s="8" t="s">
        <v>222</v>
      </c>
      <c r="AP553" s="8">
        <v>0</v>
      </c>
      <c r="AQ553" s="8">
        <v>0</v>
      </c>
      <c r="AR553" s="8">
        <v>0</v>
      </c>
      <c r="AS553" s="8">
        <v>0</v>
      </c>
      <c r="AT553" s="8">
        <v>0</v>
      </c>
      <c r="AU553" s="8">
        <v>0</v>
      </c>
      <c r="AV553" s="8">
        <v>0</v>
      </c>
      <c r="AW553" s="8">
        <v>0</v>
      </c>
      <c r="AX553" s="8"/>
      <c r="AY553" s="8"/>
      <c r="AZ553">
        <v>0</v>
      </c>
    </row>
    <row r="554" spans="1:54">
      <c r="A554" s="6">
        <v>45807</v>
      </c>
      <c r="B554" s="7" t="s">
        <v>2468</v>
      </c>
      <c r="C554" t="s">
        <v>205</v>
      </c>
      <c r="D554" t="s">
        <v>2254</v>
      </c>
      <c r="G554" t="s">
        <v>207</v>
      </c>
      <c r="H554" s="8" t="s">
        <v>208</v>
      </c>
      <c r="I554" s="8" t="s">
        <v>208</v>
      </c>
      <c r="J554" s="8" t="s">
        <v>208</v>
      </c>
      <c r="K554" s="8" t="s">
        <v>208</v>
      </c>
      <c r="L554" s="8" t="s">
        <v>208</v>
      </c>
      <c r="M554" s="8" t="s">
        <v>208</v>
      </c>
      <c r="N554" s="8" t="s">
        <v>208</v>
      </c>
      <c r="O554" s="8" t="s">
        <v>208</v>
      </c>
      <c r="Q554" t="s">
        <v>2469</v>
      </c>
      <c r="R554" t="s">
        <v>2470</v>
      </c>
      <c r="U554" t="s">
        <v>2471</v>
      </c>
      <c r="V554" t="s">
        <v>140</v>
      </c>
      <c r="W554" t="s">
        <v>212</v>
      </c>
      <c r="Y554" t="s">
        <v>213</v>
      </c>
      <c r="AA554" t="s">
        <v>214</v>
      </c>
      <c r="AB554" t="s">
        <v>701</v>
      </c>
      <c r="AD554" t="s">
        <v>216</v>
      </c>
      <c r="AE554" t="s">
        <v>217</v>
      </c>
      <c r="AG554" s="9" t="s">
        <v>221</v>
      </c>
      <c r="AH554" t="s">
        <v>219</v>
      </c>
      <c r="AI554" s="9" t="s">
        <v>218</v>
      </c>
      <c r="AJ554" s="9" t="s">
        <v>218</v>
      </c>
      <c r="AK554" t="s">
        <v>234</v>
      </c>
      <c r="AL554" s="9" t="s">
        <v>218</v>
      </c>
      <c r="AM554" s="8" t="s">
        <v>221</v>
      </c>
      <c r="AN554" s="8" t="s">
        <v>221</v>
      </c>
      <c r="AO554" s="8" t="s">
        <v>222</v>
      </c>
      <c r="AP554" s="8">
        <v>0</v>
      </c>
      <c r="AQ554" s="8">
        <v>0</v>
      </c>
      <c r="AR554" s="8">
        <v>0</v>
      </c>
      <c r="AS554" s="8">
        <v>0</v>
      </c>
      <c r="AT554" s="8">
        <v>0</v>
      </c>
      <c r="AU554" s="8">
        <v>0</v>
      </c>
      <c r="AV554" s="8">
        <v>0</v>
      </c>
      <c r="AW554" s="8">
        <v>0</v>
      </c>
      <c r="AX554" s="8"/>
      <c r="AY554" s="8"/>
      <c r="AZ554">
        <v>0</v>
      </c>
    </row>
    <row r="555" spans="1:54">
      <c r="A555" s="6">
        <v>45807</v>
      </c>
      <c r="B555" s="7" t="s">
        <v>2472</v>
      </c>
      <c r="C555" t="s">
        <v>205</v>
      </c>
      <c r="D555" t="s">
        <v>2254</v>
      </c>
      <c r="G555" t="s">
        <v>207</v>
      </c>
      <c r="H555" s="8" t="s">
        <v>208</v>
      </c>
      <c r="I555" s="8" t="s">
        <v>208</v>
      </c>
      <c r="J555" s="8" t="s">
        <v>208</v>
      </c>
      <c r="K555" s="8" t="s">
        <v>208</v>
      </c>
      <c r="L555" s="8" t="s">
        <v>208</v>
      </c>
      <c r="M555" s="8" t="s">
        <v>208</v>
      </c>
      <c r="N555" s="8" t="s">
        <v>208</v>
      </c>
      <c r="O555" s="8" t="s">
        <v>208</v>
      </c>
      <c r="Q555" t="s">
        <v>2473</v>
      </c>
      <c r="R555" t="s">
        <v>2474</v>
      </c>
      <c r="U555" t="s">
        <v>2475</v>
      </c>
      <c r="V555" t="s">
        <v>140</v>
      </c>
      <c r="W555" t="s">
        <v>212</v>
      </c>
      <c r="Y555" t="s">
        <v>213</v>
      </c>
      <c r="AA555" t="s">
        <v>214</v>
      </c>
      <c r="AB555" t="s">
        <v>758</v>
      </c>
      <c r="AD555" t="s">
        <v>216</v>
      </c>
      <c r="AE555" t="s">
        <v>217</v>
      </c>
      <c r="AG555" s="8" t="s">
        <v>218</v>
      </c>
      <c r="AH555" t="s">
        <v>219</v>
      </c>
      <c r="AI555" s="9" t="s">
        <v>218</v>
      </c>
      <c r="AJ555" s="9" t="s">
        <v>218</v>
      </c>
      <c r="AK555" t="s">
        <v>234</v>
      </c>
      <c r="AL555" s="9" t="s">
        <v>218</v>
      </c>
      <c r="AM555" s="8" t="s">
        <v>221</v>
      </c>
      <c r="AN555" s="8" t="s">
        <v>221</v>
      </c>
      <c r="AO555" s="8" t="s">
        <v>222</v>
      </c>
      <c r="AP555" s="8">
        <v>0</v>
      </c>
      <c r="AQ555" s="8">
        <v>0</v>
      </c>
      <c r="AR555" s="8">
        <v>0</v>
      </c>
      <c r="AS555" s="8">
        <v>0</v>
      </c>
      <c r="AT555" s="8">
        <v>0</v>
      </c>
      <c r="AU555" s="8">
        <v>0</v>
      </c>
      <c r="AV555" s="8">
        <v>0</v>
      </c>
      <c r="AW555" s="8">
        <v>0</v>
      </c>
      <c r="AX555" s="8"/>
      <c r="AY555" s="8"/>
      <c r="AZ555">
        <v>0</v>
      </c>
    </row>
    <row r="556" spans="1:54">
      <c r="A556" s="6">
        <v>45807</v>
      </c>
      <c r="B556" s="7" t="s">
        <v>2476</v>
      </c>
      <c r="C556" t="s">
        <v>205</v>
      </c>
      <c r="D556" t="s">
        <v>2254</v>
      </c>
      <c r="G556" t="s">
        <v>207</v>
      </c>
      <c r="H556" s="8" t="s">
        <v>208</v>
      </c>
      <c r="I556" s="8" t="s">
        <v>208</v>
      </c>
      <c r="J556" s="8" t="s">
        <v>208</v>
      </c>
      <c r="K556" s="8" t="s">
        <v>208</v>
      </c>
      <c r="L556" s="8" t="s">
        <v>208</v>
      </c>
      <c r="M556" s="8" t="s">
        <v>208</v>
      </c>
      <c r="N556" s="8" t="s">
        <v>208</v>
      </c>
      <c r="O556" s="8" t="s">
        <v>208</v>
      </c>
      <c r="Q556" t="s">
        <v>2477</v>
      </c>
      <c r="R556" t="s">
        <v>2478</v>
      </c>
      <c r="U556" t="s">
        <v>2479</v>
      </c>
      <c r="V556" t="s">
        <v>14</v>
      </c>
      <c r="W556" t="s">
        <v>774</v>
      </c>
      <c r="Y556" t="s">
        <v>775</v>
      </c>
      <c r="AA556" t="s">
        <v>214</v>
      </c>
      <c r="AB556" t="s">
        <v>301</v>
      </c>
      <c r="AD556" t="s">
        <v>216</v>
      </c>
      <c r="AE556" t="s">
        <v>217</v>
      </c>
      <c r="AG556" s="8" t="s">
        <v>218</v>
      </c>
      <c r="AH556" t="s">
        <v>219</v>
      </c>
      <c r="AI556" s="9" t="s">
        <v>218</v>
      </c>
      <c r="AJ556" s="9" t="s">
        <v>218</v>
      </c>
      <c r="AK556" t="s">
        <v>2480</v>
      </c>
      <c r="AL556" s="9" t="s">
        <v>218</v>
      </c>
      <c r="AM556" s="8" t="s">
        <v>221</v>
      </c>
      <c r="AN556" s="8" t="s">
        <v>221</v>
      </c>
      <c r="AO556" s="8" t="s">
        <v>222</v>
      </c>
      <c r="AP556" s="8">
        <v>0</v>
      </c>
      <c r="AQ556" s="8">
        <v>0</v>
      </c>
      <c r="AR556" s="8">
        <v>0</v>
      </c>
      <c r="AS556" s="8">
        <v>0</v>
      </c>
      <c r="AT556" s="8">
        <v>0</v>
      </c>
      <c r="AU556" s="8">
        <v>0</v>
      </c>
      <c r="AV556" s="8">
        <v>0</v>
      </c>
      <c r="AW556" s="8">
        <v>0</v>
      </c>
      <c r="AX556" s="8"/>
      <c r="AY556" s="8"/>
      <c r="AZ556">
        <v>0</v>
      </c>
    </row>
    <row r="557" spans="1:54">
      <c r="A557" s="6">
        <v>45807</v>
      </c>
      <c r="B557" s="7" t="s">
        <v>2481</v>
      </c>
      <c r="C557" t="s">
        <v>205</v>
      </c>
      <c r="D557" t="s">
        <v>2254</v>
      </c>
      <c r="G557" t="s">
        <v>207</v>
      </c>
      <c r="H557" s="8" t="s">
        <v>208</v>
      </c>
      <c r="I557" s="8" t="s">
        <v>208</v>
      </c>
      <c r="J557" s="8" t="s">
        <v>208</v>
      </c>
      <c r="K557" s="8" t="s">
        <v>208</v>
      </c>
      <c r="L557" s="8" t="s">
        <v>208</v>
      </c>
      <c r="M557" s="8" t="s">
        <v>208</v>
      </c>
      <c r="N557" s="8" t="s">
        <v>208</v>
      </c>
      <c r="O557" s="8" t="s">
        <v>208</v>
      </c>
      <c r="Q557" t="s">
        <v>2482</v>
      </c>
      <c r="R557" t="s">
        <v>2483</v>
      </c>
      <c r="U557" t="s">
        <v>2484</v>
      </c>
      <c r="V557" t="s">
        <v>14</v>
      </c>
      <c r="W557" t="s">
        <v>774</v>
      </c>
      <c r="Y557" t="s">
        <v>775</v>
      </c>
      <c r="AA557" t="s">
        <v>214</v>
      </c>
      <c r="AB557" t="s">
        <v>301</v>
      </c>
      <c r="AD557" t="s">
        <v>216</v>
      </c>
      <c r="AE557" t="s">
        <v>217</v>
      </c>
      <c r="AG557" s="8" t="s">
        <v>218</v>
      </c>
      <c r="AH557" t="s">
        <v>219</v>
      </c>
      <c r="AI557" s="9" t="s">
        <v>218</v>
      </c>
      <c r="AJ557" s="9" t="s">
        <v>218</v>
      </c>
      <c r="AK557" t="s">
        <v>2480</v>
      </c>
      <c r="AL557" s="9" t="s">
        <v>218</v>
      </c>
      <c r="AM557" s="8" t="s">
        <v>221</v>
      </c>
      <c r="AN557" s="8" t="s">
        <v>221</v>
      </c>
      <c r="AO557" s="8" t="s">
        <v>222</v>
      </c>
      <c r="AP557" s="8">
        <v>0</v>
      </c>
      <c r="AQ557" s="8">
        <v>0</v>
      </c>
      <c r="AR557" s="8">
        <v>0</v>
      </c>
      <c r="AS557" s="8">
        <v>0</v>
      </c>
      <c r="AT557" s="8">
        <v>0</v>
      </c>
      <c r="AU557" s="8">
        <v>0</v>
      </c>
      <c r="AV557" s="8">
        <v>0</v>
      </c>
      <c r="AW557" s="8">
        <v>0</v>
      </c>
      <c r="AX557" s="8"/>
      <c r="AY557" s="8"/>
      <c r="AZ557">
        <v>0</v>
      </c>
    </row>
    <row r="558" spans="1:54">
      <c r="A558" s="6">
        <v>45807</v>
      </c>
      <c r="B558" s="7" t="s">
        <v>2485</v>
      </c>
      <c r="C558" t="s">
        <v>205</v>
      </c>
      <c r="D558" t="s">
        <v>2254</v>
      </c>
      <c r="G558" t="s">
        <v>207</v>
      </c>
      <c r="H558" s="8" t="s">
        <v>208</v>
      </c>
      <c r="I558" s="8" t="s">
        <v>208</v>
      </c>
      <c r="J558" s="8" t="s">
        <v>208</v>
      </c>
      <c r="K558" s="8" t="s">
        <v>208</v>
      </c>
      <c r="L558" s="8" t="s">
        <v>208</v>
      </c>
      <c r="M558" s="8" t="s">
        <v>208</v>
      </c>
      <c r="N558" s="8" t="s">
        <v>208</v>
      </c>
      <c r="O558" s="8" t="s">
        <v>221</v>
      </c>
      <c r="Q558" t="s">
        <v>2486</v>
      </c>
      <c r="R558" t="s">
        <v>2487</v>
      </c>
      <c r="U558" t="s">
        <v>2488</v>
      </c>
      <c r="V558" t="s">
        <v>140</v>
      </c>
      <c r="W558" t="s">
        <v>212</v>
      </c>
      <c r="Y558" t="s">
        <v>213</v>
      </c>
      <c r="AA558" t="s">
        <v>214</v>
      </c>
      <c r="AB558" t="s">
        <v>701</v>
      </c>
      <c r="AD558" t="s">
        <v>216</v>
      </c>
      <c r="AE558" t="s">
        <v>217</v>
      </c>
      <c r="AG558" s="8" t="s">
        <v>218</v>
      </c>
      <c r="AH558" t="s">
        <v>219</v>
      </c>
      <c r="AI558" s="9" t="s">
        <v>218</v>
      </c>
      <c r="AJ558" s="9" t="s">
        <v>218</v>
      </c>
      <c r="AK558" t="s">
        <v>234</v>
      </c>
      <c r="AL558" s="9" t="s">
        <v>218</v>
      </c>
      <c r="AM558" s="8" t="s">
        <v>221</v>
      </c>
      <c r="AN558" s="8" t="s">
        <v>221</v>
      </c>
      <c r="AO558" s="8" t="s">
        <v>222</v>
      </c>
      <c r="AP558" s="8">
        <v>0</v>
      </c>
      <c r="AQ558" s="8">
        <v>0</v>
      </c>
      <c r="AR558" s="8">
        <v>0</v>
      </c>
      <c r="AS558" s="8">
        <v>0</v>
      </c>
      <c r="AT558" s="8">
        <v>0</v>
      </c>
      <c r="AU558" s="8">
        <v>0</v>
      </c>
      <c r="AV558" s="8">
        <v>0</v>
      </c>
      <c r="AW558" s="8">
        <v>0</v>
      </c>
      <c r="AX558" s="8"/>
      <c r="AY558" s="8"/>
      <c r="AZ558">
        <v>0</v>
      </c>
    </row>
    <row r="559" spans="1:54">
      <c r="A559" s="6">
        <v>45807</v>
      </c>
      <c r="B559" s="7" t="s">
        <v>2489</v>
      </c>
      <c r="C559" t="s">
        <v>205</v>
      </c>
      <c r="D559" t="s">
        <v>2254</v>
      </c>
      <c r="G559" t="s">
        <v>207</v>
      </c>
      <c r="H559" s="8" t="s">
        <v>208</v>
      </c>
      <c r="I559" s="8" t="s">
        <v>208</v>
      </c>
      <c r="J559" s="8" t="s">
        <v>208</v>
      </c>
      <c r="K559" s="8" t="s">
        <v>208</v>
      </c>
      <c r="L559" s="8" t="s">
        <v>208</v>
      </c>
      <c r="M559" s="8" t="s">
        <v>208</v>
      </c>
      <c r="N559" s="8" t="s">
        <v>208</v>
      </c>
      <c r="O559" s="8" t="s">
        <v>221</v>
      </c>
      <c r="Q559" t="s">
        <v>2490</v>
      </c>
      <c r="R559" t="s">
        <v>2491</v>
      </c>
      <c r="U559" t="s">
        <v>2492</v>
      </c>
      <c r="V559" t="s">
        <v>140</v>
      </c>
      <c r="W559" t="s">
        <v>212</v>
      </c>
      <c r="Y559" t="s">
        <v>213</v>
      </c>
      <c r="AA559" t="s">
        <v>214</v>
      </c>
      <c r="AB559" t="s">
        <v>701</v>
      </c>
      <c r="AD559" t="s">
        <v>216</v>
      </c>
      <c r="AE559" t="s">
        <v>217</v>
      </c>
      <c r="AG559" s="8" t="s">
        <v>218</v>
      </c>
      <c r="AH559" t="s">
        <v>219</v>
      </c>
      <c r="AI559" s="9" t="s">
        <v>218</v>
      </c>
      <c r="AJ559" s="9" t="s">
        <v>218</v>
      </c>
      <c r="AK559" t="s">
        <v>234</v>
      </c>
      <c r="AL559" s="9" t="s">
        <v>218</v>
      </c>
      <c r="AM559" s="8" t="s">
        <v>221</v>
      </c>
      <c r="AN559" s="8" t="s">
        <v>221</v>
      </c>
      <c r="AO559" s="8" t="s">
        <v>222</v>
      </c>
      <c r="AP559" s="8">
        <v>0</v>
      </c>
      <c r="AQ559" s="8">
        <v>0</v>
      </c>
      <c r="AR559" s="8">
        <v>0</v>
      </c>
      <c r="AS559" s="8">
        <v>0</v>
      </c>
      <c r="AT559" s="8">
        <v>0</v>
      </c>
      <c r="AU559" s="8">
        <v>0</v>
      </c>
      <c r="AV559" s="8">
        <v>0</v>
      </c>
      <c r="AW559" s="8">
        <v>0</v>
      </c>
      <c r="AX559" s="8"/>
      <c r="AY559" s="8"/>
      <c r="AZ559">
        <v>0</v>
      </c>
    </row>
    <row r="560" spans="1:54">
      <c r="A560" s="6">
        <v>45807</v>
      </c>
      <c r="B560" s="7" t="s">
        <v>2493</v>
      </c>
      <c r="C560" t="s">
        <v>205</v>
      </c>
      <c r="D560" t="s">
        <v>2254</v>
      </c>
      <c r="G560" t="s">
        <v>207</v>
      </c>
      <c r="H560" s="8" t="s">
        <v>208</v>
      </c>
      <c r="I560" s="8" t="s">
        <v>208</v>
      </c>
      <c r="J560" s="8" t="s">
        <v>208</v>
      </c>
      <c r="K560" s="8" t="s">
        <v>208</v>
      </c>
      <c r="L560" s="8" t="s">
        <v>208</v>
      </c>
      <c r="M560" s="8" t="s">
        <v>208</v>
      </c>
      <c r="N560" s="8" t="s">
        <v>208</v>
      </c>
      <c r="O560" s="8" t="s">
        <v>221</v>
      </c>
      <c r="Q560" t="s">
        <v>2494</v>
      </c>
      <c r="R560" t="s">
        <v>2495</v>
      </c>
      <c r="U560" t="s">
        <v>2496</v>
      </c>
      <c r="V560" t="s">
        <v>140</v>
      </c>
      <c r="W560" t="s">
        <v>212</v>
      </c>
      <c r="Y560" t="s">
        <v>213</v>
      </c>
      <c r="AA560" t="s">
        <v>214</v>
      </c>
      <c r="AB560" t="s">
        <v>701</v>
      </c>
      <c r="AD560" t="s">
        <v>216</v>
      </c>
      <c r="AE560" t="s">
        <v>217</v>
      </c>
      <c r="AG560" s="9" t="s">
        <v>221</v>
      </c>
      <c r="AH560" t="s">
        <v>219</v>
      </c>
      <c r="AI560" s="9" t="s">
        <v>218</v>
      </c>
      <c r="AJ560" s="9" t="s">
        <v>218</v>
      </c>
      <c r="AK560" t="s">
        <v>234</v>
      </c>
      <c r="AL560" s="9" t="s">
        <v>218</v>
      </c>
      <c r="AM560" s="8" t="s">
        <v>221</v>
      </c>
      <c r="AN560" s="8" t="s">
        <v>221</v>
      </c>
      <c r="AO560" s="8" t="s">
        <v>222</v>
      </c>
      <c r="AP560" s="8">
        <v>0</v>
      </c>
      <c r="AQ560" s="8">
        <v>0</v>
      </c>
      <c r="AR560" s="8">
        <v>0</v>
      </c>
      <c r="AS560" s="8">
        <v>0</v>
      </c>
      <c r="AT560" s="8">
        <v>0</v>
      </c>
      <c r="AU560" s="8">
        <v>0</v>
      </c>
      <c r="AV560" s="8">
        <v>0</v>
      </c>
      <c r="AW560" s="8">
        <v>0</v>
      </c>
      <c r="AX560" s="8"/>
      <c r="AY560" s="8"/>
      <c r="AZ560">
        <v>0</v>
      </c>
    </row>
    <row r="561" spans="1:54">
      <c r="A561" s="6">
        <v>45807</v>
      </c>
      <c r="B561" s="7" t="s">
        <v>2557</v>
      </c>
      <c r="C561" t="s">
        <v>714</v>
      </c>
      <c r="D561" t="s">
        <v>2254</v>
      </c>
      <c r="G561" t="s">
        <v>207</v>
      </c>
      <c r="H561" s="8" t="s">
        <v>208</v>
      </c>
      <c r="I561" s="8" t="s">
        <v>208</v>
      </c>
      <c r="J561" s="8" t="s">
        <v>208</v>
      </c>
      <c r="K561" s="8" t="s">
        <v>208</v>
      </c>
      <c r="L561" s="8" t="s">
        <v>208</v>
      </c>
      <c r="M561" s="8" t="s">
        <v>208</v>
      </c>
      <c r="N561" s="8" t="s">
        <v>208</v>
      </c>
      <c r="O561" s="8" t="s">
        <v>221</v>
      </c>
      <c r="P561" t="s">
        <v>2497</v>
      </c>
      <c r="Q561" t="s">
        <v>2558</v>
      </c>
      <c r="R561" t="s">
        <v>2559</v>
      </c>
      <c r="U561" t="s">
        <v>2560</v>
      </c>
      <c r="V561" t="s">
        <v>89</v>
      </c>
      <c r="W561" t="s">
        <v>298</v>
      </c>
      <c r="X561" t="s">
        <v>298</v>
      </c>
      <c r="Y561" t="s">
        <v>299</v>
      </c>
      <c r="Z561" t="s">
        <v>299</v>
      </c>
      <c r="AA561" t="s">
        <v>2561</v>
      </c>
      <c r="AB561" t="s">
        <v>301</v>
      </c>
      <c r="AC561" t="s">
        <v>301</v>
      </c>
      <c r="AD561" t="s">
        <v>216</v>
      </c>
      <c r="AE561" t="s">
        <v>2562</v>
      </c>
      <c r="AG561" s="8" t="s">
        <v>218</v>
      </c>
      <c r="AH561" t="s">
        <v>302</v>
      </c>
      <c r="AI561" s="9" t="s">
        <v>218</v>
      </c>
      <c r="AJ561" s="9" t="s">
        <v>218</v>
      </c>
      <c r="AK561" t="s">
        <v>2563</v>
      </c>
      <c r="AL561" s="9" t="s">
        <v>218</v>
      </c>
      <c r="AM561" s="8" t="s">
        <v>221</v>
      </c>
      <c r="AN561" s="8" t="s">
        <v>221</v>
      </c>
      <c r="AO561" s="8" t="s">
        <v>222</v>
      </c>
      <c r="AP561" s="8">
        <v>0</v>
      </c>
      <c r="AQ561" s="9">
        <v>1</v>
      </c>
      <c r="AR561" s="8">
        <v>0</v>
      </c>
      <c r="AS561" s="8">
        <v>0</v>
      </c>
      <c r="AT561" s="8">
        <v>0</v>
      </c>
      <c r="AU561" s="8">
        <v>0</v>
      </c>
      <c r="AV561" s="9">
        <v>1</v>
      </c>
      <c r="AW561" s="9">
        <v>2</v>
      </c>
      <c r="AX561" s="8"/>
      <c r="AY561" s="8"/>
      <c r="AZ561">
        <v>0</v>
      </c>
      <c r="BB561" t="s">
        <v>2564</v>
      </c>
    </row>
    <row r="562" spans="1:54">
      <c r="A562" s="6">
        <v>45807</v>
      </c>
      <c r="B562" s="7" t="s">
        <v>2565</v>
      </c>
      <c r="C562" t="s">
        <v>714</v>
      </c>
      <c r="D562" t="s">
        <v>2254</v>
      </c>
      <c r="G562" t="s">
        <v>207</v>
      </c>
      <c r="H562" s="8" t="s">
        <v>208</v>
      </c>
      <c r="I562" s="8" t="s">
        <v>208</v>
      </c>
      <c r="J562" s="8" t="s">
        <v>208</v>
      </c>
      <c r="K562" s="8" t="s">
        <v>208</v>
      </c>
      <c r="L562" s="8" t="s">
        <v>208</v>
      </c>
      <c r="M562" s="8" t="s">
        <v>208</v>
      </c>
      <c r="N562" s="8" t="s">
        <v>208</v>
      </c>
      <c r="O562" s="8" t="s">
        <v>221</v>
      </c>
      <c r="P562" t="s">
        <v>2497</v>
      </c>
      <c r="Q562" t="s">
        <v>2566</v>
      </c>
      <c r="R562" t="s">
        <v>2567</v>
      </c>
      <c r="U562" t="s">
        <v>2568</v>
      </c>
      <c r="V562" t="s">
        <v>136</v>
      </c>
      <c r="W562" t="s">
        <v>212</v>
      </c>
      <c r="X562" t="s">
        <v>212</v>
      </c>
      <c r="Y562" t="s">
        <v>213</v>
      </c>
      <c r="Z562" t="s">
        <v>213</v>
      </c>
      <c r="AA562" t="s">
        <v>214</v>
      </c>
      <c r="AB562" t="s">
        <v>242</v>
      </c>
      <c r="AC562" t="s">
        <v>242</v>
      </c>
      <c r="AD562" t="s">
        <v>216</v>
      </c>
      <c r="AE562" t="s">
        <v>11</v>
      </c>
      <c r="AG562" s="8" t="s">
        <v>218</v>
      </c>
      <c r="AH562" t="s">
        <v>219</v>
      </c>
      <c r="AI562" s="9" t="s">
        <v>218</v>
      </c>
      <c r="AJ562" s="9" t="s">
        <v>218</v>
      </c>
      <c r="AK562" t="s">
        <v>234</v>
      </c>
      <c r="AL562" s="9" t="s">
        <v>218</v>
      </c>
      <c r="AM562" s="8" t="s">
        <v>221</v>
      </c>
      <c r="AN562" s="8" t="s">
        <v>221</v>
      </c>
      <c r="AO562" s="8" t="s">
        <v>222</v>
      </c>
      <c r="AP562" s="8">
        <v>0</v>
      </c>
      <c r="AQ562" s="9">
        <v>1</v>
      </c>
      <c r="AR562" s="8">
        <v>0</v>
      </c>
      <c r="AS562" s="8">
        <v>0</v>
      </c>
      <c r="AT562" s="8">
        <v>0</v>
      </c>
      <c r="AU562" s="8">
        <v>0</v>
      </c>
      <c r="AV562" s="9">
        <v>1</v>
      </c>
      <c r="AW562" s="9">
        <v>2</v>
      </c>
      <c r="AX562" s="8"/>
      <c r="AY562" s="8"/>
      <c r="AZ562">
        <v>0</v>
      </c>
      <c r="BB562" t="s">
        <v>2569</v>
      </c>
    </row>
    <row r="563" spans="1:54">
      <c r="A563" s="6">
        <v>45807</v>
      </c>
      <c r="B563" s="7" t="s">
        <v>2570</v>
      </c>
      <c r="C563" t="s">
        <v>714</v>
      </c>
      <c r="D563" t="s">
        <v>2254</v>
      </c>
      <c r="G563" t="s">
        <v>207</v>
      </c>
      <c r="H563" s="8" t="s">
        <v>208</v>
      </c>
      <c r="I563" s="8" t="s">
        <v>208</v>
      </c>
      <c r="J563" s="8" t="s">
        <v>208</v>
      </c>
      <c r="K563" s="8" t="s">
        <v>208</v>
      </c>
      <c r="L563" s="8" t="s">
        <v>208</v>
      </c>
      <c r="M563" s="8" t="s">
        <v>208</v>
      </c>
      <c r="N563" s="8" t="s">
        <v>208</v>
      </c>
      <c r="O563" s="8" t="s">
        <v>221</v>
      </c>
      <c r="P563" t="s">
        <v>2497</v>
      </c>
      <c r="Q563" t="s">
        <v>2571</v>
      </c>
      <c r="R563" t="s">
        <v>2572</v>
      </c>
      <c r="U563" t="s">
        <v>2573</v>
      </c>
      <c r="V563" t="s">
        <v>136</v>
      </c>
      <c r="W563" t="s">
        <v>212</v>
      </c>
      <c r="X563" t="s">
        <v>212</v>
      </c>
      <c r="Y563" t="s">
        <v>213</v>
      </c>
      <c r="Z563" t="s">
        <v>213</v>
      </c>
      <c r="AA563" t="s">
        <v>214</v>
      </c>
      <c r="AB563" t="s">
        <v>242</v>
      </c>
      <c r="AC563" t="s">
        <v>242</v>
      </c>
      <c r="AD563" t="s">
        <v>216</v>
      </c>
      <c r="AE563" t="s">
        <v>11</v>
      </c>
      <c r="AG563" s="8" t="s">
        <v>218</v>
      </c>
      <c r="AH563" t="s">
        <v>219</v>
      </c>
      <c r="AI563" s="9" t="s">
        <v>218</v>
      </c>
      <c r="AJ563" s="9" t="s">
        <v>218</v>
      </c>
      <c r="AK563" t="s">
        <v>234</v>
      </c>
      <c r="AL563" s="9" t="s">
        <v>218</v>
      </c>
      <c r="AM563" s="8" t="s">
        <v>221</v>
      </c>
      <c r="AN563" s="8" t="s">
        <v>221</v>
      </c>
      <c r="AO563" s="8" t="s">
        <v>222</v>
      </c>
      <c r="AP563" s="8">
        <v>0</v>
      </c>
      <c r="AQ563" s="9">
        <v>1</v>
      </c>
      <c r="AR563" s="8">
        <v>0</v>
      </c>
      <c r="AS563" s="8">
        <v>0</v>
      </c>
      <c r="AT563" s="8">
        <v>0</v>
      </c>
      <c r="AU563" s="8">
        <v>0</v>
      </c>
      <c r="AV563" s="9">
        <v>1</v>
      </c>
      <c r="AW563" s="9">
        <v>2</v>
      </c>
      <c r="AX563" s="8"/>
      <c r="AY563" s="8"/>
      <c r="AZ563">
        <v>0</v>
      </c>
      <c r="BB563" t="s">
        <v>2574</v>
      </c>
    </row>
    <row r="564" spans="1:54">
      <c r="A564" s="6">
        <v>45807</v>
      </c>
      <c r="B564" s="7" t="s">
        <v>2575</v>
      </c>
      <c r="C564" t="s">
        <v>714</v>
      </c>
      <c r="D564" t="s">
        <v>2254</v>
      </c>
      <c r="G564" t="s">
        <v>207</v>
      </c>
      <c r="H564" s="8" t="s">
        <v>208</v>
      </c>
      <c r="I564" s="8" t="s">
        <v>208</v>
      </c>
      <c r="J564" s="8" t="s">
        <v>208</v>
      </c>
      <c r="K564" s="8" t="s">
        <v>208</v>
      </c>
      <c r="L564" s="8" t="s">
        <v>208</v>
      </c>
      <c r="M564" s="8" t="s">
        <v>208</v>
      </c>
      <c r="N564" s="8" t="s">
        <v>208</v>
      </c>
      <c r="O564" s="8" t="s">
        <v>221</v>
      </c>
      <c r="P564" t="s">
        <v>2497</v>
      </c>
      <c r="Q564" t="s">
        <v>2576</v>
      </c>
      <c r="R564" t="s">
        <v>2577</v>
      </c>
      <c r="U564" t="s">
        <v>2578</v>
      </c>
      <c r="V564" t="s">
        <v>136</v>
      </c>
      <c r="W564" t="s">
        <v>212</v>
      </c>
      <c r="X564" t="s">
        <v>212</v>
      </c>
      <c r="Y564" t="s">
        <v>213</v>
      </c>
      <c r="Z564" t="s">
        <v>213</v>
      </c>
      <c r="AA564" t="s">
        <v>214</v>
      </c>
      <c r="AB564" t="s">
        <v>242</v>
      </c>
      <c r="AC564" t="s">
        <v>242</v>
      </c>
      <c r="AD564" t="s">
        <v>216</v>
      </c>
      <c r="AE564" t="s">
        <v>11</v>
      </c>
      <c r="AG564" s="8" t="s">
        <v>218</v>
      </c>
      <c r="AH564" t="s">
        <v>219</v>
      </c>
      <c r="AI564" s="9" t="s">
        <v>218</v>
      </c>
      <c r="AJ564" s="9" t="s">
        <v>218</v>
      </c>
      <c r="AK564" t="s">
        <v>234</v>
      </c>
      <c r="AL564" s="9" t="s">
        <v>218</v>
      </c>
      <c r="AM564" s="8" t="s">
        <v>221</v>
      </c>
      <c r="AN564" s="8" t="s">
        <v>221</v>
      </c>
      <c r="AO564" s="8" t="s">
        <v>222</v>
      </c>
      <c r="AP564" s="8">
        <v>0</v>
      </c>
      <c r="AQ564" s="9">
        <v>1</v>
      </c>
      <c r="AR564" s="8">
        <v>0</v>
      </c>
      <c r="AS564" s="8">
        <v>0</v>
      </c>
      <c r="AT564" s="8">
        <v>0</v>
      </c>
      <c r="AU564" s="8">
        <v>0</v>
      </c>
      <c r="AV564" s="9">
        <v>1</v>
      </c>
      <c r="AW564" s="9">
        <v>2</v>
      </c>
      <c r="AX564" s="8"/>
      <c r="AY564" s="8"/>
      <c r="AZ564">
        <v>0</v>
      </c>
      <c r="BB564" t="s">
        <v>2579</v>
      </c>
    </row>
    <row r="565" spans="1:54">
      <c r="A565" s="6">
        <v>45807</v>
      </c>
      <c r="B565" s="7" t="s">
        <v>2580</v>
      </c>
      <c r="C565" t="s">
        <v>714</v>
      </c>
      <c r="D565" t="s">
        <v>2254</v>
      </c>
      <c r="G565" t="s">
        <v>207</v>
      </c>
      <c r="H565" s="8" t="s">
        <v>208</v>
      </c>
      <c r="I565" s="8" t="s">
        <v>208</v>
      </c>
      <c r="J565" s="8" t="s">
        <v>208</v>
      </c>
      <c r="K565" s="8" t="s">
        <v>208</v>
      </c>
      <c r="L565" s="8" t="s">
        <v>208</v>
      </c>
      <c r="M565" s="8" t="s">
        <v>208</v>
      </c>
      <c r="N565" s="8" t="s">
        <v>208</v>
      </c>
      <c r="O565" s="8" t="s">
        <v>221</v>
      </c>
      <c r="P565" t="s">
        <v>2497</v>
      </c>
      <c r="Q565" t="s">
        <v>2581</v>
      </c>
      <c r="R565" t="s">
        <v>2582</v>
      </c>
      <c r="U565" t="s">
        <v>2583</v>
      </c>
      <c r="V565" t="s">
        <v>644</v>
      </c>
      <c r="W565" t="s">
        <v>774</v>
      </c>
      <c r="Y565" t="s">
        <v>775</v>
      </c>
      <c r="AA565" t="s">
        <v>645</v>
      </c>
      <c r="AB565" t="s">
        <v>312</v>
      </c>
      <c r="AD565" t="s">
        <v>216</v>
      </c>
      <c r="AE565" t="s">
        <v>645</v>
      </c>
      <c r="AG565" s="8" t="s">
        <v>218</v>
      </c>
      <c r="AH565" t="s">
        <v>219</v>
      </c>
      <c r="AI565" s="9" t="s">
        <v>218</v>
      </c>
      <c r="AJ565" s="9" t="s">
        <v>218</v>
      </c>
      <c r="AK565" t="s">
        <v>2584</v>
      </c>
      <c r="AL565" s="9" t="s">
        <v>218</v>
      </c>
      <c r="AM565" s="8" t="s">
        <v>221</v>
      </c>
      <c r="AN565" s="8" t="s">
        <v>221</v>
      </c>
      <c r="AO565" s="8" t="s">
        <v>222</v>
      </c>
      <c r="AP565" s="8">
        <v>0</v>
      </c>
      <c r="AQ565" s="9">
        <v>1</v>
      </c>
      <c r="AR565" s="8">
        <v>0</v>
      </c>
      <c r="AS565" s="8">
        <v>0</v>
      </c>
      <c r="AT565" s="8">
        <v>0</v>
      </c>
      <c r="AU565" s="8">
        <v>0</v>
      </c>
      <c r="AV565" s="9">
        <v>1</v>
      </c>
      <c r="AW565" s="9">
        <v>2</v>
      </c>
      <c r="AX565" s="8"/>
      <c r="AY565" s="8"/>
      <c r="AZ565">
        <v>0</v>
      </c>
    </row>
    <row r="566" spans="1:54">
      <c r="A566" s="6">
        <v>45807</v>
      </c>
      <c r="B566" s="7" t="s">
        <v>2493</v>
      </c>
      <c r="C566" t="s">
        <v>205</v>
      </c>
      <c r="D566" t="s">
        <v>2254</v>
      </c>
      <c r="G566" t="s">
        <v>207</v>
      </c>
      <c r="H566" s="8" t="s">
        <v>208</v>
      </c>
      <c r="I566" s="8" t="s">
        <v>208</v>
      </c>
      <c r="J566" s="8" t="s">
        <v>208</v>
      </c>
      <c r="K566" s="8" t="s">
        <v>208</v>
      </c>
      <c r="L566" s="8" t="s">
        <v>208</v>
      </c>
      <c r="M566" s="8" t="s">
        <v>208</v>
      </c>
      <c r="N566" s="8" t="s">
        <v>208</v>
      </c>
      <c r="O566" s="8" t="s">
        <v>221</v>
      </c>
      <c r="P566" t="s">
        <v>2497</v>
      </c>
      <c r="Q566" t="s">
        <v>2494</v>
      </c>
      <c r="R566" t="s">
        <v>2495</v>
      </c>
      <c r="U566" t="s">
        <v>2496</v>
      </c>
      <c r="V566" t="s">
        <v>140</v>
      </c>
      <c r="W566" t="s">
        <v>212</v>
      </c>
      <c r="Y566" t="s">
        <v>213</v>
      </c>
      <c r="AA566" t="s">
        <v>214</v>
      </c>
      <c r="AB566" t="s">
        <v>701</v>
      </c>
      <c r="AD566" t="s">
        <v>216</v>
      </c>
      <c r="AE566" t="s">
        <v>217</v>
      </c>
      <c r="AG566" s="9" t="s">
        <v>221</v>
      </c>
      <c r="AH566" t="s">
        <v>219</v>
      </c>
      <c r="AI566" s="9" t="s">
        <v>218</v>
      </c>
      <c r="AJ566" s="9" t="s">
        <v>218</v>
      </c>
      <c r="AK566" t="s">
        <v>234</v>
      </c>
      <c r="AL566" s="9" t="s">
        <v>218</v>
      </c>
      <c r="AM566" s="8" t="s">
        <v>221</v>
      </c>
      <c r="AN566" s="8" t="s">
        <v>221</v>
      </c>
      <c r="AO566" s="8" t="s">
        <v>222</v>
      </c>
      <c r="AP566" s="8">
        <v>0</v>
      </c>
      <c r="AQ566" s="8">
        <v>0</v>
      </c>
      <c r="AR566" s="8">
        <v>0</v>
      </c>
      <c r="AS566" s="8">
        <v>0</v>
      </c>
      <c r="AT566" s="8">
        <v>0</v>
      </c>
      <c r="AU566" s="8">
        <v>0</v>
      </c>
      <c r="AV566" s="8">
        <v>0</v>
      </c>
      <c r="AW566" s="8">
        <v>0</v>
      </c>
      <c r="AX566" s="8"/>
      <c r="AY566" s="8"/>
      <c r="AZ566">
        <v>0</v>
      </c>
    </row>
    <row r="567" spans="1:54">
      <c r="A567" s="6">
        <v>45807</v>
      </c>
      <c r="B567" s="7" t="s">
        <v>2585</v>
      </c>
      <c r="C567" t="s">
        <v>714</v>
      </c>
      <c r="D567" t="s">
        <v>2254</v>
      </c>
      <c r="G567" t="s">
        <v>207</v>
      </c>
      <c r="H567" s="8" t="s">
        <v>208</v>
      </c>
      <c r="I567" s="8" t="s">
        <v>208</v>
      </c>
      <c r="J567" s="8" t="s">
        <v>208</v>
      </c>
      <c r="K567" s="8" t="s">
        <v>208</v>
      </c>
      <c r="L567" s="8" t="s">
        <v>208</v>
      </c>
      <c r="M567" s="8" t="s">
        <v>208</v>
      </c>
      <c r="N567" s="8" t="s">
        <v>208</v>
      </c>
      <c r="O567" s="8" t="s">
        <v>221</v>
      </c>
      <c r="P567" t="s">
        <v>2497</v>
      </c>
      <c r="Q567" t="s">
        <v>2586</v>
      </c>
      <c r="R567" t="s">
        <v>2587</v>
      </c>
      <c r="U567" t="s">
        <v>2588</v>
      </c>
      <c r="V567" t="s">
        <v>14</v>
      </c>
      <c r="W567" t="s">
        <v>774</v>
      </c>
      <c r="X567" t="s">
        <v>774</v>
      </c>
      <c r="Y567" t="s">
        <v>775</v>
      </c>
      <c r="Z567" t="s">
        <v>775</v>
      </c>
      <c r="AA567" t="s">
        <v>214</v>
      </c>
      <c r="AB567" t="s">
        <v>425</v>
      </c>
      <c r="AC567" t="s">
        <v>425</v>
      </c>
      <c r="AD567" t="s">
        <v>216</v>
      </c>
      <c r="AE567" t="s">
        <v>11</v>
      </c>
      <c r="AG567" s="8" t="s">
        <v>218</v>
      </c>
      <c r="AH567" t="s">
        <v>219</v>
      </c>
      <c r="AI567" s="9" t="s">
        <v>218</v>
      </c>
      <c r="AJ567" s="9" t="s">
        <v>218</v>
      </c>
      <c r="AK567" t="s">
        <v>234</v>
      </c>
      <c r="AL567" s="9" t="s">
        <v>218</v>
      </c>
      <c r="AM567" s="8" t="s">
        <v>221</v>
      </c>
      <c r="AN567" s="8" t="s">
        <v>221</v>
      </c>
      <c r="AO567" s="8" t="s">
        <v>222</v>
      </c>
      <c r="AP567" s="8">
        <v>0</v>
      </c>
      <c r="AQ567" s="9">
        <v>4</v>
      </c>
      <c r="AR567" s="8">
        <v>0</v>
      </c>
      <c r="AS567" s="8">
        <v>0</v>
      </c>
      <c r="AT567" s="8">
        <v>0</v>
      </c>
      <c r="AU567" s="8">
        <v>0</v>
      </c>
      <c r="AV567" s="9">
        <v>4</v>
      </c>
      <c r="AW567" s="9">
        <v>8</v>
      </c>
      <c r="AX567" s="8"/>
      <c r="AY567" s="8"/>
      <c r="AZ567">
        <v>0</v>
      </c>
      <c r="BB567" t="s">
        <v>2589</v>
      </c>
    </row>
    <row r="568" spans="1:54">
      <c r="A568" s="6">
        <v>45807</v>
      </c>
      <c r="B568" s="7" t="s">
        <v>2590</v>
      </c>
      <c r="C568" t="s">
        <v>714</v>
      </c>
      <c r="D568" t="s">
        <v>2254</v>
      </c>
      <c r="G568" t="s">
        <v>207</v>
      </c>
      <c r="H568" s="8" t="s">
        <v>208</v>
      </c>
      <c r="I568" s="8" t="s">
        <v>208</v>
      </c>
      <c r="J568" s="8" t="s">
        <v>208</v>
      </c>
      <c r="K568" s="8" t="s">
        <v>208</v>
      </c>
      <c r="L568" s="8" t="s">
        <v>208</v>
      </c>
      <c r="M568" s="8" t="s">
        <v>208</v>
      </c>
      <c r="N568" s="8" t="s">
        <v>208</v>
      </c>
      <c r="O568" s="8" t="s">
        <v>221</v>
      </c>
      <c r="P568" t="s">
        <v>2497</v>
      </c>
      <c r="Q568" t="s">
        <v>2591</v>
      </c>
      <c r="R568" t="s">
        <v>2592</v>
      </c>
      <c r="U568" t="s">
        <v>2593</v>
      </c>
      <c r="V568" t="s">
        <v>14</v>
      </c>
      <c r="W568" t="s">
        <v>774</v>
      </c>
      <c r="X568" t="s">
        <v>774</v>
      </c>
      <c r="Y568" t="s">
        <v>775</v>
      </c>
      <c r="Z568" t="s">
        <v>775</v>
      </c>
      <c r="AA568" t="s">
        <v>214</v>
      </c>
      <c r="AB568" t="s">
        <v>391</v>
      </c>
      <c r="AC568" t="s">
        <v>391</v>
      </c>
      <c r="AD568" t="s">
        <v>216</v>
      </c>
      <c r="AE568" t="s">
        <v>11</v>
      </c>
      <c r="AG568" s="8" t="s">
        <v>218</v>
      </c>
      <c r="AH568" t="s">
        <v>219</v>
      </c>
      <c r="AI568" s="9" t="s">
        <v>218</v>
      </c>
      <c r="AJ568" s="9" t="s">
        <v>218</v>
      </c>
      <c r="AK568" t="s">
        <v>234</v>
      </c>
      <c r="AL568" s="9" t="s">
        <v>218</v>
      </c>
      <c r="AM568" s="8" t="s">
        <v>221</v>
      </c>
      <c r="AN568" s="8" t="s">
        <v>221</v>
      </c>
      <c r="AO568" s="8" t="s">
        <v>222</v>
      </c>
      <c r="AP568" s="8">
        <v>0</v>
      </c>
      <c r="AQ568" s="9">
        <v>1</v>
      </c>
      <c r="AR568" s="8">
        <v>0</v>
      </c>
      <c r="AS568" s="8">
        <v>0</v>
      </c>
      <c r="AT568" s="8">
        <v>0</v>
      </c>
      <c r="AU568" s="8">
        <v>0</v>
      </c>
      <c r="AV568" s="9">
        <v>1</v>
      </c>
      <c r="AW568" s="9">
        <v>2</v>
      </c>
      <c r="AX568" s="8"/>
      <c r="AY568" s="8"/>
      <c r="AZ568">
        <v>0</v>
      </c>
      <c r="BB568" t="s">
        <v>2594</v>
      </c>
    </row>
    <row r="569" spans="1:54">
      <c r="A569" s="6">
        <v>45807</v>
      </c>
      <c r="B569" s="7" t="s">
        <v>1253</v>
      </c>
      <c r="C569" t="s">
        <v>714</v>
      </c>
      <c r="D569" t="s">
        <v>2254</v>
      </c>
      <c r="G569" t="s">
        <v>207</v>
      </c>
      <c r="H569" s="8" t="s">
        <v>208</v>
      </c>
      <c r="I569" s="8" t="s">
        <v>208</v>
      </c>
      <c r="J569" s="8" t="s">
        <v>208</v>
      </c>
      <c r="K569" s="8" t="s">
        <v>208</v>
      </c>
      <c r="L569" s="8" t="s">
        <v>208</v>
      </c>
      <c r="M569" s="8" t="s">
        <v>208</v>
      </c>
      <c r="N569" s="8" t="s">
        <v>208</v>
      </c>
      <c r="O569" s="8" t="s">
        <v>221</v>
      </c>
      <c r="P569" t="s">
        <v>2497</v>
      </c>
      <c r="Q569" t="s">
        <v>1254</v>
      </c>
      <c r="R569" t="s">
        <v>1255</v>
      </c>
      <c r="U569" t="s">
        <v>1256</v>
      </c>
      <c r="V569" t="s">
        <v>138</v>
      </c>
      <c r="W569" t="s">
        <v>212</v>
      </c>
      <c r="X569" t="s">
        <v>212</v>
      </c>
      <c r="Y569" t="s">
        <v>213</v>
      </c>
      <c r="Z569" t="s">
        <v>213</v>
      </c>
      <c r="AA569" t="s">
        <v>214</v>
      </c>
      <c r="AB569" t="s">
        <v>215</v>
      </c>
      <c r="AC569" t="s">
        <v>701</v>
      </c>
      <c r="AD569" t="s">
        <v>216</v>
      </c>
      <c r="AE569" t="s">
        <v>217</v>
      </c>
      <c r="AG569" s="8" t="s">
        <v>218</v>
      </c>
      <c r="AH569" t="s">
        <v>219</v>
      </c>
      <c r="AI569" s="9" t="s">
        <v>218</v>
      </c>
      <c r="AJ569" s="9" t="s">
        <v>218</v>
      </c>
      <c r="AK569" t="s">
        <v>234</v>
      </c>
      <c r="AL569" s="9" t="s">
        <v>218</v>
      </c>
      <c r="AM569" s="8" t="s">
        <v>221</v>
      </c>
      <c r="AN569" s="8" t="s">
        <v>221</v>
      </c>
      <c r="AO569" s="8" t="s">
        <v>222</v>
      </c>
      <c r="AP569" s="8">
        <v>0</v>
      </c>
      <c r="AQ569" s="9">
        <v>1</v>
      </c>
      <c r="AR569" s="9">
        <v>10</v>
      </c>
      <c r="AS569" s="8">
        <v>0</v>
      </c>
      <c r="AT569" s="8">
        <v>0</v>
      </c>
      <c r="AU569" s="8">
        <v>0</v>
      </c>
      <c r="AV569" s="9">
        <v>1</v>
      </c>
      <c r="AW569" s="9">
        <v>12</v>
      </c>
      <c r="AX569" s="8"/>
      <c r="AY569" s="8"/>
      <c r="AZ569">
        <v>0</v>
      </c>
      <c r="BB569" t="s">
        <v>1258</v>
      </c>
    </row>
    <row r="570" spans="1:54">
      <c r="A570" s="6">
        <v>45807</v>
      </c>
      <c r="B570" s="7" t="s">
        <v>2595</v>
      </c>
      <c r="C570" t="s">
        <v>714</v>
      </c>
      <c r="D570" t="s">
        <v>2254</v>
      </c>
      <c r="G570" t="s">
        <v>207</v>
      </c>
      <c r="H570" s="8" t="s">
        <v>208</v>
      </c>
      <c r="I570" s="8" t="s">
        <v>208</v>
      </c>
      <c r="J570" s="8" t="s">
        <v>208</v>
      </c>
      <c r="K570" s="8" t="s">
        <v>208</v>
      </c>
      <c r="L570" s="8" t="s">
        <v>208</v>
      </c>
      <c r="M570" s="8" t="s">
        <v>208</v>
      </c>
      <c r="N570" s="8" t="s">
        <v>208</v>
      </c>
      <c r="O570" s="8" t="s">
        <v>221</v>
      </c>
      <c r="P570" t="s">
        <v>2497</v>
      </c>
      <c r="Q570" t="s">
        <v>2596</v>
      </c>
      <c r="R570" t="s">
        <v>2597</v>
      </c>
      <c r="U570" t="s">
        <v>2598</v>
      </c>
      <c r="V570" t="s">
        <v>140</v>
      </c>
      <c r="W570" t="s">
        <v>212</v>
      </c>
      <c r="X570" t="s">
        <v>212</v>
      </c>
      <c r="Y570" t="s">
        <v>213</v>
      </c>
      <c r="Z570" t="s">
        <v>213</v>
      </c>
      <c r="AA570" t="s">
        <v>214</v>
      </c>
      <c r="AB570" t="s">
        <v>242</v>
      </c>
      <c r="AC570" t="s">
        <v>242</v>
      </c>
      <c r="AD570" t="s">
        <v>216</v>
      </c>
      <c r="AE570" t="s">
        <v>217</v>
      </c>
      <c r="AG570" s="8" t="s">
        <v>218</v>
      </c>
      <c r="AH570" t="s">
        <v>219</v>
      </c>
      <c r="AI570" s="9" t="s">
        <v>218</v>
      </c>
      <c r="AJ570" s="9" t="s">
        <v>218</v>
      </c>
      <c r="AK570" t="s">
        <v>234</v>
      </c>
      <c r="AL570" s="9" t="s">
        <v>218</v>
      </c>
      <c r="AM570" s="8" t="s">
        <v>221</v>
      </c>
      <c r="AN570" s="8" t="s">
        <v>221</v>
      </c>
      <c r="AO570" s="8" t="s">
        <v>222</v>
      </c>
      <c r="AP570" s="8">
        <v>0</v>
      </c>
      <c r="AQ570" s="9">
        <v>1</v>
      </c>
      <c r="AR570" s="8">
        <v>0</v>
      </c>
      <c r="AS570" s="8">
        <v>0</v>
      </c>
      <c r="AT570" s="8">
        <v>0</v>
      </c>
      <c r="AU570" s="8">
        <v>0</v>
      </c>
      <c r="AV570" s="9">
        <v>1</v>
      </c>
      <c r="AW570" s="9">
        <v>2</v>
      </c>
      <c r="AX570" s="8"/>
      <c r="AY570" s="8"/>
      <c r="AZ570">
        <v>0</v>
      </c>
      <c r="BB570" t="s">
        <v>2599</v>
      </c>
    </row>
    <row r="571" spans="1:54">
      <c r="A571" s="6">
        <v>45807</v>
      </c>
      <c r="B571" s="7" t="s">
        <v>2600</v>
      </c>
      <c r="C571" t="s">
        <v>714</v>
      </c>
      <c r="D571" t="s">
        <v>2254</v>
      </c>
      <c r="G571" t="s">
        <v>207</v>
      </c>
      <c r="H571" s="8" t="s">
        <v>208</v>
      </c>
      <c r="I571" s="8" t="s">
        <v>208</v>
      </c>
      <c r="J571" s="8" t="s">
        <v>208</v>
      </c>
      <c r="K571" s="8" t="s">
        <v>208</v>
      </c>
      <c r="L571" s="8" t="s">
        <v>208</v>
      </c>
      <c r="M571" s="8" t="s">
        <v>208</v>
      </c>
      <c r="N571" s="8" t="s">
        <v>208</v>
      </c>
      <c r="O571" s="8" t="s">
        <v>221</v>
      </c>
      <c r="P571" t="s">
        <v>2497</v>
      </c>
      <c r="Q571" t="s">
        <v>2601</v>
      </c>
      <c r="R571" t="s">
        <v>2602</v>
      </c>
      <c r="U571" t="s">
        <v>2603</v>
      </c>
      <c r="V571" t="s">
        <v>14</v>
      </c>
      <c r="W571" t="s">
        <v>774</v>
      </c>
      <c r="X571" t="s">
        <v>774</v>
      </c>
      <c r="Y571" t="s">
        <v>775</v>
      </c>
      <c r="Z571" t="s">
        <v>775</v>
      </c>
      <c r="AA571" t="s">
        <v>214</v>
      </c>
      <c r="AB571" t="s">
        <v>425</v>
      </c>
      <c r="AC571" t="s">
        <v>425</v>
      </c>
      <c r="AD571" t="s">
        <v>216</v>
      </c>
      <c r="AE571" t="s">
        <v>11</v>
      </c>
      <c r="AG571" s="8" t="s">
        <v>218</v>
      </c>
      <c r="AH571" t="s">
        <v>219</v>
      </c>
      <c r="AI571" s="9" t="s">
        <v>218</v>
      </c>
      <c r="AJ571" s="9" t="s">
        <v>218</v>
      </c>
      <c r="AK571" t="s">
        <v>234</v>
      </c>
      <c r="AL571" s="9" t="s">
        <v>218</v>
      </c>
      <c r="AM571" s="8" t="s">
        <v>221</v>
      </c>
      <c r="AN571" s="8" t="s">
        <v>221</v>
      </c>
      <c r="AO571" s="8" t="s">
        <v>222</v>
      </c>
      <c r="AP571" s="8">
        <v>0</v>
      </c>
      <c r="AQ571" s="9">
        <v>1</v>
      </c>
      <c r="AR571" s="8">
        <v>0</v>
      </c>
      <c r="AS571" s="8">
        <v>0</v>
      </c>
      <c r="AT571" s="8">
        <v>0</v>
      </c>
      <c r="AU571" s="8">
        <v>0</v>
      </c>
      <c r="AV571" s="9">
        <v>1</v>
      </c>
      <c r="AW571" s="9">
        <v>2</v>
      </c>
      <c r="AX571" s="8"/>
      <c r="AY571" s="8"/>
      <c r="AZ571">
        <v>0</v>
      </c>
      <c r="BB571" t="s">
        <v>2604</v>
      </c>
    </row>
    <row r="572" spans="1:54">
      <c r="A572" s="6">
        <v>45807</v>
      </c>
      <c r="B572" s="7" t="s">
        <v>2605</v>
      </c>
      <c r="C572" t="s">
        <v>714</v>
      </c>
      <c r="D572" t="s">
        <v>2254</v>
      </c>
      <c r="G572" t="s">
        <v>207</v>
      </c>
      <c r="H572" s="8" t="s">
        <v>208</v>
      </c>
      <c r="I572" s="8" t="s">
        <v>208</v>
      </c>
      <c r="J572" s="8" t="s">
        <v>208</v>
      </c>
      <c r="K572" s="8" t="s">
        <v>208</v>
      </c>
      <c r="L572" s="8" t="s">
        <v>208</v>
      </c>
      <c r="M572" s="8" t="s">
        <v>208</v>
      </c>
      <c r="N572" s="8" t="s">
        <v>208</v>
      </c>
      <c r="O572" s="8" t="s">
        <v>221</v>
      </c>
      <c r="P572" t="s">
        <v>2497</v>
      </c>
      <c r="Q572" t="s">
        <v>2606</v>
      </c>
      <c r="R572" t="s">
        <v>2607</v>
      </c>
      <c r="U572" t="s">
        <v>2608</v>
      </c>
      <c r="V572" t="s">
        <v>140</v>
      </c>
      <c r="W572" t="s">
        <v>212</v>
      </c>
      <c r="X572" t="s">
        <v>212</v>
      </c>
      <c r="Y572" t="s">
        <v>213</v>
      </c>
      <c r="Z572" t="s">
        <v>213</v>
      </c>
      <c r="AA572" t="s">
        <v>214</v>
      </c>
      <c r="AB572" t="s">
        <v>701</v>
      </c>
      <c r="AC572" t="s">
        <v>242</v>
      </c>
      <c r="AD572" t="s">
        <v>216</v>
      </c>
      <c r="AE572" t="s">
        <v>217</v>
      </c>
      <c r="AG572" s="8" t="s">
        <v>218</v>
      </c>
      <c r="AH572" t="s">
        <v>219</v>
      </c>
      <c r="AI572" s="9" t="s">
        <v>218</v>
      </c>
      <c r="AJ572" s="9" t="s">
        <v>218</v>
      </c>
      <c r="AK572" t="s">
        <v>234</v>
      </c>
      <c r="AL572" s="9" t="s">
        <v>218</v>
      </c>
      <c r="AM572" s="8" t="s">
        <v>221</v>
      </c>
      <c r="AN572" s="8" t="s">
        <v>221</v>
      </c>
      <c r="AO572" s="8" t="s">
        <v>222</v>
      </c>
      <c r="AP572" s="8">
        <v>0</v>
      </c>
      <c r="AQ572" s="9">
        <v>1</v>
      </c>
      <c r="AR572" s="8">
        <v>0</v>
      </c>
      <c r="AS572" s="8">
        <v>0</v>
      </c>
      <c r="AT572" s="8">
        <v>0</v>
      </c>
      <c r="AU572" s="8">
        <v>0</v>
      </c>
      <c r="AV572" s="9">
        <v>1</v>
      </c>
      <c r="AW572" s="9">
        <v>2</v>
      </c>
      <c r="AX572" s="8"/>
      <c r="AY572" s="8"/>
      <c r="AZ572">
        <v>0</v>
      </c>
      <c r="BB572" t="s">
        <v>2609</v>
      </c>
    </row>
    <row r="573" spans="1:54">
      <c r="A573" s="6">
        <v>45807</v>
      </c>
      <c r="B573" s="7" t="s">
        <v>2610</v>
      </c>
      <c r="C573" t="s">
        <v>714</v>
      </c>
      <c r="D573" t="s">
        <v>2254</v>
      </c>
      <c r="G573" t="s">
        <v>207</v>
      </c>
      <c r="H573" s="8" t="s">
        <v>208</v>
      </c>
      <c r="I573" s="8" t="s">
        <v>208</v>
      </c>
      <c r="J573" s="8" t="s">
        <v>208</v>
      </c>
      <c r="K573" s="8" t="s">
        <v>208</v>
      </c>
      <c r="L573" s="8" t="s">
        <v>208</v>
      </c>
      <c r="M573" s="8" t="s">
        <v>208</v>
      </c>
      <c r="N573" s="8" t="s">
        <v>208</v>
      </c>
      <c r="O573" s="8" t="s">
        <v>221</v>
      </c>
      <c r="P573" t="s">
        <v>2497</v>
      </c>
      <c r="Q573" t="s">
        <v>2611</v>
      </c>
      <c r="R573" t="s">
        <v>2612</v>
      </c>
      <c r="U573" t="s">
        <v>2613</v>
      </c>
      <c r="V573" t="s">
        <v>140</v>
      </c>
      <c r="W573" t="s">
        <v>212</v>
      </c>
      <c r="X573" t="s">
        <v>212</v>
      </c>
      <c r="Y573" t="s">
        <v>213</v>
      </c>
      <c r="Z573" t="s">
        <v>213</v>
      </c>
      <c r="AA573" t="s">
        <v>214</v>
      </c>
      <c r="AB573" t="s">
        <v>758</v>
      </c>
      <c r="AC573" t="s">
        <v>215</v>
      </c>
      <c r="AD573" t="s">
        <v>216</v>
      </c>
      <c r="AE573" t="s">
        <v>217</v>
      </c>
      <c r="AG573" s="8" t="s">
        <v>218</v>
      </c>
      <c r="AH573" t="s">
        <v>219</v>
      </c>
      <c r="AI573" s="9" t="s">
        <v>218</v>
      </c>
      <c r="AJ573" s="9" t="s">
        <v>218</v>
      </c>
      <c r="AK573" t="s">
        <v>2614</v>
      </c>
      <c r="AL573" s="9" t="s">
        <v>218</v>
      </c>
      <c r="AM573" s="8" t="s">
        <v>221</v>
      </c>
      <c r="AN573" s="8" t="s">
        <v>221</v>
      </c>
      <c r="AO573" s="8" t="s">
        <v>222</v>
      </c>
      <c r="AP573" s="8">
        <v>0</v>
      </c>
      <c r="AQ573" s="9">
        <v>1</v>
      </c>
      <c r="AR573" s="9">
        <v>7</v>
      </c>
      <c r="AS573" s="8">
        <v>0</v>
      </c>
      <c r="AT573" s="8">
        <v>0</v>
      </c>
      <c r="AU573" s="8">
        <v>0</v>
      </c>
      <c r="AV573" s="9">
        <v>1</v>
      </c>
      <c r="AW573" s="9">
        <v>9</v>
      </c>
      <c r="AX573" s="8"/>
      <c r="AY573" s="8"/>
      <c r="AZ573">
        <v>0</v>
      </c>
      <c r="BB573" t="s">
        <v>2615</v>
      </c>
    </row>
    <row r="574" spans="1:54">
      <c r="A574" s="6">
        <v>45807</v>
      </c>
      <c r="B574" s="7" t="s">
        <v>2616</v>
      </c>
      <c r="C574" t="s">
        <v>714</v>
      </c>
      <c r="D574" t="s">
        <v>2254</v>
      </c>
      <c r="G574" t="s">
        <v>207</v>
      </c>
      <c r="H574" s="8" t="s">
        <v>208</v>
      </c>
      <c r="I574" s="8" t="s">
        <v>208</v>
      </c>
      <c r="J574" s="8" t="s">
        <v>208</v>
      </c>
      <c r="K574" s="8" t="s">
        <v>208</v>
      </c>
      <c r="L574" s="8" t="s">
        <v>208</v>
      </c>
      <c r="M574" s="8" t="s">
        <v>208</v>
      </c>
      <c r="N574" s="8" t="s">
        <v>208</v>
      </c>
      <c r="O574" s="8" t="s">
        <v>221</v>
      </c>
      <c r="P574" t="s">
        <v>2497</v>
      </c>
      <c r="Q574" t="s">
        <v>2617</v>
      </c>
      <c r="R574" t="s">
        <v>2618</v>
      </c>
      <c r="U574" t="s">
        <v>2619</v>
      </c>
      <c r="V574" t="s">
        <v>14</v>
      </c>
      <c r="W574" t="s">
        <v>774</v>
      </c>
      <c r="X574" t="s">
        <v>774</v>
      </c>
      <c r="Y574" t="s">
        <v>775</v>
      </c>
      <c r="Z574" t="s">
        <v>775</v>
      </c>
      <c r="AA574" t="s">
        <v>214</v>
      </c>
      <c r="AB574" t="s">
        <v>408</v>
      </c>
      <c r="AC574" t="s">
        <v>391</v>
      </c>
      <c r="AD574" t="s">
        <v>216</v>
      </c>
      <c r="AE574" t="s">
        <v>11</v>
      </c>
      <c r="AG574" s="8" t="s">
        <v>218</v>
      </c>
      <c r="AH574" t="s">
        <v>219</v>
      </c>
      <c r="AI574" s="9" t="s">
        <v>218</v>
      </c>
      <c r="AJ574" s="9" t="s">
        <v>218</v>
      </c>
      <c r="AK574" t="s">
        <v>234</v>
      </c>
      <c r="AL574" s="9" t="s">
        <v>218</v>
      </c>
      <c r="AM574" s="8" t="s">
        <v>221</v>
      </c>
      <c r="AN574" s="8" t="s">
        <v>221</v>
      </c>
      <c r="AO574" s="8" t="s">
        <v>222</v>
      </c>
      <c r="AP574" s="8">
        <v>0</v>
      </c>
      <c r="AQ574" s="8">
        <v>0</v>
      </c>
      <c r="AR574" s="9">
        <v>14</v>
      </c>
      <c r="AS574" s="8">
        <v>0</v>
      </c>
      <c r="AT574" s="8">
        <v>0</v>
      </c>
      <c r="AU574" s="8">
        <v>0</v>
      </c>
      <c r="AV574" s="9">
        <v>3</v>
      </c>
      <c r="AW574" s="9">
        <v>17</v>
      </c>
      <c r="AX574" s="8"/>
      <c r="AY574" s="8"/>
      <c r="AZ574">
        <v>0</v>
      </c>
      <c r="BB574" t="s">
        <v>2620</v>
      </c>
    </row>
    <row r="575" spans="1:54">
      <c r="A575" s="6">
        <v>45807</v>
      </c>
      <c r="B575" s="7" t="s">
        <v>2621</v>
      </c>
      <c r="C575" t="s">
        <v>714</v>
      </c>
      <c r="D575" t="s">
        <v>2254</v>
      </c>
      <c r="G575" t="s">
        <v>207</v>
      </c>
      <c r="H575" s="8" t="s">
        <v>208</v>
      </c>
      <c r="I575" s="8" t="s">
        <v>208</v>
      </c>
      <c r="J575" s="8" t="s">
        <v>208</v>
      </c>
      <c r="K575" s="8" t="s">
        <v>208</v>
      </c>
      <c r="L575" s="8" t="s">
        <v>208</v>
      </c>
      <c r="M575" s="8" t="s">
        <v>208</v>
      </c>
      <c r="N575" s="8" t="s">
        <v>208</v>
      </c>
      <c r="O575" s="8" t="s">
        <v>221</v>
      </c>
      <c r="P575" t="s">
        <v>2497</v>
      </c>
      <c r="Q575" t="s">
        <v>2622</v>
      </c>
      <c r="R575" t="s">
        <v>2623</v>
      </c>
      <c r="U575" t="s">
        <v>2624</v>
      </c>
      <c r="V575" t="s">
        <v>89</v>
      </c>
      <c r="W575" t="s">
        <v>298</v>
      </c>
      <c r="X575" t="s">
        <v>298</v>
      </c>
      <c r="Y575" t="s">
        <v>299</v>
      </c>
      <c r="Z575" t="s">
        <v>299</v>
      </c>
      <c r="AA575" t="s">
        <v>2561</v>
      </c>
      <c r="AB575" t="s">
        <v>312</v>
      </c>
      <c r="AC575" t="s">
        <v>312</v>
      </c>
      <c r="AD575" t="s">
        <v>216</v>
      </c>
      <c r="AE575" t="s">
        <v>2562</v>
      </c>
      <c r="AG575" s="8" t="s">
        <v>218</v>
      </c>
      <c r="AH575" t="s">
        <v>302</v>
      </c>
      <c r="AI575" s="9" t="s">
        <v>218</v>
      </c>
      <c r="AJ575" s="9" t="s">
        <v>218</v>
      </c>
      <c r="AK575" t="s">
        <v>2625</v>
      </c>
      <c r="AL575" s="9" t="s">
        <v>218</v>
      </c>
      <c r="AM575" s="8" t="s">
        <v>221</v>
      </c>
      <c r="AN575" s="8" t="s">
        <v>221</v>
      </c>
      <c r="AO575" s="8" t="s">
        <v>222</v>
      </c>
      <c r="AP575" s="8">
        <v>0</v>
      </c>
      <c r="AQ575" s="9">
        <v>1</v>
      </c>
      <c r="AR575" s="8">
        <v>0</v>
      </c>
      <c r="AS575" s="8">
        <v>0</v>
      </c>
      <c r="AT575" s="8">
        <v>0</v>
      </c>
      <c r="AU575" s="8">
        <v>0</v>
      </c>
      <c r="AV575" s="9">
        <v>1</v>
      </c>
      <c r="AW575" s="9">
        <v>2</v>
      </c>
      <c r="AX575" s="8"/>
      <c r="AY575" s="8"/>
      <c r="AZ575">
        <v>0</v>
      </c>
      <c r="BB575" t="s">
        <v>2626</v>
      </c>
    </row>
    <row r="576" spans="1:54">
      <c r="A576" s="6">
        <v>45807</v>
      </c>
      <c r="B576" s="7" t="s">
        <v>2627</v>
      </c>
      <c r="C576" t="s">
        <v>714</v>
      </c>
      <c r="D576" t="s">
        <v>2254</v>
      </c>
      <c r="G576" t="s">
        <v>207</v>
      </c>
      <c r="H576" s="8" t="s">
        <v>208</v>
      </c>
      <c r="I576" s="8" t="s">
        <v>208</v>
      </c>
      <c r="J576" s="8" t="s">
        <v>208</v>
      </c>
      <c r="K576" s="8" t="s">
        <v>208</v>
      </c>
      <c r="L576" s="8" t="s">
        <v>208</v>
      </c>
      <c r="M576" s="8" t="s">
        <v>208</v>
      </c>
      <c r="N576" s="8" t="s">
        <v>208</v>
      </c>
      <c r="O576" s="8" t="s">
        <v>221</v>
      </c>
      <c r="P576" t="s">
        <v>2497</v>
      </c>
      <c r="Q576" t="s">
        <v>2628</v>
      </c>
      <c r="R576" t="s">
        <v>2629</v>
      </c>
      <c r="U576" t="s">
        <v>2630</v>
      </c>
      <c r="V576" t="s">
        <v>140</v>
      </c>
      <c r="W576" t="s">
        <v>212</v>
      </c>
      <c r="X576" t="s">
        <v>212</v>
      </c>
      <c r="Y576" t="s">
        <v>213</v>
      </c>
      <c r="Z576" t="s">
        <v>213</v>
      </c>
      <c r="AA576" t="s">
        <v>214</v>
      </c>
      <c r="AB576" t="s">
        <v>242</v>
      </c>
      <c r="AC576" t="s">
        <v>242</v>
      </c>
      <c r="AD576" t="s">
        <v>216</v>
      </c>
      <c r="AE576" t="s">
        <v>217</v>
      </c>
      <c r="AG576" s="8" t="s">
        <v>218</v>
      </c>
      <c r="AH576" t="s">
        <v>219</v>
      </c>
      <c r="AI576" s="9" t="s">
        <v>218</v>
      </c>
      <c r="AJ576" s="9" t="s">
        <v>218</v>
      </c>
      <c r="AK576" t="s">
        <v>234</v>
      </c>
      <c r="AL576" s="9" t="s">
        <v>218</v>
      </c>
      <c r="AM576" s="8" t="s">
        <v>221</v>
      </c>
      <c r="AN576" s="8" t="s">
        <v>221</v>
      </c>
      <c r="AO576" s="8" t="s">
        <v>222</v>
      </c>
      <c r="AP576" s="8">
        <v>0</v>
      </c>
      <c r="AQ576" s="9">
        <v>1</v>
      </c>
      <c r="AR576" s="9">
        <v>2</v>
      </c>
      <c r="AS576" s="8">
        <v>0</v>
      </c>
      <c r="AT576" s="8">
        <v>0</v>
      </c>
      <c r="AU576" s="8">
        <v>0</v>
      </c>
      <c r="AV576" s="9">
        <v>1</v>
      </c>
      <c r="AW576" s="9">
        <v>4</v>
      </c>
      <c r="AX576" s="8"/>
      <c r="AY576" s="8"/>
      <c r="AZ576">
        <v>0</v>
      </c>
      <c r="BB576" t="s">
        <v>2631</v>
      </c>
    </row>
    <row r="577" spans="1:54">
      <c r="A577" s="6">
        <v>45807</v>
      </c>
      <c r="B577" s="7" t="s">
        <v>2632</v>
      </c>
      <c r="C577" t="s">
        <v>714</v>
      </c>
      <c r="D577" t="s">
        <v>2254</v>
      </c>
      <c r="G577" t="s">
        <v>207</v>
      </c>
      <c r="H577" s="8" t="s">
        <v>208</v>
      </c>
      <c r="I577" s="8" t="s">
        <v>208</v>
      </c>
      <c r="J577" s="8" t="s">
        <v>208</v>
      </c>
      <c r="K577" s="8" t="s">
        <v>208</v>
      </c>
      <c r="L577" s="8" t="s">
        <v>208</v>
      </c>
      <c r="M577" s="8" t="s">
        <v>208</v>
      </c>
      <c r="N577" s="8" t="s">
        <v>208</v>
      </c>
      <c r="O577" s="8" t="s">
        <v>221</v>
      </c>
      <c r="P577" t="s">
        <v>2497</v>
      </c>
      <c r="Q577" t="s">
        <v>2633</v>
      </c>
      <c r="R577" t="s">
        <v>2634</v>
      </c>
      <c r="U577" t="s">
        <v>2635</v>
      </c>
      <c r="V577" t="s">
        <v>14</v>
      </c>
      <c r="W577" t="s">
        <v>774</v>
      </c>
      <c r="X577" t="s">
        <v>774</v>
      </c>
      <c r="Y577" t="s">
        <v>775</v>
      </c>
      <c r="Z577" t="s">
        <v>775</v>
      </c>
      <c r="AA577" t="s">
        <v>214</v>
      </c>
      <c r="AB577" t="s">
        <v>391</v>
      </c>
      <c r="AC577" t="s">
        <v>425</v>
      </c>
      <c r="AD577" t="s">
        <v>216</v>
      </c>
      <c r="AE577" t="s">
        <v>11</v>
      </c>
      <c r="AG577" s="8" t="s">
        <v>218</v>
      </c>
      <c r="AH577" t="s">
        <v>219</v>
      </c>
      <c r="AI577" s="9" t="s">
        <v>218</v>
      </c>
      <c r="AJ577" s="9" t="s">
        <v>218</v>
      </c>
      <c r="AK577" t="s">
        <v>2636</v>
      </c>
      <c r="AL577" s="9" t="s">
        <v>218</v>
      </c>
      <c r="AM577" s="8" t="s">
        <v>221</v>
      </c>
      <c r="AN577" s="8" t="s">
        <v>221</v>
      </c>
      <c r="AO577" s="8" t="s">
        <v>222</v>
      </c>
      <c r="AP577" s="8">
        <v>0</v>
      </c>
      <c r="AQ577" s="9">
        <v>1</v>
      </c>
      <c r="AR577" s="8">
        <v>0</v>
      </c>
      <c r="AS577" s="8">
        <v>0</v>
      </c>
      <c r="AT577" s="8">
        <v>0</v>
      </c>
      <c r="AU577" s="8">
        <v>0</v>
      </c>
      <c r="AV577" s="9">
        <v>1</v>
      </c>
      <c r="AW577" s="9">
        <v>2</v>
      </c>
      <c r="AX577" s="8"/>
      <c r="AY577" s="8"/>
      <c r="AZ577">
        <v>0</v>
      </c>
    </row>
    <row r="578" spans="1:54">
      <c r="A578" s="6">
        <v>45807</v>
      </c>
      <c r="B578" s="7" t="s">
        <v>2637</v>
      </c>
      <c r="C578" t="s">
        <v>714</v>
      </c>
      <c r="D578" t="s">
        <v>2254</v>
      </c>
      <c r="G578" t="s">
        <v>207</v>
      </c>
      <c r="H578" s="8" t="s">
        <v>208</v>
      </c>
      <c r="I578" s="8" t="s">
        <v>208</v>
      </c>
      <c r="J578" s="8" t="s">
        <v>208</v>
      </c>
      <c r="K578" s="8" t="s">
        <v>208</v>
      </c>
      <c r="L578" s="8" t="s">
        <v>208</v>
      </c>
      <c r="M578" s="8" t="s">
        <v>208</v>
      </c>
      <c r="N578" s="8" t="s">
        <v>208</v>
      </c>
      <c r="O578" s="8" t="s">
        <v>221</v>
      </c>
      <c r="P578" t="s">
        <v>2497</v>
      </c>
      <c r="Q578" t="s">
        <v>2638</v>
      </c>
      <c r="R578" t="s">
        <v>2639</v>
      </c>
      <c r="U578" t="s">
        <v>2640</v>
      </c>
      <c r="V578" t="s">
        <v>14</v>
      </c>
      <c r="W578" t="s">
        <v>774</v>
      </c>
      <c r="X578" t="s">
        <v>774</v>
      </c>
      <c r="Y578" t="s">
        <v>775</v>
      </c>
      <c r="Z578" t="s">
        <v>775</v>
      </c>
      <c r="AA578" t="s">
        <v>214</v>
      </c>
      <c r="AB578" t="s">
        <v>391</v>
      </c>
      <c r="AC578" t="s">
        <v>425</v>
      </c>
      <c r="AD578" t="s">
        <v>216</v>
      </c>
      <c r="AE578" t="s">
        <v>11</v>
      </c>
      <c r="AG578" s="8" t="s">
        <v>218</v>
      </c>
      <c r="AH578" t="s">
        <v>219</v>
      </c>
      <c r="AI578" s="9" t="s">
        <v>218</v>
      </c>
      <c r="AJ578" s="9" t="s">
        <v>218</v>
      </c>
      <c r="AK578" t="s">
        <v>234</v>
      </c>
      <c r="AL578" s="9" t="s">
        <v>218</v>
      </c>
      <c r="AM578" s="8" t="s">
        <v>221</v>
      </c>
      <c r="AN578" s="8" t="s">
        <v>221</v>
      </c>
      <c r="AO578" s="8" t="s">
        <v>222</v>
      </c>
      <c r="AP578" s="8">
        <v>0</v>
      </c>
      <c r="AQ578" s="9">
        <v>1</v>
      </c>
      <c r="AR578" s="8">
        <v>0</v>
      </c>
      <c r="AS578" s="8">
        <v>0</v>
      </c>
      <c r="AT578" s="8">
        <v>0</v>
      </c>
      <c r="AU578" s="8">
        <v>0</v>
      </c>
      <c r="AV578" s="9">
        <v>1</v>
      </c>
      <c r="AW578" s="9">
        <v>2</v>
      </c>
      <c r="AX578" s="8"/>
      <c r="AY578" s="8"/>
      <c r="AZ578">
        <v>0</v>
      </c>
      <c r="BB578" t="s">
        <v>2641</v>
      </c>
    </row>
    <row r="579" spans="1:54">
      <c r="A579" s="6">
        <v>45807</v>
      </c>
      <c r="B579" s="7" t="s">
        <v>2642</v>
      </c>
      <c r="C579" t="s">
        <v>714</v>
      </c>
      <c r="D579" t="s">
        <v>2254</v>
      </c>
      <c r="G579" t="s">
        <v>207</v>
      </c>
      <c r="H579" s="8" t="s">
        <v>208</v>
      </c>
      <c r="I579" s="8" t="s">
        <v>208</v>
      </c>
      <c r="J579" s="8" t="s">
        <v>208</v>
      </c>
      <c r="K579" s="8" t="s">
        <v>208</v>
      </c>
      <c r="L579" s="8" t="s">
        <v>208</v>
      </c>
      <c r="M579" s="8" t="s">
        <v>208</v>
      </c>
      <c r="N579" s="8" t="s">
        <v>208</v>
      </c>
      <c r="O579" s="8" t="s">
        <v>221</v>
      </c>
      <c r="P579" t="s">
        <v>2497</v>
      </c>
      <c r="Q579" t="s">
        <v>2643</v>
      </c>
      <c r="R579" t="s">
        <v>2644</v>
      </c>
      <c r="U579" t="s">
        <v>2645</v>
      </c>
      <c r="V579" t="s">
        <v>14</v>
      </c>
      <c r="W579" t="s">
        <v>774</v>
      </c>
      <c r="X579" t="s">
        <v>774</v>
      </c>
      <c r="Y579" t="s">
        <v>775</v>
      </c>
      <c r="Z579" t="s">
        <v>775</v>
      </c>
      <c r="AA579" t="s">
        <v>214</v>
      </c>
      <c r="AB579" t="s">
        <v>603</v>
      </c>
      <c r="AC579" t="s">
        <v>408</v>
      </c>
      <c r="AD579" t="s">
        <v>216</v>
      </c>
      <c r="AE579" t="s">
        <v>11</v>
      </c>
      <c r="AG579" s="8" t="s">
        <v>218</v>
      </c>
      <c r="AH579" t="s">
        <v>219</v>
      </c>
      <c r="AI579" s="9" t="s">
        <v>218</v>
      </c>
      <c r="AJ579" s="9" t="s">
        <v>218</v>
      </c>
      <c r="AK579" t="s">
        <v>234</v>
      </c>
      <c r="AL579" s="9" t="s">
        <v>218</v>
      </c>
      <c r="AM579" s="8" t="s">
        <v>221</v>
      </c>
      <c r="AN579" s="8" t="s">
        <v>221</v>
      </c>
      <c r="AO579" s="8" t="s">
        <v>222</v>
      </c>
      <c r="AP579" s="8">
        <v>0</v>
      </c>
      <c r="AQ579" s="9">
        <v>1</v>
      </c>
      <c r="AR579" s="9">
        <v>7</v>
      </c>
      <c r="AS579" s="8">
        <v>0</v>
      </c>
      <c r="AT579" s="8">
        <v>0</v>
      </c>
      <c r="AU579" s="8">
        <v>0</v>
      </c>
      <c r="AV579" s="9">
        <v>2</v>
      </c>
      <c r="AW579" s="9">
        <v>10</v>
      </c>
      <c r="AX579" s="8"/>
      <c r="AY579" s="8"/>
      <c r="AZ579">
        <v>0</v>
      </c>
      <c r="BB579" t="s">
        <v>2646</v>
      </c>
    </row>
    <row r="580" spans="1:54">
      <c r="A580" s="6">
        <v>45807</v>
      </c>
      <c r="B580" s="7" t="s">
        <v>2468</v>
      </c>
      <c r="C580" t="s">
        <v>205</v>
      </c>
      <c r="D580" t="s">
        <v>2254</v>
      </c>
      <c r="G580" t="s">
        <v>207</v>
      </c>
      <c r="H580" s="8" t="s">
        <v>208</v>
      </c>
      <c r="I580" s="8" t="s">
        <v>208</v>
      </c>
      <c r="J580" s="8" t="s">
        <v>208</v>
      </c>
      <c r="K580" s="8" t="s">
        <v>208</v>
      </c>
      <c r="L580" s="8" t="s">
        <v>208</v>
      </c>
      <c r="M580" s="8" t="s">
        <v>208</v>
      </c>
      <c r="N580" s="8" t="s">
        <v>208</v>
      </c>
      <c r="O580" s="8" t="s">
        <v>221</v>
      </c>
      <c r="P580" t="s">
        <v>2497</v>
      </c>
      <c r="Q580" t="s">
        <v>2469</v>
      </c>
      <c r="R580" t="s">
        <v>2470</v>
      </c>
      <c r="U580" t="s">
        <v>2471</v>
      </c>
      <c r="V580" t="s">
        <v>140</v>
      </c>
      <c r="W580" t="s">
        <v>212</v>
      </c>
      <c r="Y580" t="s">
        <v>213</v>
      </c>
      <c r="AA580" t="s">
        <v>214</v>
      </c>
      <c r="AB580" t="s">
        <v>701</v>
      </c>
      <c r="AD580" t="s">
        <v>216</v>
      </c>
      <c r="AE580" t="s">
        <v>217</v>
      </c>
      <c r="AG580" s="9" t="s">
        <v>221</v>
      </c>
      <c r="AH580" t="s">
        <v>219</v>
      </c>
      <c r="AI580" s="9" t="s">
        <v>218</v>
      </c>
      <c r="AJ580" s="9" t="s">
        <v>218</v>
      </c>
      <c r="AK580" t="s">
        <v>234</v>
      </c>
      <c r="AL580" s="9" t="s">
        <v>218</v>
      </c>
      <c r="AM580" s="8" t="s">
        <v>221</v>
      </c>
      <c r="AN580" s="8" t="s">
        <v>221</v>
      </c>
      <c r="AO580" s="8" t="s">
        <v>222</v>
      </c>
      <c r="AP580" s="8">
        <v>0</v>
      </c>
      <c r="AQ580" s="8">
        <v>0</v>
      </c>
      <c r="AR580" s="8">
        <v>0</v>
      </c>
      <c r="AS580" s="8">
        <v>0</v>
      </c>
      <c r="AT580" s="8">
        <v>0</v>
      </c>
      <c r="AU580" s="8">
        <v>0</v>
      </c>
      <c r="AV580" s="8">
        <v>0</v>
      </c>
      <c r="AW580" s="8">
        <v>0</v>
      </c>
      <c r="AX580" s="8"/>
      <c r="AY580" s="8"/>
      <c r="AZ580">
        <v>0</v>
      </c>
    </row>
    <row r="581" spans="1:54">
      <c r="A581" s="6">
        <v>45807</v>
      </c>
      <c r="B581" s="7" t="s">
        <v>1331</v>
      </c>
      <c r="C581" t="s">
        <v>714</v>
      </c>
      <c r="D581" t="s">
        <v>2254</v>
      </c>
      <c r="G581" t="s">
        <v>207</v>
      </c>
      <c r="H581" s="8" t="s">
        <v>208</v>
      </c>
      <c r="I581" s="8" t="s">
        <v>208</v>
      </c>
      <c r="J581" s="8" t="s">
        <v>208</v>
      </c>
      <c r="K581" s="8" t="s">
        <v>208</v>
      </c>
      <c r="L581" s="8" t="s">
        <v>208</v>
      </c>
      <c r="M581" s="8" t="s">
        <v>208</v>
      </c>
      <c r="N581" s="8" t="s">
        <v>208</v>
      </c>
      <c r="O581" s="8" t="s">
        <v>221</v>
      </c>
      <c r="P581" t="s">
        <v>2497</v>
      </c>
      <c r="Q581" t="s">
        <v>1332</v>
      </c>
      <c r="R581" t="s">
        <v>1333</v>
      </c>
      <c r="U581" t="s">
        <v>1334</v>
      </c>
      <c r="V581" t="s">
        <v>14</v>
      </c>
      <c r="W581" t="s">
        <v>212</v>
      </c>
      <c r="X581" t="s">
        <v>212</v>
      </c>
      <c r="Y581" t="s">
        <v>213</v>
      </c>
      <c r="Z581" t="s">
        <v>213</v>
      </c>
      <c r="AA581" t="s">
        <v>214</v>
      </c>
      <c r="AB581" t="s">
        <v>681</v>
      </c>
      <c r="AC581" t="s">
        <v>1336</v>
      </c>
      <c r="AD581" t="s">
        <v>216</v>
      </c>
      <c r="AE581" t="s">
        <v>217</v>
      </c>
      <c r="AG581" s="8" t="s">
        <v>218</v>
      </c>
      <c r="AH581" t="s">
        <v>219</v>
      </c>
      <c r="AI581" s="9" t="s">
        <v>218</v>
      </c>
      <c r="AJ581" s="9" t="s">
        <v>218</v>
      </c>
      <c r="AK581" t="s">
        <v>234</v>
      </c>
      <c r="AL581" s="9" t="s">
        <v>218</v>
      </c>
      <c r="AM581" s="8" t="s">
        <v>221</v>
      </c>
      <c r="AN581" s="8" t="s">
        <v>221</v>
      </c>
      <c r="AO581" s="8" t="s">
        <v>222</v>
      </c>
      <c r="AP581" s="8">
        <v>0</v>
      </c>
      <c r="AQ581" s="8">
        <v>0</v>
      </c>
      <c r="AR581" s="9">
        <v>52</v>
      </c>
      <c r="AS581" s="8">
        <v>0</v>
      </c>
      <c r="AT581" s="8">
        <v>0</v>
      </c>
      <c r="AU581" s="8">
        <v>0</v>
      </c>
      <c r="AV581" s="9">
        <v>2</v>
      </c>
      <c r="AW581" s="9">
        <v>54</v>
      </c>
      <c r="AX581" s="8"/>
      <c r="AY581" s="8"/>
      <c r="AZ581">
        <v>0</v>
      </c>
      <c r="BB581" t="s">
        <v>1338</v>
      </c>
    </row>
    <row r="582" spans="1:54">
      <c r="A582" s="6">
        <v>45807</v>
      </c>
      <c r="B582" s="7" t="s">
        <v>2647</v>
      </c>
      <c r="C582" t="s">
        <v>714</v>
      </c>
      <c r="D582" t="s">
        <v>2254</v>
      </c>
      <c r="G582" t="s">
        <v>207</v>
      </c>
      <c r="H582" s="8" t="s">
        <v>208</v>
      </c>
      <c r="I582" s="8" t="s">
        <v>208</v>
      </c>
      <c r="J582" s="8" t="s">
        <v>208</v>
      </c>
      <c r="K582" s="8" t="s">
        <v>208</v>
      </c>
      <c r="L582" s="8" t="s">
        <v>208</v>
      </c>
      <c r="M582" s="8" t="s">
        <v>208</v>
      </c>
      <c r="N582" s="8" t="s">
        <v>208</v>
      </c>
      <c r="O582" s="8" t="s">
        <v>221</v>
      </c>
      <c r="P582" t="s">
        <v>2497</v>
      </c>
      <c r="Q582" t="s">
        <v>2648</v>
      </c>
      <c r="R582" t="s">
        <v>2649</v>
      </c>
      <c r="U582" t="s">
        <v>2650</v>
      </c>
      <c r="V582" t="s">
        <v>14</v>
      </c>
      <c r="W582" t="s">
        <v>774</v>
      </c>
      <c r="X582" t="s">
        <v>774</v>
      </c>
      <c r="Y582" t="s">
        <v>775</v>
      </c>
      <c r="Z582" t="s">
        <v>775</v>
      </c>
      <c r="AA582" t="s">
        <v>214</v>
      </c>
      <c r="AB582" t="s">
        <v>538</v>
      </c>
      <c r="AC582" t="s">
        <v>417</v>
      </c>
      <c r="AD582" t="s">
        <v>216</v>
      </c>
      <c r="AE582" t="s">
        <v>11</v>
      </c>
      <c r="AG582" s="8" t="s">
        <v>218</v>
      </c>
      <c r="AH582" t="s">
        <v>219</v>
      </c>
      <c r="AI582" s="9" t="s">
        <v>218</v>
      </c>
      <c r="AJ582" s="9" t="s">
        <v>218</v>
      </c>
      <c r="AK582" t="s">
        <v>234</v>
      </c>
      <c r="AL582" s="9" t="s">
        <v>218</v>
      </c>
      <c r="AM582" s="8" t="s">
        <v>221</v>
      </c>
      <c r="AN582" s="8" t="s">
        <v>221</v>
      </c>
      <c r="AO582" s="8" t="s">
        <v>222</v>
      </c>
      <c r="AP582" s="8">
        <v>0</v>
      </c>
      <c r="AQ582" s="9">
        <v>2</v>
      </c>
      <c r="AR582" s="9">
        <v>11</v>
      </c>
      <c r="AS582" s="8">
        <v>0</v>
      </c>
      <c r="AT582" s="8">
        <v>0</v>
      </c>
      <c r="AU582" s="8">
        <v>0</v>
      </c>
      <c r="AV582" s="9">
        <v>2</v>
      </c>
      <c r="AW582" s="9">
        <v>15</v>
      </c>
      <c r="AX582" s="8"/>
      <c r="AY582" s="8"/>
      <c r="AZ582">
        <v>0</v>
      </c>
      <c r="BB582" t="s">
        <v>2651</v>
      </c>
    </row>
    <row r="583" spans="1:54">
      <c r="A583" s="6">
        <v>45807</v>
      </c>
      <c r="B583" s="7" t="s">
        <v>271</v>
      </c>
      <c r="C583" t="s">
        <v>714</v>
      </c>
      <c r="D583" t="s">
        <v>2254</v>
      </c>
      <c r="G583" t="s">
        <v>207</v>
      </c>
      <c r="H583" s="8" t="s">
        <v>208</v>
      </c>
      <c r="I583" s="8" t="s">
        <v>208</v>
      </c>
      <c r="J583" s="8" t="s">
        <v>208</v>
      </c>
      <c r="K583" s="8" t="s">
        <v>208</v>
      </c>
      <c r="L583" s="8" t="s">
        <v>208</v>
      </c>
      <c r="M583" s="8" t="s">
        <v>208</v>
      </c>
      <c r="N583" s="8" t="s">
        <v>208</v>
      </c>
      <c r="O583" s="8" t="s">
        <v>221</v>
      </c>
      <c r="P583" t="s">
        <v>2497</v>
      </c>
      <c r="Q583" t="s">
        <v>272</v>
      </c>
      <c r="R583" t="s">
        <v>273</v>
      </c>
      <c r="U583" t="s">
        <v>274</v>
      </c>
      <c r="V583" t="s">
        <v>140</v>
      </c>
      <c r="W583" t="s">
        <v>212</v>
      </c>
      <c r="X583" t="s">
        <v>212</v>
      </c>
      <c r="Y583" t="s">
        <v>275</v>
      </c>
      <c r="Z583" t="s">
        <v>213</v>
      </c>
      <c r="AA583" t="s">
        <v>214</v>
      </c>
      <c r="AB583" t="s">
        <v>672</v>
      </c>
      <c r="AC583" t="s">
        <v>1336</v>
      </c>
      <c r="AD583" t="s">
        <v>216</v>
      </c>
      <c r="AE583" t="s">
        <v>217</v>
      </c>
      <c r="AG583" s="9" t="s">
        <v>221</v>
      </c>
      <c r="AH583" t="s">
        <v>219</v>
      </c>
      <c r="AI583" s="9" t="s">
        <v>218</v>
      </c>
      <c r="AJ583" s="9" t="s">
        <v>218</v>
      </c>
      <c r="AK583" t="s">
        <v>234</v>
      </c>
      <c r="AL583" s="8" t="s">
        <v>221</v>
      </c>
      <c r="AM583" s="9" t="s">
        <v>218</v>
      </c>
      <c r="AN583" s="8" t="s">
        <v>221</v>
      </c>
      <c r="AO583" s="8" t="s">
        <v>222</v>
      </c>
      <c r="AP583" s="8">
        <v>0</v>
      </c>
      <c r="AQ583" s="8">
        <v>0</v>
      </c>
      <c r="AR583" s="9">
        <v>46</v>
      </c>
      <c r="AS583" s="8">
        <v>0</v>
      </c>
      <c r="AT583" s="8">
        <v>0</v>
      </c>
      <c r="AU583" s="8">
        <v>0</v>
      </c>
      <c r="AV583" s="9">
        <v>2</v>
      </c>
      <c r="AW583" s="9">
        <v>48</v>
      </c>
      <c r="AX583" s="9" t="s">
        <v>278</v>
      </c>
      <c r="AY583" s="9" t="s">
        <v>2652</v>
      </c>
      <c r="AZ583">
        <v>2</v>
      </c>
      <c r="BA583" t="s">
        <v>2653</v>
      </c>
      <c r="BB583" t="s">
        <v>279</v>
      </c>
    </row>
    <row r="584" spans="1:54">
      <c r="A584" s="6">
        <v>45807</v>
      </c>
      <c r="B584" s="7" t="s">
        <v>2654</v>
      </c>
      <c r="C584" t="s">
        <v>714</v>
      </c>
      <c r="D584" t="s">
        <v>2254</v>
      </c>
      <c r="G584" t="s">
        <v>207</v>
      </c>
      <c r="H584" s="8" t="s">
        <v>208</v>
      </c>
      <c r="I584" s="8" t="s">
        <v>208</v>
      </c>
      <c r="J584" s="8" t="s">
        <v>208</v>
      </c>
      <c r="K584" s="8" t="s">
        <v>208</v>
      </c>
      <c r="L584" s="8" t="s">
        <v>208</v>
      </c>
      <c r="M584" s="8" t="s">
        <v>208</v>
      </c>
      <c r="N584" s="8" t="s">
        <v>208</v>
      </c>
      <c r="O584" s="8" t="s">
        <v>221</v>
      </c>
      <c r="P584" t="s">
        <v>2497</v>
      </c>
      <c r="Q584" t="s">
        <v>2655</v>
      </c>
      <c r="R584" t="s">
        <v>2656</v>
      </c>
      <c r="U584" t="s">
        <v>2657</v>
      </c>
      <c r="V584" t="s">
        <v>138</v>
      </c>
      <c r="W584" t="s">
        <v>212</v>
      </c>
      <c r="X584" t="s">
        <v>212</v>
      </c>
      <c r="Y584" t="s">
        <v>213</v>
      </c>
      <c r="Z584" t="s">
        <v>213</v>
      </c>
      <c r="AA584" t="s">
        <v>214</v>
      </c>
      <c r="AB584" t="s">
        <v>242</v>
      </c>
      <c r="AC584" t="s">
        <v>242</v>
      </c>
      <c r="AD584" t="s">
        <v>216</v>
      </c>
      <c r="AE584" t="s">
        <v>11</v>
      </c>
      <c r="AG584" s="8" t="s">
        <v>218</v>
      </c>
      <c r="AH584" t="s">
        <v>219</v>
      </c>
      <c r="AI584" s="9" t="s">
        <v>218</v>
      </c>
      <c r="AJ584" s="9" t="s">
        <v>218</v>
      </c>
      <c r="AK584" t="s">
        <v>234</v>
      </c>
      <c r="AL584" s="9" t="s">
        <v>218</v>
      </c>
      <c r="AM584" s="8" t="s">
        <v>221</v>
      </c>
      <c r="AN584" s="8" t="s">
        <v>221</v>
      </c>
      <c r="AO584" s="8" t="s">
        <v>222</v>
      </c>
      <c r="AP584" s="8">
        <v>0</v>
      </c>
      <c r="AQ584" s="8">
        <v>0</v>
      </c>
      <c r="AR584" s="8">
        <v>0</v>
      </c>
      <c r="AS584" s="8">
        <v>0</v>
      </c>
      <c r="AT584" s="8">
        <v>0</v>
      </c>
      <c r="AU584" s="8">
        <v>0</v>
      </c>
      <c r="AV584" s="8">
        <v>0</v>
      </c>
      <c r="AW584" s="8">
        <v>0</v>
      </c>
      <c r="AX584" s="8"/>
      <c r="AY584" s="8"/>
      <c r="AZ584">
        <v>0</v>
      </c>
      <c r="BB584" t="s">
        <v>2658</v>
      </c>
    </row>
    <row r="585" spans="1:54">
      <c r="A585" s="6">
        <v>45807</v>
      </c>
      <c r="B585" s="7" t="s">
        <v>2659</v>
      </c>
      <c r="C585" t="s">
        <v>714</v>
      </c>
      <c r="D585" t="s">
        <v>2254</v>
      </c>
      <c r="G585" t="s">
        <v>207</v>
      </c>
      <c r="H585" s="8" t="s">
        <v>208</v>
      </c>
      <c r="I585" s="8" t="s">
        <v>208</v>
      </c>
      <c r="J585" s="8" t="s">
        <v>208</v>
      </c>
      <c r="K585" s="8" t="s">
        <v>208</v>
      </c>
      <c r="L585" s="8" t="s">
        <v>208</v>
      </c>
      <c r="M585" s="8" t="s">
        <v>208</v>
      </c>
      <c r="N585" s="8" t="s">
        <v>208</v>
      </c>
      <c r="O585" s="8" t="s">
        <v>221</v>
      </c>
      <c r="P585" t="s">
        <v>2497</v>
      </c>
      <c r="Q585" t="s">
        <v>2660</v>
      </c>
      <c r="R585" t="s">
        <v>2661</v>
      </c>
      <c r="U585" t="s">
        <v>2662</v>
      </c>
      <c r="V585" t="s">
        <v>14</v>
      </c>
      <c r="W585" t="s">
        <v>774</v>
      </c>
      <c r="X585" t="s">
        <v>774</v>
      </c>
      <c r="Y585" t="s">
        <v>775</v>
      </c>
      <c r="Z585" t="s">
        <v>775</v>
      </c>
      <c r="AA585" t="s">
        <v>214</v>
      </c>
      <c r="AB585" t="s">
        <v>425</v>
      </c>
      <c r="AC585" t="s">
        <v>425</v>
      </c>
      <c r="AD585" t="s">
        <v>216</v>
      </c>
      <c r="AE585" t="s">
        <v>11</v>
      </c>
      <c r="AG585" s="8" t="s">
        <v>218</v>
      </c>
      <c r="AH585" t="s">
        <v>219</v>
      </c>
      <c r="AI585" s="9" t="s">
        <v>218</v>
      </c>
      <c r="AJ585" s="9" t="s">
        <v>218</v>
      </c>
      <c r="AK585" t="s">
        <v>234</v>
      </c>
      <c r="AL585" s="9" t="s">
        <v>218</v>
      </c>
      <c r="AM585" s="8" t="s">
        <v>221</v>
      </c>
      <c r="AN585" s="8" t="s">
        <v>221</v>
      </c>
      <c r="AO585" s="8" t="s">
        <v>222</v>
      </c>
      <c r="AP585" s="8">
        <v>0</v>
      </c>
      <c r="AQ585" s="8">
        <v>0</v>
      </c>
      <c r="AR585" s="8">
        <v>0</v>
      </c>
      <c r="AS585" s="8">
        <v>0</v>
      </c>
      <c r="AT585" s="8">
        <v>0</v>
      </c>
      <c r="AU585" s="8">
        <v>0</v>
      </c>
      <c r="AV585" s="8">
        <v>0</v>
      </c>
      <c r="AW585" s="8">
        <v>0</v>
      </c>
      <c r="AX585" s="8"/>
      <c r="AY585" s="8"/>
      <c r="AZ585">
        <v>0</v>
      </c>
      <c r="BB585" t="s">
        <v>2663</v>
      </c>
    </row>
    <row r="586" spans="1:54">
      <c r="A586" s="6">
        <v>45807</v>
      </c>
      <c r="B586" s="7" t="s">
        <v>813</v>
      </c>
      <c r="C586" t="s">
        <v>205</v>
      </c>
      <c r="D586" t="s">
        <v>2286</v>
      </c>
      <c r="G586" t="s">
        <v>207</v>
      </c>
      <c r="H586" s="8" t="s">
        <v>208</v>
      </c>
      <c r="I586" s="8" t="s">
        <v>208</v>
      </c>
      <c r="J586" s="8" t="s">
        <v>208</v>
      </c>
      <c r="K586" s="8" t="s">
        <v>208</v>
      </c>
      <c r="L586" s="8" t="s">
        <v>208</v>
      </c>
      <c r="M586" s="8" t="s">
        <v>208</v>
      </c>
      <c r="N586" s="8" t="s">
        <v>208</v>
      </c>
      <c r="O586" s="8" t="s">
        <v>221</v>
      </c>
      <c r="Q586" t="s">
        <v>815</v>
      </c>
      <c r="R586" t="s">
        <v>816</v>
      </c>
      <c r="U586" t="s">
        <v>817</v>
      </c>
      <c r="V586" t="s">
        <v>140</v>
      </c>
      <c r="W586" t="s">
        <v>212</v>
      </c>
      <c r="X586" t="s">
        <v>212</v>
      </c>
      <c r="Y586" t="s">
        <v>275</v>
      </c>
      <c r="Z586" t="s">
        <v>213</v>
      </c>
      <c r="AA586" t="s">
        <v>214</v>
      </c>
      <c r="AB586" t="s">
        <v>277</v>
      </c>
      <c r="AC586" t="s">
        <v>758</v>
      </c>
      <c r="AD586" t="s">
        <v>216</v>
      </c>
      <c r="AE586" t="s">
        <v>217</v>
      </c>
      <c r="AG586" s="8" t="s">
        <v>218</v>
      </c>
      <c r="AH586" t="s">
        <v>219</v>
      </c>
      <c r="AI586" s="9" t="s">
        <v>218</v>
      </c>
      <c r="AJ586" s="9" t="s">
        <v>218</v>
      </c>
      <c r="AK586" t="s">
        <v>234</v>
      </c>
      <c r="AL586" s="8" t="s">
        <v>221</v>
      </c>
      <c r="AM586" s="9" t="s">
        <v>218</v>
      </c>
      <c r="AN586" s="8" t="s">
        <v>221</v>
      </c>
      <c r="AO586" s="8" t="s">
        <v>222</v>
      </c>
      <c r="AP586" s="8">
        <v>0</v>
      </c>
      <c r="AQ586" s="8">
        <v>0</v>
      </c>
      <c r="AR586" s="9">
        <v>32</v>
      </c>
      <c r="AS586" s="8">
        <v>0</v>
      </c>
      <c r="AT586" s="8">
        <v>0</v>
      </c>
      <c r="AU586" s="8">
        <v>0</v>
      </c>
      <c r="AV586" s="8">
        <v>0</v>
      </c>
      <c r="AW586" s="9">
        <v>32</v>
      </c>
      <c r="AX586" s="8"/>
      <c r="AY586" s="9" t="s">
        <v>2664</v>
      </c>
      <c r="AZ586">
        <v>2</v>
      </c>
      <c r="BA586" t="s">
        <v>2665</v>
      </c>
      <c r="BB586" t="s">
        <v>819</v>
      </c>
    </row>
    <row r="587" spans="1:54">
      <c r="A587" s="6">
        <v>45807</v>
      </c>
      <c r="B587" s="7" t="s">
        <v>1644</v>
      </c>
      <c r="C587" t="s">
        <v>205</v>
      </c>
      <c r="D587" t="s">
        <v>2286</v>
      </c>
      <c r="G587" t="s">
        <v>207</v>
      </c>
      <c r="H587" s="8" t="s">
        <v>208</v>
      </c>
      <c r="I587" s="8" t="s">
        <v>208</v>
      </c>
      <c r="J587" s="8" t="s">
        <v>208</v>
      </c>
      <c r="K587" s="8" t="s">
        <v>208</v>
      </c>
      <c r="L587" s="8" t="s">
        <v>208</v>
      </c>
      <c r="M587" s="8" t="s">
        <v>208</v>
      </c>
      <c r="N587" s="8" t="s">
        <v>208</v>
      </c>
      <c r="O587" s="8" t="s">
        <v>221</v>
      </c>
      <c r="Q587" t="s">
        <v>1645</v>
      </c>
      <c r="R587" t="s">
        <v>1646</v>
      </c>
      <c r="U587" t="s">
        <v>1647</v>
      </c>
      <c r="V587" t="s">
        <v>140</v>
      </c>
      <c r="W587" t="s">
        <v>212</v>
      </c>
      <c r="X587" t="s">
        <v>212</v>
      </c>
      <c r="Y587" t="s">
        <v>213</v>
      </c>
      <c r="Z587" t="s">
        <v>213</v>
      </c>
      <c r="AA587" t="s">
        <v>214</v>
      </c>
      <c r="AB587" t="s">
        <v>758</v>
      </c>
      <c r="AC587" t="s">
        <v>701</v>
      </c>
      <c r="AD587" t="s">
        <v>216</v>
      </c>
      <c r="AE587" t="s">
        <v>217</v>
      </c>
      <c r="AG587" s="8" t="s">
        <v>218</v>
      </c>
      <c r="AH587" t="s">
        <v>219</v>
      </c>
      <c r="AI587" s="9" t="s">
        <v>218</v>
      </c>
      <c r="AJ587" s="9" t="s">
        <v>218</v>
      </c>
      <c r="AK587" t="s">
        <v>234</v>
      </c>
      <c r="AL587" s="9" t="s">
        <v>218</v>
      </c>
      <c r="AM587" s="8" t="s">
        <v>221</v>
      </c>
      <c r="AN587" s="8" t="s">
        <v>221</v>
      </c>
      <c r="AO587" s="8" t="s">
        <v>222</v>
      </c>
      <c r="AP587" s="8">
        <v>0</v>
      </c>
      <c r="AQ587" s="8">
        <v>0</v>
      </c>
      <c r="AR587" s="8">
        <v>0</v>
      </c>
      <c r="AS587" s="8">
        <v>0</v>
      </c>
      <c r="AT587" s="8">
        <v>0</v>
      </c>
      <c r="AU587" s="8">
        <v>0</v>
      </c>
      <c r="AV587" s="8">
        <v>0</v>
      </c>
      <c r="AW587" s="8">
        <v>0</v>
      </c>
      <c r="AX587" s="8"/>
      <c r="AY587" s="9" t="s">
        <v>2666</v>
      </c>
      <c r="AZ587">
        <v>0</v>
      </c>
      <c r="BB587" t="s">
        <v>1650</v>
      </c>
    </row>
    <row r="588" spans="1:54">
      <c r="A588" s="6">
        <v>45827</v>
      </c>
      <c r="B588" s="7" t="s">
        <v>2226</v>
      </c>
      <c r="C588" t="s">
        <v>205</v>
      </c>
      <c r="D588" t="s">
        <v>2667</v>
      </c>
      <c r="G588" t="s">
        <v>207</v>
      </c>
      <c r="H588" s="8" t="s">
        <v>208</v>
      </c>
      <c r="I588" s="8" t="s">
        <v>208</v>
      </c>
      <c r="J588" s="8" t="s">
        <v>208</v>
      </c>
      <c r="K588" s="8" t="s">
        <v>208</v>
      </c>
      <c r="L588" s="8" t="s">
        <v>208</v>
      </c>
      <c r="M588" s="8" t="s">
        <v>208</v>
      </c>
      <c r="N588" s="8" t="s">
        <v>208</v>
      </c>
      <c r="O588" s="8" t="s">
        <v>208</v>
      </c>
      <c r="Q588" t="s">
        <v>2228</v>
      </c>
      <c r="R588" t="s">
        <v>2229</v>
      </c>
      <c r="U588" t="s">
        <v>2230</v>
      </c>
      <c r="V588" t="s">
        <v>14</v>
      </c>
      <c r="W588" t="s">
        <v>232</v>
      </c>
      <c r="X588" t="s">
        <v>232</v>
      </c>
      <c r="Y588" t="s">
        <v>2231</v>
      </c>
      <c r="Z588" t="s">
        <v>2231</v>
      </c>
      <c r="AA588" t="s">
        <v>214</v>
      </c>
      <c r="AB588" t="s">
        <v>285</v>
      </c>
      <c r="AC588" t="s">
        <v>285</v>
      </c>
      <c r="AD588" t="s">
        <v>2668</v>
      </c>
      <c r="AE588" t="s">
        <v>217</v>
      </c>
      <c r="AG588" s="8" t="s">
        <v>218</v>
      </c>
      <c r="AH588" t="s">
        <v>2256</v>
      </c>
      <c r="AI588" s="8" t="s">
        <v>221</v>
      </c>
      <c r="AJ588" s="9" t="s">
        <v>218</v>
      </c>
      <c r="AK588" t="s">
        <v>234</v>
      </c>
      <c r="AL588" s="9" t="s">
        <v>218</v>
      </c>
      <c r="AM588" s="8" t="s">
        <v>221</v>
      </c>
      <c r="AN588" s="8" t="s">
        <v>221</v>
      </c>
      <c r="AO588" s="8" t="s">
        <v>222</v>
      </c>
      <c r="AP588" s="8">
        <v>0</v>
      </c>
      <c r="AQ588" s="8">
        <v>0</v>
      </c>
      <c r="AR588" s="8">
        <v>0</v>
      </c>
      <c r="AS588" s="8">
        <v>0</v>
      </c>
      <c r="AT588" s="8">
        <v>0</v>
      </c>
      <c r="AU588" s="8">
        <v>0</v>
      </c>
      <c r="AV588" s="8">
        <v>0</v>
      </c>
      <c r="AW588" s="8">
        <v>0</v>
      </c>
      <c r="AX588" s="8"/>
      <c r="AY588" s="8"/>
      <c r="AZ588">
        <v>1</v>
      </c>
      <c r="BA588" t="s">
        <v>2669</v>
      </c>
      <c r="BB588" t="s">
        <v>2233</v>
      </c>
    </row>
    <row r="589" spans="1:54">
      <c r="A589" s="6">
        <v>45827</v>
      </c>
      <c r="B589" s="7" t="s">
        <v>2235</v>
      </c>
      <c r="C589" t="s">
        <v>205</v>
      </c>
      <c r="D589" t="s">
        <v>2667</v>
      </c>
      <c r="G589" t="s">
        <v>207</v>
      </c>
      <c r="H589" s="8" t="s">
        <v>208</v>
      </c>
      <c r="I589" s="8" t="s">
        <v>208</v>
      </c>
      <c r="J589" s="8" t="s">
        <v>208</v>
      </c>
      <c r="K589" s="8" t="s">
        <v>208</v>
      </c>
      <c r="L589" s="8" t="s">
        <v>208</v>
      </c>
      <c r="M589" s="8" t="s">
        <v>208</v>
      </c>
      <c r="N589" s="8" t="s">
        <v>208</v>
      </c>
      <c r="O589" s="8" t="s">
        <v>208</v>
      </c>
      <c r="Q589" t="s">
        <v>2236</v>
      </c>
      <c r="R589" t="s">
        <v>2237</v>
      </c>
      <c r="U589" t="s">
        <v>2238</v>
      </c>
      <c r="V589" t="s">
        <v>140</v>
      </c>
      <c r="W589" t="s">
        <v>232</v>
      </c>
      <c r="X589" t="s">
        <v>232</v>
      </c>
      <c r="Y589" t="s">
        <v>765</v>
      </c>
      <c r="Z589" t="s">
        <v>765</v>
      </c>
      <c r="AA589" t="s">
        <v>1164</v>
      </c>
      <c r="AB589" t="s">
        <v>681</v>
      </c>
      <c r="AC589" t="s">
        <v>681</v>
      </c>
      <c r="AD589" t="s">
        <v>2668</v>
      </c>
      <c r="AE589" t="s">
        <v>217</v>
      </c>
      <c r="AG589" s="8" t="s">
        <v>218</v>
      </c>
      <c r="AH589" t="s">
        <v>2256</v>
      </c>
      <c r="AI589" s="8" t="s">
        <v>221</v>
      </c>
      <c r="AJ589" s="9" t="s">
        <v>218</v>
      </c>
      <c r="AK589" t="s">
        <v>2239</v>
      </c>
      <c r="AL589" s="9" t="s">
        <v>218</v>
      </c>
      <c r="AM589" s="8" t="s">
        <v>221</v>
      </c>
      <c r="AN589" s="8" t="s">
        <v>221</v>
      </c>
      <c r="AO589" s="8" t="s">
        <v>222</v>
      </c>
      <c r="AP589" s="8">
        <v>0</v>
      </c>
      <c r="AQ589" s="8">
        <v>0</v>
      </c>
      <c r="AR589" s="8">
        <v>0</v>
      </c>
      <c r="AS589" s="8">
        <v>0</v>
      </c>
      <c r="AT589" s="8">
        <v>0</v>
      </c>
      <c r="AU589" s="8">
        <v>0</v>
      </c>
      <c r="AV589" s="8">
        <v>0</v>
      </c>
      <c r="AW589" s="8">
        <v>0</v>
      </c>
      <c r="AX589" s="9" t="s">
        <v>2240</v>
      </c>
      <c r="AY589" s="8"/>
      <c r="AZ589">
        <v>1</v>
      </c>
      <c r="BA589" t="s">
        <v>2670</v>
      </c>
      <c r="BB589" t="s">
        <v>2242</v>
      </c>
    </row>
    <row r="590" spans="1:54">
      <c r="A590" s="6">
        <v>45827</v>
      </c>
      <c r="B590" s="7" t="s">
        <v>2671</v>
      </c>
      <c r="C590" t="s">
        <v>205</v>
      </c>
      <c r="D590" t="s">
        <v>2667</v>
      </c>
      <c r="G590" t="s">
        <v>207</v>
      </c>
      <c r="H590" s="8" t="s">
        <v>208</v>
      </c>
      <c r="I590" s="8" t="s">
        <v>208</v>
      </c>
      <c r="J590" s="8" t="s">
        <v>208</v>
      </c>
      <c r="K590" s="8" t="s">
        <v>208</v>
      </c>
      <c r="L590" s="8" t="s">
        <v>208</v>
      </c>
      <c r="M590" s="8" t="s">
        <v>208</v>
      </c>
      <c r="N590" s="8" t="s">
        <v>208</v>
      </c>
      <c r="O590" s="8" t="s">
        <v>208</v>
      </c>
      <c r="Q590" t="s">
        <v>2672</v>
      </c>
      <c r="R590" t="s">
        <v>2673</v>
      </c>
      <c r="U590" t="s">
        <v>2674</v>
      </c>
      <c r="V590" t="s">
        <v>140</v>
      </c>
      <c r="W590" t="s">
        <v>232</v>
      </c>
      <c r="X590" t="s">
        <v>232</v>
      </c>
      <c r="Y590" t="s">
        <v>765</v>
      </c>
      <c r="Z590" t="s">
        <v>765</v>
      </c>
      <c r="AA590" t="s">
        <v>1164</v>
      </c>
      <c r="AB590" t="s">
        <v>681</v>
      </c>
      <c r="AC590" t="s">
        <v>681</v>
      </c>
      <c r="AD590" t="s">
        <v>2675</v>
      </c>
      <c r="AE590" t="s">
        <v>217</v>
      </c>
      <c r="AG590" s="8" t="s">
        <v>218</v>
      </c>
      <c r="AH590" t="s">
        <v>2256</v>
      </c>
      <c r="AI590" s="8" t="s">
        <v>221</v>
      </c>
      <c r="AJ590" s="9" t="s">
        <v>218</v>
      </c>
      <c r="AK590" t="s">
        <v>2676</v>
      </c>
      <c r="AL590" s="9" t="s">
        <v>218</v>
      </c>
      <c r="AM590" s="8" t="s">
        <v>221</v>
      </c>
      <c r="AN590" s="8" t="s">
        <v>221</v>
      </c>
      <c r="AO590" s="8" t="s">
        <v>222</v>
      </c>
      <c r="AP590" s="8">
        <v>0</v>
      </c>
      <c r="AQ590" s="8">
        <v>0</v>
      </c>
      <c r="AR590" s="8">
        <v>0</v>
      </c>
      <c r="AS590" s="8">
        <v>0</v>
      </c>
      <c r="AT590" s="8">
        <v>0</v>
      </c>
      <c r="AU590" s="8">
        <v>0</v>
      </c>
      <c r="AV590" s="8">
        <v>0</v>
      </c>
      <c r="AW590" s="8">
        <v>0</v>
      </c>
      <c r="AX590" s="9" t="s">
        <v>2677</v>
      </c>
      <c r="AY590" s="8"/>
      <c r="AZ590">
        <v>1</v>
      </c>
      <c r="BA590" t="s">
        <v>2670</v>
      </c>
      <c r="BB590" t="s">
        <v>2678</v>
      </c>
    </row>
    <row r="591" spans="1:54">
      <c r="A591" s="6">
        <v>45827</v>
      </c>
      <c r="B591" s="7" t="s">
        <v>2679</v>
      </c>
      <c r="C591" t="s">
        <v>205</v>
      </c>
      <c r="D591" t="s">
        <v>2667</v>
      </c>
      <c r="G591" t="s">
        <v>207</v>
      </c>
      <c r="H591" s="8" t="s">
        <v>208</v>
      </c>
      <c r="I591" s="8" t="s">
        <v>208</v>
      </c>
      <c r="J591" s="8" t="s">
        <v>208</v>
      </c>
      <c r="K591" s="8" t="s">
        <v>208</v>
      </c>
      <c r="L591" s="8" t="s">
        <v>208</v>
      </c>
      <c r="M591" s="8" t="s">
        <v>208</v>
      </c>
      <c r="N591" s="8" t="s">
        <v>208</v>
      </c>
      <c r="O591" s="8" t="s">
        <v>208</v>
      </c>
      <c r="Q591" t="s">
        <v>2680</v>
      </c>
      <c r="R591" t="s">
        <v>2681</v>
      </c>
      <c r="U591" t="s">
        <v>2682</v>
      </c>
      <c r="V591" t="s">
        <v>140</v>
      </c>
      <c r="W591" t="s">
        <v>232</v>
      </c>
      <c r="X591" t="s">
        <v>232</v>
      </c>
      <c r="Y591" t="s">
        <v>765</v>
      </c>
      <c r="Z591" t="s">
        <v>765</v>
      </c>
      <c r="AA591" t="s">
        <v>1164</v>
      </c>
      <c r="AB591" t="s">
        <v>681</v>
      </c>
      <c r="AC591" t="s">
        <v>681</v>
      </c>
      <c r="AD591" t="s">
        <v>2668</v>
      </c>
      <c r="AE591" t="s">
        <v>217</v>
      </c>
      <c r="AG591" s="8" t="s">
        <v>218</v>
      </c>
      <c r="AH591" t="s">
        <v>2256</v>
      </c>
      <c r="AI591" s="8" t="s">
        <v>221</v>
      </c>
      <c r="AJ591" s="9" t="s">
        <v>218</v>
      </c>
      <c r="AK591" t="s">
        <v>2683</v>
      </c>
      <c r="AL591" s="9" t="s">
        <v>218</v>
      </c>
      <c r="AM591" s="8" t="s">
        <v>221</v>
      </c>
      <c r="AN591" s="8" t="s">
        <v>221</v>
      </c>
      <c r="AO591" s="8" t="s">
        <v>222</v>
      </c>
      <c r="AP591" s="8">
        <v>0</v>
      </c>
      <c r="AQ591" s="8">
        <v>0</v>
      </c>
      <c r="AR591" s="8">
        <v>0</v>
      </c>
      <c r="AS591" s="8">
        <v>0</v>
      </c>
      <c r="AT591" s="8">
        <v>0</v>
      </c>
      <c r="AU591" s="8">
        <v>0</v>
      </c>
      <c r="AV591" s="8">
        <v>0</v>
      </c>
      <c r="AW591" s="8">
        <v>0</v>
      </c>
      <c r="AX591" s="9" t="s">
        <v>2684</v>
      </c>
      <c r="AY591" s="8"/>
      <c r="AZ591">
        <v>3</v>
      </c>
      <c r="BA591" t="s">
        <v>2685</v>
      </c>
      <c r="BB591" t="s">
        <v>2686</v>
      </c>
    </row>
    <row r="592" spans="1:54">
      <c r="A592" s="6">
        <v>45827</v>
      </c>
      <c r="B592" s="7" t="s">
        <v>2687</v>
      </c>
      <c r="C592" t="s">
        <v>205</v>
      </c>
      <c r="D592" t="s">
        <v>2667</v>
      </c>
      <c r="G592" t="s">
        <v>207</v>
      </c>
      <c r="H592" s="8" t="s">
        <v>208</v>
      </c>
      <c r="I592" s="8" t="s">
        <v>208</v>
      </c>
      <c r="J592" s="8" t="s">
        <v>208</v>
      </c>
      <c r="K592" s="8" t="s">
        <v>208</v>
      </c>
      <c r="L592" s="8" t="s">
        <v>208</v>
      </c>
      <c r="M592" s="8" t="s">
        <v>208</v>
      </c>
      <c r="N592" s="8" t="s">
        <v>208</v>
      </c>
      <c r="O592" s="8" t="s">
        <v>208</v>
      </c>
      <c r="Q592" t="s">
        <v>2688</v>
      </c>
      <c r="R592" t="s">
        <v>2689</v>
      </c>
      <c r="U592" t="s">
        <v>2690</v>
      </c>
      <c r="V592" t="s">
        <v>140</v>
      </c>
      <c r="W592" t="s">
        <v>232</v>
      </c>
      <c r="X592" t="s">
        <v>232</v>
      </c>
      <c r="Y592" t="s">
        <v>765</v>
      </c>
      <c r="Z592" t="s">
        <v>765</v>
      </c>
      <c r="AA592" t="s">
        <v>1164</v>
      </c>
      <c r="AB592" t="s">
        <v>681</v>
      </c>
      <c r="AC592" t="s">
        <v>681</v>
      </c>
      <c r="AD592" t="s">
        <v>2668</v>
      </c>
      <c r="AE592" t="s">
        <v>217</v>
      </c>
      <c r="AG592" s="8" t="s">
        <v>218</v>
      </c>
      <c r="AH592" t="s">
        <v>2256</v>
      </c>
      <c r="AI592" s="8" t="s">
        <v>221</v>
      </c>
      <c r="AJ592" s="9" t="s">
        <v>218</v>
      </c>
      <c r="AK592" t="s">
        <v>2250</v>
      </c>
      <c r="AL592" s="9" t="s">
        <v>218</v>
      </c>
      <c r="AM592" s="8" t="s">
        <v>221</v>
      </c>
      <c r="AN592" s="8" t="s">
        <v>221</v>
      </c>
      <c r="AO592" s="8" t="s">
        <v>222</v>
      </c>
      <c r="AP592" s="8">
        <v>0</v>
      </c>
      <c r="AQ592" s="8">
        <v>0</v>
      </c>
      <c r="AR592" s="8">
        <v>0</v>
      </c>
      <c r="AS592" s="8">
        <v>0</v>
      </c>
      <c r="AT592" s="8">
        <v>0</v>
      </c>
      <c r="AU592" s="8">
        <v>0</v>
      </c>
      <c r="AV592" s="8">
        <v>0</v>
      </c>
      <c r="AW592" s="8">
        <v>0</v>
      </c>
      <c r="AX592" s="9" t="s">
        <v>2691</v>
      </c>
      <c r="AY592" s="8"/>
      <c r="AZ592">
        <v>1</v>
      </c>
      <c r="BA592" t="s">
        <v>2670</v>
      </c>
      <c r="BB592" t="s">
        <v>2692</v>
      </c>
    </row>
    <row r="593" spans="1:54">
      <c r="A593" s="6">
        <v>45827</v>
      </c>
      <c r="B593" s="7" t="s">
        <v>2248</v>
      </c>
      <c r="C593" t="s">
        <v>205</v>
      </c>
      <c r="D593" t="s">
        <v>2667</v>
      </c>
      <c r="G593" t="s">
        <v>207</v>
      </c>
      <c r="H593" s="8" t="s">
        <v>208</v>
      </c>
      <c r="I593" s="8" t="s">
        <v>208</v>
      </c>
      <c r="J593" s="8" t="s">
        <v>208</v>
      </c>
      <c r="K593" s="8" t="s">
        <v>208</v>
      </c>
      <c r="L593" s="8" t="s">
        <v>208</v>
      </c>
      <c r="M593" s="8" t="s">
        <v>208</v>
      </c>
      <c r="N593" s="8" t="s">
        <v>208</v>
      </c>
      <c r="O593" s="8" t="s">
        <v>208</v>
      </c>
      <c r="Q593" t="s">
        <v>2693</v>
      </c>
      <c r="R593" t="s">
        <v>2247</v>
      </c>
      <c r="U593" t="s">
        <v>2694</v>
      </c>
      <c r="V593" t="s">
        <v>140</v>
      </c>
      <c r="W593" t="s">
        <v>232</v>
      </c>
      <c r="X593" t="s">
        <v>232</v>
      </c>
      <c r="Y593" t="s">
        <v>765</v>
      </c>
      <c r="Z593" t="s">
        <v>765</v>
      </c>
      <c r="AA593" t="s">
        <v>1164</v>
      </c>
      <c r="AB593" t="s">
        <v>681</v>
      </c>
      <c r="AC593" t="s">
        <v>681</v>
      </c>
      <c r="AD593" t="s">
        <v>2668</v>
      </c>
      <c r="AE593" t="s">
        <v>217</v>
      </c>
      <c r="AG593" s="8" t="s">
        <v>218</v>
      </c>
      <c r="AH593" t="s">
        <v>2256</v>
      </c>
      <c r="AI593" s="8" t="s">
        <v>221</v>
      </c>
      <c r="AJ593" s="9" t="s">
        <v>218</v>
      </c>
      <c r="AK593" t="s">
        <v>2683</v>
      </c>
      <c r="AL593" s="9" t="s">
        <v>218</v>
      </c>
      <c r="AM593" s="8" t="s">
        <v>221</v>
      </c>
      <c r="AN593" s="8" t="s">
        <v>221</v>
      </c>
      <c r="AO593" s="8" t="s">
        <v>222</v>
      </c>
      <c r="AP593" s="8">
        <v>0</v>
      </c>
      <c r="AQ593" s="8">
        <v>0</v>
      </c>
      <c r="AR593" s="8">
        <v>0</v>
      </c>
      <c r="AS593" s="8">
        <v>0</v>
      </c>
      <c r="AT593" s="8">
        <v>0</v>
      </c>
      <c r="AU593" s="8">
        <v>0</v>
      </c>
      <c r="AV593" s="8">
        <v>0</v>
      </c>
      <c r="AW593" s="8">
        <v>0</v>
      </c>
      <c r="AX593" s="9" t="s">
        <v>278</v>
      </c>
      <c r="AY593" s="8"/>
      <c r="AZ593">
        <v>1</v>
      </c>
      <c r="BA593" t="s">
        <v>2670</v>
      </c>
      <c r="BB593" t="s">
        <v>2695</v>
      </c>
    </row>
    <row r="594" spans="1:54">
      <c r="A594" s="6">
        <v>45827</v>
      </c>
      <c r="B594" s="7" t="s">
        <v>2244</v>
      </c>
      <c r="C594" t="s">
        <v>205</v>
      </c>
      <c r="D594" t="s">
        <v>2667</v>
      </c>
      <c r="G594" t="s">
        <v>207</v>
      </c>
      <c r="H594" s="8" t="s">
        <v>208</v>
      </c>
      <c r="I594" s="8" t="s">
        <v>208</v>
      </c>
      <c r="J594" s="8" t="s">
        <v>208</v>
      </c>
      <c r="K594" s="8" t="s">
        <v>208</v>
      </c>
      <c r="L594" s="8" t="s">
        <v>208</v>
      </c>
      <c r="M594" s="8" t="s">
        <v>208</v>
      </c>
      <c r="N594" s="8" t="s">
        <v>208</v>
      </c>
      <c r="O594" s="8" t="s">
        <v>208</v>
      </c>
      <c r="Q594" t="s">
        <v>2245</v>
      </c>
      <c r="R594" t="s">
        <v>2246</v>
      </c>
      <c r="U594" t="s">
        <v>2249</v>
      </c>
      <c r="V594" t="s">
        <v>140</v>
      </c>
      <c r="W594" t="s">
        <v>232</v>
      </c>
      <c r="X594" t="s">
        <v>232</v>
      </c>
      <c r="Y594" t="s">
        <v>765</v>
      </c>
      <c r="Z594" t="s">
        <v>765</v>
      </c>
      <c r="AA594" t="s">
        <v>1164</v>
      </c>
      <c r="AB594" t="s">
        <v>681</v>
      </c>
      <c r="AC594" t="s">
        <v>681</v>
      </c>
      <c r="AD594" t="s">
        <v>2668</v>
      </c>
      <c r="AE594" t="s">
        <v>217</v>
      </c>
      <c r="AG594" s="8" t="s">
        <v>218</v>
      </c>
      <c r="AH594" t="s">
        <v>2256</v>
      </c>
      <c r="AI594" s="8" t="s">
        <v>221</v>
      </c>
      <c r="AJ594" s="9" t="s">
        <v>218</v>
      </c>
      <c r="AK594" t="s">
        <v>2250</v>
      </c>
      <c r="AL594" s="9" t="s">
        <v>218</v>
      </c>
      <c r="AM594" s="8" t="s">
        <v>221</v>
      </c>
      <c r="AN594" s="8" t="s">
        <v>221</v>
      </c>
      <c r="AO594" s="8" t="s">
        <v>222</v>
      </c>
      <c r="AP594" s="8">
        <v>0</v>
      </c>
      <c r="AQ594" s="8">
        <v>0</v>
      </c>
      <c r="AR594" s="8">
        <v>0</v>
      </c>
      <c r="AS594" s="8">
        <v>0</v>
      </c>
      <c r="AT594" s="8">
        <v>0</v>
      </c>
      <c r="AU594" s="8">
        <v>0</v>
      </c>
      <c r="AV594" s="8">
        <v>0</v>
      </c>
      <c r="AW594" s="8">
        <v>0</v>
      </c>
      <c r="AX594" s="9" t="s">
        <v>2251</v>
      </c>
      <c r="AY594" s="8"/>
      <c r="AZ594">
        <v>1</v>
      </c>
      <c r="BA594" t="s">
        <v>2670</v>
      </c>
      <c r="BB594" t="s">
        <v>2696</v>
      </c>
    </row>
    <row r="595" spans="1:54">
      <c r="A595" s="6">
        <v>45827</v>
      </c>
      <c r="B595" s="7" t="s">
        <v>2697</v>
      </c>
      <c r="C595" t="s">
        <v>205</v>
      </c>
      <c r="D595" t="s">
        <v>2667</v>
      </c>
      <c r="G595" t="s">
        <v>207</v>
      </c>
      <c r="H595" s="8" t="s">
        <v>208</v>
      </c>
      <c r="I595" s="8" t="s">
        <v>208</v>
      </c>
      <c r="J595" s="8" t="s">
        <v>208</v>
      </c>
      <c r="K595" s="8" t="s">
        <v>208</v>
      </c>
      <c r="L595" s="8" t="s">
        <v>208</v>
      </c>
      <c r="M595" s="8" t="s">
        <v>208</v>
      </c>
      <c r="N595" s="8" t="s">
        <v>208</v>
      </c>
      <c r="O595" s="8" t="s">
        <v>208</v>
      </c>
      <c r="Q595" t="s">
        <v>2698</v>
      </c>
      <c r="R595" t="s">
        <v>2699</v>
      </c>
      <c r="U595" t="s">
        <v>2700</v>
      </c>
      <c r="V595" t="s">
        <v>140</v>
      </c>
      <c r="W595" t="s">
        <v>232</v>
      </c>
      <c r="X595" t="s">
        <v>232</v>
      </c>
      <c r="Y595" t="s">
        <v>765</v>
      </c>
      <c r="Z595" t="s">
        <v>765</v>
      </c>
      <c r="AA595" t="s">
        <v>1164</v>
      </c>
      <c r="AB595" t="s">
        <v>681</v>
      </c>
      <c r="AC595" t="s">
        <v>681</v>
      </c>
      <c r="AD595" t="s">
        <v>2668</v>
      </c>
      <c r="AE595" t="s">
        <v>217</v>
      </c>
      <c r="AG595" s="8" t="s">
        <v>218</v>
      </c>
      <c r="AH595" t="s">
        <v>2256</v>
      </c>
      <c r="AI595" s="8" t="s">
        <v>221</v>
      </c>
      <c r="AJ595" s="9" t="s">
        <v>218</v>
      </c>
      <c r="AK595" t="s">
        <v>2683</v>
      </c>
      <c r="AL595" s="9" t="s">
        <v>218</v>
      </c>
      <c r="AM595" s="8" t="s">
        <v>221</v>
      </c>
      <c r="AN595" s="8" t="s">
        <v>221</v>
      </c>
      <c r="AO595" s="8" t="s">
        <v>222</v>
      </c>
      <c r="AP595" s="8">
        <v>0</v>
      </c>
      <c r="AQ595" s="8">
        <v>0</v>
      </c>
      <c r="AR595" s="8">
        <v>0</v>
      </c>
      <c r="AS595" s="8">
        <v>0</v>
      </c>
      <c r="AT595" s="8">
        <v>0</v>
      </c>
      <c r="AU595" s="8">
        <v>0</v>
      </c>
      <c r="AV595" s="8">
        <v>0</v>
      </c>
      <c r="AW595" s="8">
        <v>0</v>
      </c>
      <c r="AX595" s="9" t="s">
        <v>2701</v>
      </c>
      <c r="AY595" s="8"/>
      <c r="AZ595">
        <v>1</v>
      </c>
      <c r="BA595" t="s">
        <v>2670</v>
      </c>
      <c r="BB595" t="s">
        <v>2702</v>
      </c>
    </row>
    <row r="596" spans="1:54">
      <c r="A596" s="6">
        <v>45827</v>
      </c>
      <c r="B596" s="7" t="s">
        <v>2703</v>
      </c>
      <c r="C596" t="s">
        <v>205</v>
      </c>
      <c r="D596" t="s">
        <v>2667</v>
      </c>
      <c r="G596" t="s">
        <v>207</v>
      </c>
      <c r="H596" s="8" t="s">
        <v>208</v>
      </c>
      <c r="I596" s="8" t="s">
        <v>208</v>
      </c>
      <c r="J596" s="8" t="s">
        <v>208</v>
      </c>
      <c r="K596" s="8" t="s">
        <v>208</v>
      </c>
      <c r="L596" s="8" t="s">
        <v>208</v>
      </c>
      <c r="M596" s="8" t="s">
        <v>208</v>
      </c>
      <c r="N596" s="8" t="s">
        <v>208</v>
      </c>
      <c r="O596" s="8" t="s">
        <v>208</v>
      </c>
      <c r="Q596" t="s">
        <v>2704</v>
      </c>
      <c r="R596" t="s">
        <v>2705</v>
      </c>
      <c r="U596" t="s">
        <v>2706</v>
      </c>
      <c r="V596" t="s">
        <v>140</v>
      </c>
      <c r="W596" t="s">
        <v>232</v>
      </c>
      <c r="X596" t="s">
        <v>232</v>
      </c>
      <c r="Y596" t="s">
        <v>765</v>
      </c>
      <c r="Z596" t="s">
        <v>765</v>
      </c>
      <c r="AA596" t="s">
        <v>1164</v>
      </c>
      <c r="AB596" t="s">
        <v>1335</v>
      </c>
      <c r="AC596" t="s">
        <v>1335</v>
      </c>
      <c r="AD596" t="s">
        <v>2668</v>
      </c>
      <c r="AE596" t="s">
        <v>217</v>
      </c>
      <c r="AG596" s="8" t="s">
        <v>218</v>
      </c>
      <c r="AH596" t="s">
        <v>2256</v>
      </c>
      <c r="AI596" s="8" t="s">
        <v>221</v>
      </c>
      <c r="AJ596" s="9" t="s">
        <v>218</v>
      </c>
      <c r="AK596" t="s">
        <v>2250</v>
      </c>
      <c r="AL596" s="9" t="s">
        <v>218</v>
      </c>
      <c r="AM596" s="8" t="s">
        <v>221</v>
      </c>
      <c r="AN596" s="8" t="s">
        <v>221</v>
      </c>
      <c r="AO596" s="8" t="s">
        <v>222</v>
      </c>
      <c r="AP596" s="8">
        <v>0</v>
      </c>
      <c r="AQ596" s="8">
        <v>0</v>
      </c>
      <c r="AR596" s="8">
        <v>0</v>
      </c>
      <c r="AS596" s="8">
        <v>0</v>
      </c>
      <c r="AT596" s="8">
        <v>0</v>
      </c>
      <c r="AU596" s="8">
        <v>0</v>
      </c>
      <c r="AV596" s="8">
        <v>0</v>
      </c>
      <c r="AW596" s="8">
        <v>0</v>
      </c>
      <c r="AX596" s="9" t="s">
        <v>2707</v>
      </c>
      <c r="AY596" s="8"/>
      <c r="AZ596">
        <v>1</v>
      </c>
      <c r="BA596" t="s">
        <v>2670</v>
      </c>
      <c r="BB596" t="s">
        <v>2708</v>
      </c>
    </row>
    <row r="597" spans="1:54">
      <c r="A597" s="6">
        <v>45827</v>
      </c>
      <c r="B597" s="7" t="s">
        <v>2709</v>
      </c>
      <c r="C597" t="s">
        <v>205</v>
      </c>
      <c r="D597" t="s">
        <v>2667</v>
      </c>
      <c r="G597" t="s">
        <v>207</v>
      </c>
      <c r="H597" s="8" t="s">
        <v>208</v>
      </c>
      <c r="I597" s="8" t="s">
        <v>208</v>
      </c>
      <c r="J597" s="8" t="s">
        <v>208</v>
      </c>
      <c r="K597" s="8" t="s">
        <v>208</v>
      </c>
      <c r="L597" s="8" t="s">
        <v>208</v>
      </c>
      <c r="M597" s="8" t="s">
        <v>208</v>
      </c>
      <c r="N597" s="8" t="s">
        <v>208</v>
      </c>
      <c r="O597" s="8" t="s">
        <v>208</v>
      </c>
      <c r="Q597" t="s">
        <v>2710</v>
      </c>
      <c r="R597" t="s">
        <v>2711</v>
      </c>
      <c r="U597" t="s">
        <v>2712</v>
      </c>
      <c r="V597" t="s">
        <v>140</v>
      </c>
      <c r="Y597" t="s">
        <v>765</v>
      </c>
      <c r="AA597" t="s">
        <v>214</v>
      </c>
      <c r="AB597" t="s">
        <v>242</v>
      </c>
      <c r="AD597" t="s">
        <v>2668</v>
      </c>
      <c r="AE597" t="s">
        <v>217</v>
      </c>
      <c r="AG597" s="8" t="s">
        <v>218</v>
      </c>
      <c r="AH597" t="s">
        <v>2256</v>
      </c>
      <c r="AI597" s="8" t="s">
        <v>221</v>
      </c>
      <c r="AJ597" s="9" t="s">
        <v>218</v>
      </c>
      <c r="AK597" t="s">
        <v>2713</v>
      </c>
      <c r="AL597" s="9" t="s">
        <v>218</v>
      </c>
      <c r="AM597" s="8" t="s">
        <v>221</v>
      </c>
      <c r="AN597" s="8" t="s">
        <v>221</v>
      </c>
      <c r="AO597" s="8" t="s">
        <v>222</v>
      </c>
      <c r="AP597" s="8">
        <v>0</v>
      </c>
      <c r="AQ597" s="8">
        <v>0</v>
      </c>
      <c r="AR597" s="8">
        <v>0</v>
      </c>
      <c r="AS597" s="8">
        <v>0</v>
      </c>
      <c r="AT597" s="8">
        <v>0</v>
      </c>
      <c r="AU597" s="8">
        <v>0</v>
      </c>
      <c r="AV597" s="8">
        <v>0</v>
      </c>
      <c r="AW597" s="8">
        <v>0</v>
      </c>
      <c r="AX597" s="8"/>
      <c r="AY597" s="8"/>
      <c r="AZ597">
        <v>0</v>
      </c>
    </row>
    <row r="598" spans="1:54">
      <c r="A598" s="6">
        <v>45835</v>
      </c>
      <c r="B598" s="7" t="s">
        <v>568</v>
      </c>
      <c r="C598" t="s">
        <v>291</v>
      </c>
      <c r="D598" t="s">
        <v>2714</v>
      </c>
      <c r="E598" t="s">
        <v>2714</v>
      </c>
      <c r="F598" t="s">
        <v>2715</v>
      </c>
      <c r="G598" t="s">
        <v>294</v>
      </c>
      <c r="H598" s="8" t="s">
        <v>221</v>
      </c>
      <c r="I598" s="8" t="s">
        <v>221</v>
      </c>
      <c r="J598" s="8" t="s">
        <v>208</v>
      </c>
      <c r="K598" s="9" t="s">
        <v>218</v>
      </c>
      <c r="L598" s="8" t="s">
        <v>208</v>
      </c>
      <c r="M598" s="8" t="s">
        <v>208</v>
      </c>
      <c r="N598" s="8" t="s">
        <v>221</v>
      </c>
      <c r="O598" s="8" t="s">
        <v>221</v>
      </c>
      <c r="P598" t="s">
        <v>2716</v>
      </c>
      <c r="Q598" t="s">
        <v>569</v>
      </c>
      <c r="R598" t="s">
        <v>570</v>
      </c>
      <c r="U598" t="s">
        <v>2717</v>
      </c>
      <c r="V598" t="s">
        <v>30</v>
      </c>
      <c r="W598" t="s">
        <v>298</v>
      </c>
      <c r="X598" t="s">
        <v>298</v>
      </c>
      <c r="Y598" t="s">
        <v>299</v>
      </c>
      <c r="Z598" t="s">
        <v>299</v>
      </c>
      <c r="AA598" t="s">
        <v>300</v>
      </c>
      <c r="AB598" t="s">
        <v>465</v>
      </c>
      <c r="AC598" t="s">
        <v>301</v>
      </c>
      <c r="AD598" t="s">
        <v>216</v>
      </c>
      <c r="AE598" t="s">
        <v>300</v>
      </c>
      <c r="AG598" s="8" t="s">
        <v>218</v>
      </c>
      <c r="AH598" t="s">
        <v>302</v>
      </c>
      <c r="AI598" s="9" t="s">
        <v>218</v>
      </c>
      <c r="AJ598" s="8" t="s">
        <v>221</v>
      </c>
      <c r="AK598" t="s">
        <v>572</v>
      </c>
      <c r="AL598" s="9" t="s">
        <v>218</v>
      </c>
      <c r="AM598" s="8" t="s">
        <v>221</v>
      </c>
      <c r="AN598" s="8" t="s">
        <v>221</v>
      </c>
      <c r="AO598" s="8" t="s">
        <v>222</v>
      </c>
      <c r="AP598" s="8">
        <v>0</v>
      </c>
      <c r="AQ598" s="8">
        <v>0</v>
      </c>
      <c r="AR598" s="9">
        <v>3</v>
      </c>
      <c r="AS598" s="8">
        <v>0</v>
      </c>
      <c r="AT598" s="8">
        <v>0</v>
      </c>
      <c r="AU598" s="8">
        <v>0</v>
      </c>
      <c r="AV598" s="8">
        <v>0</v>
      </c>
      <c r="AW598" s="9">
        <v>3</v>
      </c>
      <c r="AX598" s="8"/>
      <c r="AY598" s="8"/>
      <c r="AZ598">
        <v>3</v>
      </c>
      <c r="BA598" t="s">
        <v>2718</v>
      </c>
      <c r="BB598" t="s">
        <v>574</v>
      </c>
    </row>
    <row r="599" spans="1:54">
      <c r="A599" s="6">
        <v>45835</v>
      </c>
      <c r="B599" s="7" t="s">
        <v>2719</v>
      </c>
      <c r="C599" t="s">
        <v>308</v>
      </c>
      <c r="D599" t="s">
        <v>2714</v>
      </c>
      <c r="E599" t="s">
        <v>2714</v>
      </c>
      <c r="F599" t="s">
        <v>2715</v>
      </c>
      <c r="G599" t="s">
        <v>294</v>
      </c>
      <c r="H599" s="8" t="s">
        <v>221</v>
      </c>
      <c r="I599" s="8" t="s">
        <v>221</v>
      </c>
      <c r="J599" s="8" t="s">
        <v>208</v>
      </c>
      <c r="K599" s="9" t="s">
        <v>218</v>
      </c>
      <c r="L599" s="8" t="s">
        <v>208</v>
      </c>
      <c r="M599" s="8" t="s">
        <v>208</v>
      </c>
      <c r="N599" s="8" t="s">
        <v>221</v>
      </c>
      <c r="O599" s="8" t="s">
        <v>221</v>
      </c>
      <c r="Q599" t="s">
        <v>2720</v>
      </c>
      <c r="R599" t="s">
        <v>2721</v>
      </c>
      <c r="U599" t="s">
        <v>2722</v>
      </c>
      <c r="V599" t="s">
        <v>30</v>
      </c>
      <c r="W599" t="s">
        <v>298</v>
      </c>
      <c r="Y599" t="s">
        <v>299</v>
      </c>
      <c r="AA599" t="s">
        <v>300</v>
      </c>
      <c r="AB599" t="s">
        <v>312</v>
      </c>
      <c r="AD599" t="s">
        <v>216</v>
      </c>
      <c r="AE599" t="s">
        <v>300</v>
      </c>
      <c r="AG599" s="8" t="s">
        <v>218</v>
      </c>
      <c r="AH599" t="s">
        <v>302</v>
      </c>
      <c r="AI599" s="9" t="s">
        <v>218</v>
      </c>
      <c r="AJ599" s="8" t="s">
        <v>221</v>
      </c>
      <c r="AK599" t="s">
        <v>2723</v>
      </c>
      <c r="AL599" s="9" t="s">
        <v>218</v>
      </c>
      <c r="AM599" s="8" t="s">
        <v>221</v>
      </c>
      <c r="AN599" s="8" t="s">
        <v>221</v>
      </c>
      <c r="AO599" s="8" t="s">
        <v>222</v>
      </c>
      <c r="AP599" s="8">
        <v>0</v>
      </c>
      <c r="AQ599" s="8">
        <v>0</v>
      </c>
      <c r="AR599" s="8">
        <v>0</v>
      </c>
      <c r="AS599" s="8">
        <v>0</v>
      </c>
      <c r="AT599" s="8">
        <v>0</v>
      </c>
      <c r="AU599" s="8">
        <v>0</v>
      </c>
      <c r="AV599" s="8">
        <v>0</v>
      </c>
      <c r="AW599" s="8">
        <v>0</v>
      </c>
      <c r="AX599" s="8"/>
      <c r="AY599" s="8"/>
      <c r="AZ599">
        <v>0</v>
      </c>
    </row>
    <row r="600" spans="1:54">
      <c r="A600" s="6">
        <v>45835</v>
      </c>
      <c r="B600" s="7" t="s">
        <v>2724</v>
      </c>
      <c r="C600" t="s">
        <v>308</v>
      </c>
      <c r="D600" t="s">
        <v>2714</v>
      </c>
      <c r="E600" t="s">
        <v>2714</v>
      </c>
      <c r="F600" t="s">
        <v>2715</v>
      </c>
      <c r="G600" t="s">
        <v>294</v>
      </c>
      <c r="H600" s="8" t="s">
        <v>221</v>
      </c>
      <c r="I600" s="8" t="s">
        <v>221</v>
      </c>
      <c r="J600" s="8" t="s">
        <v>208</v>
      </c>
      <c r="K600" s="9" t="s">
        <v>218</v>
      </c>
      <c r="L600" s="8" t="s">
        <v>208</v>
      </c>
      <c r="M600" s="8" t="s">
        <v>208</v>
      </c>
      <c r="N600" s="8" t="s">
        <v>221</v>
      </c>
      <c r="O600" s="8" t="s">
        <v>221</v>
      </c>
      <c r="Q600" t="s">
        <v>2725</v>
      </c>
      <c r="R600" t="s">
        <v>2726</v>
      </c>
      <c r="U600" t="s">
        <v>2727</v>
      </c>
      <c r="V600" t="s">
        <v>30</v>
      </c>
      <c r="W600" t="s">
        <v>298</v>
      </c>
      <c r="Y600" t="s">
        <v>299</v>
      </c>
      <c r="AA600" t="s">
        <v>300</v>
      </c>
      <c r="AB600" t="s">
        <v>312</v>
      </c>
      <c r="AD600" t="s">
        <v>216</v>
      </c>
      <c r="AE600" t="s">
        <v>300</v>
      </c>
      <c r="AG600" s="8" t="s">
        <v>218</v>
      </c>
      <c r="AH600" t="s">
        <v>302</v>
      </c>
      <c r="AI600" s="9" t="s">
        <v>218</v>
      </c>
      <c r="AJ600" s="8" t="s">
        <v>221</v>
      </c>
      <c r="AK600" t="s">
        <v>783</v>
      </c>
      <c r="AL600" s="9" t="s">
        <v>218</v>
      </c>
      <c r="AM600" s="8" t="s">
        <v>221</v>
      </c>
      <c r="AN600" s="8" t="s">
        <v>221</v>
      </c>
      <c r="AO600" s="8" t="s">
        <v>222</v>
      </c>
      <c r="AP600" s="8">
        <v>0</v>
      </c>
      <c r="AQ600" s="8">
        <v>0</v>
      </c>
      <c r="AR600" s="8">
        <v>0</v>
      </c>
      <c r="AS600" s="8">
        <v>0</v>
      </c>
      <c r="AT600" s="8">
        <v>0</v>
      </c>
      <c r="AU600" s="8">
        <v>0</v>
      </c>
      <c r="AV600" s="8">
        <v>0</v>
      </c>
      <c r="AW600" s="8">
        <v>0</v>
      </c>
      <c r="AX600" s="8"/>
      <c r="AY600" s="8"/>
      <c r="AZ600">
        <v>0</v>
      </c>
    </row>
    <row r="601" spans="1:54">
      <c r="A601" s="6">
        <v>45835</v>
      </c>
      <c r="B601" s="7" t="s">
        <v>2728</v>
      </c>
      <c r="C601" t="s">
        <v>308</v>
      </c>
      <c r="D601" t="s">
        <v>2714</v>
      </c>
      <c r="E601" t="s">
        <v>2714</v>
      </c>
      <c r="F601" t="s">
        <v>2715</v>
      </c>
      <c r="G601" t="s">
        <v>294</v>
      </c>
      <c r="H601" s="8" t="s">
        <v>221</v>
      </c>
      <c r="I601" s="8" t="s">
        <v>221</v>
      </c>
      <c r="J601" s="8" t="s">
        <v>208</v>
      </c>
      <c r="K601" s="9" t="s">
        <v>218</v>
      </c>
      <c r="L601" s="8" t="s">
        <v>208</v>
      </c>
      <c r="M601" s="8" t="s">
        <v>208</v>
      </c>
      <c r="N601" s="8" t="s">
        <v>221</v>
      </c>
      <c r="O601" s="8" t="s">
        <v>208</v>
      </c>
      <c r="Q601" t="s">
        <v>2729</v>
      </c>
      <c r="R601" t="s">
        <v>2730</v>
      </c>
      <c r="U601" t="s">
        <v>2731</v>
      </c>
      <c r="V601" t="s">
        <v>30</v>
      </c>
      <c r="W601" t="s">
        <v>298</v>
      </c>
      <c r="Y601" t="s">
        <v>299</v>
      </c>
      <c r="AA601" t="s">
        <v>300</v>
      </c>
      <c r="AB601" t="s">
        <v>312</v>
      </c>
      <c r="AD601" t="s">
        <v>216</v>
      </c>
      <c r="AE601" t="s">
        <v>300</v>
      </c>
      <c r="AG601" s="8" t="s">
        <v>218</v>
      </c>
      <c r="AH601" t="s">
        <v>302</v>
      </c>
      <c r="AI601" s="9" t="s">
        <v>218</v>
      </c>
      <c r="AJ601" s="8" t="s">
        <v>221</v>
      </c>
      <c r="AK601" t="s">
        <v>783</v>
      </c>
      <c r="AL601" s="9" t="s">
        <v>218</v>
      </c>
      <c r="AM601" s="8" t="s">
        <v>221</v>
      </c>
      <c r="AN601" s="8" t="s">
        <v>221</v>
      </c>
      <c r="AO601" s="8" t="s">
        <v>222</v>
      </c>
      <c r="AP601" s="8">
        <v>0</v>
      </c>
      <c r="AQ601" s="8">
        <v>0</v>
      </c>
      <c r="AR601" s="8">
        <v>0</v>
      </c>
      <c r="AS601" s="8">
        <v>0</v>
      </c>
      <c r="AT601" s="8">
        <v>0</v>
      </c>
      <c r="AU601" s="8">
        <v>0</v>
      </c>
      <c r="AV601" s="8">
        <v>0</v>
      </c>
      <c r="AW601" s="8">
        <v>0</v>
      </c>
      <c r="AX601" s="8"/>
      <c r="AY601" s="8"/>
      <c r="AZ601">
        <v>0</v>
      </c>
    </row>
    <row r="602" spans="1:54">
      <c r="A602" s="6">
        <v>45835</v>
      </c>
      <c r="B602" s="7" t="s">
        <v>2732</v>
      </c>
      <c r="C602" t="s">
        <v>291</v>
      </c>
      <c r="D602" t="s">
        <v>2714</v>
      </c>
      <c r="E602" t="s">
        <v>2714</v>
      </c>
      <c r="F602" t="s">
        <v>2715</v>
      </c>
      <c r="G602" t="s">
        <v>294</v>
      </c>
      <c r="H602" s="8" t="s">
        <v>221</v>
      </c>
      <c r="I602" s="8" t="s">
        <v>221</v>
      </c>
      <c r="J602" s="8" t="s">
        <v>208</v>
      </c>
      <c r="K602" s="9" t="s">
        <v>218</v>
      </c>
      <c r="L602" s="8" t="s">
        <v>208</v>
      </c>
      <c r="M602" s="8" t="s">
        <v>208</v>
      </c>
      <c r="N602" s="8" t="s">
        <v>221</v>
      </c>
      <c r="O602" s="8" t="s">
        <v>208</v>
      </c>
      <c r="Q602" t="s">
        <v>2733</v>
      </c>
      <c r="R602" t="s">
        <v>2734</v>
      </c>
      <c r="U602" t="s">
        <v>2735</v>
      </c>
      <c r="V602" t="s">
        <v>30</v>
      </c>
      <c r="W602" t="s">
        <v>298</v>
      </c>
      <c r="X602" t="s">
        <v>298</v>
      </c>
      <c r="Y602" t="s">
        <v>299</v>
      </c>
      <c r="Z602" t="s">
        <v>299</v>
      </c>
      <c r="AA602" t="s">
        <v>300</v>
      </c>
      <c r="AB602" t="s">
        <v>301</v>
      </c>
      <c r="AC602" t="s">
        <v>312</v>
      </c>
      <c r="AD602" t="s">
        <v>216</v>
      </c>
      <c r="AE602" t="s">
        <v>300</v>
      </c>
      <c r="AG602" s="8" t="s">
        <v>218</v>
      </c>
      <c r="AH602" t="s">
        <v>302</v>
      </c>
      <c r="AI602" s="9" t="s">
        <v>218</v>
      </c>
      <c r="AJ602" s="8" t="s">
        <v>221</v>
      </c>
      <c r="AK602" t="s">
        <v>588</v>
      </c>
      <c r="AL602" s="9" t="s">
        <v>218</v>
      </c>
      <c r="AM602" s="8" t="s">
        <v>221</v>
      </c>
      <c r="AN602" s="8" t="s">
        <v>221</v>
      </c>
      <c r="AO602" s="8" t="s">
        <v>222</v>
      </c>
      <c r="AP602" s="8">
        <v>0</v>
      </c>
      <c r="AQ602" s="8">
        <v>0</v>
      </c>
      <c r="AR602" s="8">
        <v>0</v>
      </c>
      <c r="AS602" s="8">
        <v>0</v>
      </c>
      <c r="AT602" s="8">
        <v>0</v>
      </c>
      <c r="AU602" s="8">
        <v>0</v>
      </c>
      <c r="AV602" s="8">
        <v>0</v>
      </c>
      <c r="AW602" s="8">
        <v>0</v>
      </c>
      <c r="AX602" s="8"/>
      <c r="AY602" s="8"/>
      <c r="AZ602">
        <v>3</v>
      </c>
      <c r="BA602" t="s">
        <v>2736</v>
      </c>
      <c r="BB602" t="s">
        <v>2737</v>
      </c>
    </row>
    <row r="603" spans="1:54">
      <c r="A603" s="6">
        <v>45835</v>
      </c>
      <c r="B603" s="7" t="s">
        <v>2738</v>
      </c>
      <c r="C603" t="s">
        <v>308</v>
      </c>
      <c r="D603" t="s">
        <v>2714</v>
      </c>
      <c r="E603" t="s">
        <v>2714</v>
      </c>
      <c r="F603" t="s">
        <v>2715</v>
      </c>
      <c r="G603" t="s">
        <v>294</v>
      </c>
      <c r="H603" s="8" t="s">
        <v>221</v>
      </c>
      <c r="I603" s="8" t="s">
        <v>221</v>
      </c>
      <c r="J603" s="8" t="s">
        <v>208</v>
      </c>
      <c r="K603" s="9" t="s">
        <v>218</v>
      </c>
      <c r="L603" s="8" t="s">
        <v>208</v>
      </c>
      <c r="M603" s="8" t="s">
        <v>208</v>
      </c>
      <c r="N603" s="8" t="s">
        <v>221</v>
      </c>
      <c r="O603" s="8" t="s">
        <v>221</v>
      </c>
      <c r="Q603" t="s">
        <v>2739</v>
      </c>
      <c r="R603" t="s">
        <v>2740</v>
      </c>
      <c r="U603" t="s">
        <v>2722</v>
      </c>
      <c r="V603" t="s">
        <v>30</v>
      </c>
      <c r="W603" t="s">
        <v>298</v>
      </c>
      <c r="Y603" t="s">
        <v>299</v>
      </c>
      <c r="AA603" t="s">
        <v>300</v>
      </c>
      <c r="AB603" t="s">
        <v>312</v>
      </c>
      <c r="AD603" t="s">
        <v>216</v>
      </c>
      <c r="AE603" t="s">
        <v>300</v>
      </c>
      <c r="AG603" s="8" t="s">
        <v>218</v>
      </c>
      <c r="AH603" t="s">
        <v>302</v>
      </c>
      <c r="AI603" s="9" t="s">
        <v>218</v>
      </c>
      <c r="AJ603" s="8" t="s">
        <v>221</v>
      </c>
      <c r="AK603" t="s">
        <v>2723</v>
      </c>
      <c r="AL603" s="9" t="s">
        <v>218</v>
      </c>
      <c r="AM603" s="8" t="s">
        <v>221</v>
      </c>
      <c r="AN603" s="8" t="s">
        <v>221</v>
      </c>
      <c r="AO603" s="8" t="s">
        <v>222</v>
      </c>
      <c r="AP603" s="8">
        <v>0</v>
      </c>
      <c r="AQ603" s="8">
        <v>0</v>
      </c>
      <c r="AR603" s="8">
        <v>0</v>
      </c>
      <c r="AS603" s="8">
        <v>0</v>
      </c>
      <c r="AT603" s="8">
        <v>0</v>
      </c>
      <c r="AU603" s="8">
        <v>0</v>
      </c>
      <c r="AV603" s="8">
        <v>0</v>
      </c>
      <c r="AW603" s="8">
        <v>0</v>
      </c>
      <c r="AX603" s="8"/>
      <c r="AY603" s="8"/>
      <c r="AZ603">
        <v>0</v>
      </c>
    </row>
    <row r="604" spans="1:54">
      <c r="A604" s="6">
        <v>45835</v>
      </c>
      <c r="B604" s="7" t="s">
        <v>2741</v>
      </c>
      <c r="C604" t="s">
        <v>308</v>
      </c>
      <c r="D604" t="s">
        <v>2714</v>
      </c>
      <c r="E604" t="s">
        <v>2714</v>
      </c>
      <c r="F604" t="s">
        <v>2715</v>
      </c>
      <c r="G604" t="s">
        <v>294</v>
      </c>
      <c r="H604" s="8" t="s">
        <v>221</v>
      </c>
      <c r="I604" s="8" t="s">
        <v>221</v>
      </c>
      <c r="J604" s="8" t="s">
        <v>208</v>
      </c>
      <c r="K604" s="9" t="s">
        <v>218</v>
      </c>
      <c r="L604" s="8" t="s">
        <v>208</v>
      </c>
      <c r="M604" s="8" t="s">
        <v>208</v>
      </c>
      <c r="N604" s="8" t="s">
        <v>221</v>
      </c>
      <c r="O604" s="8" t="s">
        <v>221</v>
      </c>
      <c r="Q604" t="s">
        <v>2742</v>
      </c>
      <c r="R604" t="s">
        <v>2743</v>
      </c>
      <c r="U604" t="s">
        <v>2727</v>
      </c>
      <c r="V604" t="s">
        <v>30</v>
      </c>
      <c r="W604" t="s">
        <v>298</v>
      </c>
      <c r="Y604" t="s">
        <v>299</v>
      </c>
      <c r="AA604" t="s">
        <v>300</v>
      </c>
      <c r="AB604" t="s">
        <v>312</v>
      </c>
      <c r="AD604" t="s">
        <v>216</v>
      </c>
      <c r="AE604" t="s">
        <v>300</v>
      </c>
      <c r="AG604" s="8" t="s">
        <v>218</v>
      </c>
      <c r="AH604" t="s">
        <v>302</v>
      </c>
      <c r="AI604" s="9" t="s">
        <v>218</v>
      </c>
      <c r="AJ604" s="8" t="s">
        <v>221</v>
      </c>
      <c r="AK604" t="s">
        <v>783</v>
      </c>
      <c r="AL604" s="9" t="s">
        <v>218</v>
      </c>
      <c r="AM604" s="8" t="s">
        <v>221</v>
      </c>
      <c r="AN604" s="8" t="s">
        <v>221</v>
      </c>
      <c r="AO604" s="8" t="s">
        <v>222</v>
      </c>
      <c r="AP604" s="8">
        <v>0</v>
      </c>
      <c r="AQ604" s="8">
        <v>0</v>
      </c>
      <c r="AR604" s="8">
        <v>0</v>
      </c>
      <c r="AS604" s="8">
        <v>0</v>
      </c>
      <c r="AT604" s="8">
        <v>0</v>
      </c>
      <c r="AU604" s="8">
        <v>0</v>
      </c>
      <c r="AV604" s="8">
        <v>0</v>
      </c>
      <c r="AW604" s="8">
        <v>0</v>
      </c>
      <c r="AX604" s="8"/>
      <c r="AY604" s="8"/>
      <c r="AZ604">
        <v>0</v>
      </c>
    </row>
    <row r="605" spans="1:54">
      <c r="A605" s="6">
        <v>45835</v>
      </c>
      <c r="B605" s="7" t="s">
        <v>2744</v>
      </c>
      <c r="C605" t="s">
        <v>308</v>
      </c>
      <c r="D605" t="s">
        <v>2714</v>
      </c>
      <c r="E605" t="s">
        <v>2714</v>
      </c>
      <c r="F605" t="s">
        <v>2715</v>
      </c>
      <c r="G605" t="s">
        <v>294</v>
      </c>
      <c r="H605" s="8" t="s">
        <v>221</v>
      </c>
      <c r="I605" s="8" t="s">
        <v>221</v>
      </c>
      <c r="J605" s="8" t="s">
        <v>208</v>
      </c>
      <c r="K605" s="9" t="s">
        <v>218</v>
      </c>
      <c r="L605" s="8" t="s">
        <v>208</v>
      </c>
      <c r="M605" s="8" t="s">
        <v>208</v>
      </c>
      <c r="N605" s="8" t="s">
        <v>221</v>
      </c>
      <c r="O605" s="8" t="s">
        <v>221</v>
      </c>
      <c r="Q605" t="s">
        <v>2745</v>
      </c>
      <c r="R605" t="s">
        <v>2746</v>
      </c>
      <c r="U605" t="s">
        <v>2731</v>
      </c>
      <c r="V605" t="s">
        <v>30</v>
      </c>
      <c r="W605" t="s">
        <v>298</v>
      </c>
      <c r="Y605" t="s">
        <v>299</v>
      </c>
      <c r="AA605" t="s">
        <v>300</v>
      </c>
      <c r="AB605" t="s">
        <v>312</v>
      </c>
      <c r="AD605" t="s">
        <v>216</v>
      </c>
      <c r="AE605" t="s">
        <v>300</v>
      </c>
      <c r="AG605" s="8" t="s">
        <v>218</v>
      </c>
      <c r="AH605" t="s">
        <v>302</v>
      </c>
      <c r="AI605" s="9" t="s">
        <v>218</v>
      </c>
      <c r="AJ605" s="8" t="s">
        <v>221</v>
      </c>
      <c r="AK605" t="s">
        <v>783</v>
      </c>
      <c r="AL605" s="9" t="s">
        <v>218</v>
      </c>
      <c r="AM605" s="8" t="s">
        <v>221</v>
      </c>
      <c r="AN605" s="8" t="s">
        <v>221</v>
      </c>
      <c r="AO605" s="8" t="s">
        <v>222</v>
      </c>
      <c r="AP605" s="8">
        <v>0</v>
      </c>
      <c r="AQ605" s="8">
        <v>0</v>
      </c>
      <c r="AR605" s="8">
        <v>0</v>
      </c>
      <c r="AS605" s="8">
        <v>0</v>
      </c>
      <c r="AT605" s="8">
        <v>0</v>
      </c>
      <c r="AU605" s="8">
        <v>0</v>
      </c>
      <c r="AV605" s="8">
        <v>0</v>
      </c>
      <c r="AW605" s="8">
        <v>0</v>
      </c>
      <c r="AX605" s="8"/>
      <c r="AY605" s="8"/>
      <c r="AZ605">
        <v>0</v>
      </c>
    </row>
    <row r="606" spans="1:54">
      <c r="A606" s="6">
        <v>45835</v>
      </c>
      <c r="B606" s="7" t="s">
        <v>2747</v>
      </c>
      <c r="C606" t="s">
        <v>291</v>
      </c>
      <c r="D606" t="s">
        <v>2714</v>
      </c>
      <c r="E606" t="s">
        <v>2714</v>
      </c>
      <c r="F606" t="s">
        <v>2715</v>
      </c>
      <c r="G606" t="s">
        <v>294</v>
      </c>
      <c r="H606" s="8" t="s">
        <v>221</v>
      </c>
      <c r="I606" s="8" t="s">
        <v>221</v>
      </c>
      <c r="J606" s="8" t="s">
        <v>208</v>
      </c>
      <c r="K606" s="9" t="s">
        <v>218</v>
      </c>
      <c r="L606" s="8" t="s">
        <v>208</v>
      </c>
      <c r="M606" s="8" t="s">
        <v>208</v>
      </c>
      <c r="N606" s="8" t="s">
        <v>221</v>
      </c>
      <c r="O606" s="8" t="s">
        <v>208</v>
      </c>
      <c r="Q606" t="s">
        <v>2748</v>
      </c>
      <c r="R606" t="s">
        <v>2749</v>
      </c>
      <c r="U606" t="s">
        <v>2750</v>
      </c>
      <c r="V606" t="s">
        <v>30</v>
      </c>
      <c r="W606" t="s">
        <v>298</v>
      </c>
      <c r="X606" t="s">
        <v>298</v>
      </c>
      <c r="Y606" t="s">
        <v>299</v>
      </c>
      <c r="Z606" t="s">
        <v>299</v>
      </c>
      <c r="AA606" t="s">
        <v>300</v>
      </c>
      <c r="AB606" t="s">
        <v>301</v>
      </c>
      <c r="AC606" t="s">
        <v>312</v>
      </c>
      <c r="AD606" t="s">
        <v>216</v>
      </c>
      <c r="AE606" t="s">
        <v>300</v>
      </c>
      <c r="AG606" s="8" t="s">
        <v>218</v>
      </c>
      <c r="AH606" t="s">
        <v>302</v>
      </c>
      <c r="AI606" s="9" t="s">
        <v>218</v>
      </c>
      <c r="AJ606" s="8" t="s">
        <v>221</v>
      </c>
      <c r="AK606" t="s">
        <v>2751</v>
      </c>
      <c r="AL606" s="9" t="s">
        <v>218</v>
      </c>
      <c r="AM606" s="8" t="s">
        <v>221</v>
      </c>
      <c r="AN606" s="8" t="s">
        <v>221</v>
      </c>
      <c r="AO606" s="8" t="s">
        <v>222</v>
      </c>
      <c r="AP606" s="8">
        <v>0</v>
      </c>
      <c r="AQ606" s="8">
        <v>0</v>
      </c>
      <c r="AR606" s="8">
        <v>0</v>
      </c>
      <c r="AS606" s="8">
        <v>0</v>
      </c>
      <c r="AT606" s="8">
        <v>0</v>
      </c>
      <c r="AU606" s="8">
        <v>0</v>
      </c>
      <c r="AV606" s="8">
        <v>0</v>
      </c>
      <c r="AW606" s="8">
        <v>0</v>
      </c>
      <c r="AX606" s="8"/>
      <c r="AY606" s="8"/>
      <c r="AZ606">
        <v>3</v>
      </c>
      <c r="BA606" t="s">
        <v>2752</v>
      </c>
      <c r="BB606" t="s">
        <v>2753</v>
      </c>
    </row>
    <row r="607" spans="1:54">
      <c r="A607" s="6">
        <v>45835</v>
      </c>
      <c r="B607" s="7" t="s">
        <v>713</v>
      </c>
      <c r="C607" t="s">
        <v>387</v>
      </c>
      <c r="D607" t="s">
        <v>2714</v>
      </c>
      <c r="E607" t="s">
        <v>2714</v>
      </c>
      <c r="F607" t="s">
        <v>2715</v>
      </c>
      <c r="G607" t="s">
        <v>294</v>
      </c>
      <c r="H607" s="8" t="s">
        <v>221</v>
      </c>
      <c r="I607" s="8" t="s">
        <v>221</v>
      </c>
      <c r="J607" s="8" t="s">
        <v>208</v>
      </c>
      <c r="K607" s="9" t="s">
        <v>218</v>
      </c>
      <c r="L607" s="8" t="s">
        <v>208</v>
      </c>
      <c r="M607" s="8" t="s">
        <v>208</v>
      </c>
      <c r="N607" s="8" t="s">
        <v>221</v>
      </c>
      <c r="O607" s="8" t="s">
        <v>208</v>
      </c>
      <c r="Q607" t="s">
        <v>715</v>
      </c>
      <c r="R607" t="s">
        <v>716</v>
      </c>
      <c r="U607" t="s">
        <v>717</v>
      </c>
      <c r="V607" t="s">
        <v>30</v>
      </c>
      <c r="W607" t="s">
        <v>298</v>
      </c>
      <c r="X607" t="s">
        <v>298</v>
      </c>
      <c r="Y607" t="s">
        <v>299</v>
      </c>
      <c r="Z607" t="s">
        <v>299</v>
      </c>
      <c r="AA607" t="s">
        <v>300</v>
      </c>
      <c r="AB607" t="s">
        <v>408</v>
      </c>
      <c r="AC607" t="s">
        <v>391</v>
      </c>
      <c r="AD607" t="s">
        <v>216</v>
      </c>
      <c r="AE607" t="s">
        <v>300</v>
      </c>
      <c r="AG607" s="8" t="s">
        <v>218</v>
      </c>
      <c r="AH607" t="s">
        <v>302</v>
      </c>
      <c r="AI607" s="9" t="s">
        <v>218</v>
      </c>
      <c r="AJ607" s="8" t="s">
        <v>221</v>
      </c>
      <c r="AK607" t="s">
        <v>400</v>
      </c>
      <c r="AL607" s="9" t="s">
        <v>218</v>
      </c>
      <c r="AM607" s="8" t="s">
        <v>221</v>
      </c>
      <c r="AN607" s="8" t="s">
        <v>221</v>
      </c>
      <c r="AO607" s="8" t="s">
        <v>222</v>
      </c>
      <c r="AP607" s="8">
        <v>0</v>
      </c>
      <c r="AQ607" s="8">
        <v>0</v>
      </c>
      <c r="AR607" s="9">
        <v>5</v>
      </c>
      <c r="AS607" s="8">
        <v>0</v>
      </c>
      <c r="AT607" s="8">
        <v>0</v>
      </c>
      <c r="AU607" s="8">
        <v>0</v>
      </c>
      <c r="AV607" s="8">
        <v>0</v>
      </c>
      <c r="AW607" s="9">
        <v>5</v>
      </c>
      <c r="AX607" s="8"/>
      <c r="AY607" s="8"/>
      <c r="AZ607">
        <v>3</v>
      </c>
      <c r="BA607" t="s">
        <v>2754</v>
      </c>
      <c r="BB607" t="s">
        <v>718</v>
      </c>
    </row>
    <row r="608" spans="1:54">
      <c r="A608" s="6">
        <v>45835</v>
      </c>
      <c r="B608" s="7" t="s">
        <v>541</v>
      </c>
      <c r="C608" t="s">
        <v>387</v>
      </c>
      <c r="D608" t="s">
        <v>2714</v>
      </c>
      <c r="E608" t="s">
        <v>2714</v>
      </c>
      <c r="F608" t="s">
        <v>2715</v>
      </c>
      <c r="G608" t="s">
        <v>294</v>
      </c>
      <c r="H608" s="8" t="s">
        <v>221</v>
      </c>
      <c r="I608" s="8" t="s">
        <v>221</v>
      </c>
      <c r="J608" s="8" t="s">
        <v>208</v>
      </c>
      <c r="K608" s="9" t="s">
        <v>218</v>
      </c>
      <c r="L608" s="8" t="s">
        <v>208</v>
      </c>
      <c r="M608" s="8" t="s">
        <v>208</v>
      </c>
      <c r="N608" s="8" t="s">
        <v>221</v>
      </c>
      <c r="O608" s="8" t="s">
        <v>208</v>
      </c>
      <c r="Q608" t="s">
        <v>542</v>
      </c>
      <c r="R608" t="s">
        <v>543</v>
      </c>
      <c r="U608" t="s">
        <v>544</v>
      </c>
      <c r="V608" t="s">
        <v>30</v>
      </c>
      <c r="W608" t="s">
        <v>298</v>
      </c>
      <c r="X608" t="s">
        <v>298</v>
      </c>
      <c r="Y608" t="s">
        <v>299</v>
      </c>
      <c r="Z608" t="s">
        <v>299</v>
      </c>
      <c r="AA608" t="s">
        <v>300</v>
      </c>
      <c r="AB608" t="s">
        <v>1480</v>
      </c>
      <c r="AC608" t="s">
        <v>538</v>
      </c>
      <c r="AD608" t="s">
        <v>216</v>
      </c>
      <c r="AE608" t="s">
        <v>300</v>
      </c>
      <c r="AG608" s="8" t="s">
        <v>218</v>
      </c>
      <c r="AH608" t="s">
        <v>302</v>
      </c>
      <c r="AI608" s="9" t="s">
        <v>218</v>
      </c>
      <c r="AJ608" s="8" t="s">
        <v>221</v>
      </c>
      <c r="AK608" t="s">
        <v>400</v>
      </c>
      <c r="AL608" s="9" t="s">
        <v>218</v>
      </c>
      <c r="AM608" s="8" t="s">
        <v>221</v>
      </c>
      <c r="AN608" s="8" t="s">
        <v>221</v>
      </c>
      <c r="AO608" s="8" t="s">
        <v>222</v>
      </c>
      <c r="AP608" s="8">
        <v>0</v>
      </c>
      <c r="AQ608" s="8">
        <v>0</v>
      </c>
      <c r="AR608" s="9">
        <v>4</v>
      </c>
      <c r="AS608" s="8">
        <v>0</v>
      </c>
      <c r="AT608" s="8">
        <v>0</v>
      </c>
      <c r="AU608" s="8">
        <v>0</v>
      </c>
      <c r="AV608" s="8">
        <v>0</v>
      </c>
      <c r="AW608" s="9">
        <v>4</v>
      </c>
      <c r="AX608" s="8"/>
      <c r="AY608" s="8"/>
      <c r="AZ608">
        <v>3</v>
      </c>
      <c r="BA608" t="s">
        <v>2755</v>
      </c>
      <c r="BB608" t="s">
        <v>546</v>
      </c>
    </row>
    <row r="609" spans="1:54">
      <c r="A609" s="6">
        <v>45835</v>
      </c>
      <c r="B609" s="7" t="s">
        <v>576</v>
      </c>
      <c r="C609" t="s">
        <v>387</v>
      </c>
      <c r="D609" t="s">
        <v>2714</v>
      </c>
      <c r="E609" t="s">
        <v>2714</v>
      </c>
      <c r="F609" t="s">
        <v>2715</v>
      </c>
      <c r="G609" t="s">
        <v>294</v>
      </c>
      <c r="H609" s="8" t="s">
        <v>221</v>
      </c>
      <c r="I609" s="8" t="s">
        <v>221</v>
      </c>
      <c r="J609" s="8" t="s">
        <v>208</v>
      </c>
      <c r="K609" s="9" t="s">
        <v>218</v>
      </c>
      <c r="L609" s="8" t="s">
        <v>208</v>
      </c>
      <c r="M609" s="8" t="s">
        <v>208</v>
      </c>
      <c r="N609" s="8" t="s">
        <v>221</v>
      </c>
      <c r="O609" s="8" t="s">
        <v>208</v>
      </c>
      <c r="Q609" t="s">
        <v>577</v>
      </c>
      <c r="R609" t="s">
        <v>578</v>
      </c>
      <c r="U609" t="s">
        <v>2756</v>
      </c>
      <c r="V609" t="s">
        <v>30</v>
      </c>
      <c r="W609" t="s">
        <v>298</v>
      </c>
      <c r="X609" t="s">
        <v>298</v>
      </c>
      <c r="Y609" t="s">
        <v>299</v>
      </c>
      <c r="Z609" t="s">
        <v>299</v>
      </c>
      <c r="AA609" t="s">
        <v>300</v>
      </c>
      <c r="AB609" t="s">
        <v>538</v>
      </c>
      <c r="AC609" t="s">
        <v>417</v>
      </c>
      <c r="AD609" t="s">
        <v>216</v>
      </c>
      <c r="AE609" t="s">
        <v>300</v>
      </c>
      <c r="AG609" s="8" t="s">
        <v>218</v>
      </c>
      <c r="AH609" t="s">
        <v>302</v>
      </c>
      <c r="AI609" s="9" t="s">
        <v>218</v>
      </c>
      <c r="AJ609" s="8" t="s">
        <v>221</v>
      </c>
      <c r="AK609" t="s">
        <v>580</v>
      </c>
      <c r="AL609" s="9" t="s">
        <v>218</v>
      </c>
      <c r="AM609" s="8" t="s">
        <v>221</v>
      </c>
      <c r="AN609" s="8" t="s">
        <v>221</v>
      </c>
      <c r="AO609" s="8" t="s">
        <v>222</v>
      </c>
      <c r="AP609" s="8">
        <v>0</v>
      </c>
      <c r="AQ609" s="8">
        <v>0</v>
      </c>
      <c r="AR609" s="9">
        <v>2</v>
      </c>
      <c r="AS609" s="8">
        <v>0</v>
      </c>
      <c r="AT609" s="8">
        <v>0</v>
      </c>
      <c r="AU609" s="8">
        <v>0</v>
      </c>
      <c r="AV609" s="8">
        <v>0</v>
      </c>
      <c r="AW609" s="9">
        <v>2</v>
      </c>
      <c r="AX609" s="8"/>
      <c r="AY609" s="8"/>
      <c r="AZ609">
        <v>3</v>
      </c>
      <c r="BA609" t="s">
        <v>2757</v>
      </c>
      <c r="BB609" t="s">
        <v>582</v>
      </c>
    </row>
    <row r="610" spans="1:54">
      <c r="A610" s="6">
        <v>45835</v>
      </c>
      <c r="B610" s="7" t="s">
        <v>2758</v>
      </c>
      <c r="C610" t="s">
        <v>387</v>
      </c>
      <c r="D610" t="s">
        <v>2714</v>
      </c>
      <c r="E610" t="s">
        <v>2714</v>
      </c>
      <c r="F610" t="s">
        <v>2715</v>
      </c>
      <c r="G610" t="s">
        <v>294</v>
      </c>
      <c r="H610" s="8" t="s">
        <v>221</v>
      </c>
      <c r="I610" s="8" t="s">
        <v>221</v>
      </c>
      <c r="J610" s="8" t="s">
        <v>208</v>
      </c>
      <c r="K610" s="9" t="s">
        <v>218</v>
      </c>
      <c r="L610" s="8" t="s">
        <v>208</v>
      </c>
      <c r="M610" s="8" t="s">
        <v>208</v>
      </c>
      <c r="N610" s="8" t="s">
        <v>221</v>
      </c>
      <c r="O610" s="8" t="s">
        <v>208</v>
      </c>
      <c r="Q610" t="s">
        <v>2759</v>
      </c>
      <c r="R610" t="s">
        <v>2760</v>
      </c>
      <c r="U610" t="s">
        <v>2761</v>
      </c>
      <c r="V610" t="s">
        <v>635</v>
      </c>
      <c r="W610" t="s">
        <v>298</v>
      </c>
      <c r="X610" t="s">
        <v>298</v>
      </c>
      <c r="Y610" t="s">
        <v>299</v>
      </c>
      <c r="Z610" t="s">
        <v>299</v>
      </c>
      <c r="AA610" t="s">
        <v>636</v>
      </c>
      <c r="AB610" t="s">
        <v>391</v>
      </c>
      <c r="AC610" t="s">
        <v>425</v>
      </c>
      <c r="AD610" t="s">
        <v>216</v>
      </c>
      <c r="AE610" t="s">
        <v>636</v>
      </c>
      <c r="AG610" s="8" t="s">
        <v>218</v>
      </c>
      <c r="AH610" t="s">
        <v>302</v>
      </c>
      <c r="AI610" s="9" t="s">
        <v>218</v>
      </c>
      <c r="AJ610" s="8" t="s">
        <v>221</v>
      </c>
      <c r="AK610" t="s">
        <v>1120</v>
      </c>
      <c r="AL610" s="9" t="s">
        <v>218</v>
      </c>
      <c r="AM610" s="8" t="s">
        <v>221</v>
      </c>
      <c r="AN610" s="8" t="s">
        <v>221</v>
      </c>
      <c r="AO610" s="8" t="s">
        <v>222</v>
      </c>
      <c r="AP610" s="8">
        <v>0</v>
      </c>
      <c r="AQ610" s="8">
        <v>0</v>
      </c>
      <c r="AR610" s="9">
        <v>5</v>
      </c>
      <c r="AS610" s="8">
        <v>0</v>
      </c>
      <c r="AT610" s="8">
        <v>0</v>
      </c>
      <c r="AU610" s="8">
        <v>0</v>
      </c>
      <c r="AV610" s="8">
        <v>0</v>
      </c>
      <c r="AW610" s="9">
        <v>5</v>
      </c>
      <c r="AX610" s="8"/>
      <c r="AY610" s="8"/>
      <c r="AZ610">
        <v>3</v>
      </c>
      <c r="BA610" t="s">
        <v>2762</v>
      </c>
      <c r="BB610" t="s">
        <v>2763</v>
      </c>
    </row>
    <row r="611" spans="1:54">
      <c r="A611" s="6">
        <v>45835</v>
      </c>
      <c r="B611" s="7" t="s">
        <v>2764</v>
      </c>
      <c r="C611" t="s">
        <v>291</v>
      </c>
      <c r="D611" t="s">
        <v>2714</v>
      </c>
      <c r="E611" t="s">
        <v>2714</v>
      </c>
      <c r="F611" t="s">
        <v>2715</v>
      </c>
      <c r="G611" t="s">
        <v>294</v>
      </c>
      <c r="H611" s="8" t="s">
        <v>221</v>
      </c>
      <c r="I611" s="8" t="s">
        <v>221</v>
      </c>
      <c r="J611" s="8" t="s">
        <v>208</v>
      </c>
      <c r="K611" s="9" t="s">
        <v>218</v>
      </c>
      <c r="L611" s="8" t="s">
        <v>208</v>
      </c>
      <c r="M611" s="8" t="s">
        <v>208</v>
      </c>
      <c r="N611" s="8" t="s">
        <v>221</v>
      </c>
      <c r="O611" s="8" t="s">
        <v>208</v>
      </c>
      <c r="Q611" t="s">
        <v>2765</v>
      </c>
      <c r="R611" t="s">
        <v>2766</v>
      </c>
      <c r="U611" t="s">
        <v>2767</v>
      </c>
      <c r="V611" t="s">
        <v>83</v>
      </c>
      <c r="W611" t="s">
        <v>298</v>
      </c>
      <c r="X611" t="s">
        <v>298</v>
      </c>
      <c r="Y611" t="s">
        <v>299</v>
      </c>
      <c r="Z611" t="s">
        <v>299</v>
      </c>
      <c r="AA611" t="s">
        <v>732</v>
      </c>
      <c r="AB611" t="s">
        <v>603</v>
      </c>
      <c r="AC611" t="s">
        <v>408</v>
      </c>
      <c r="AD611" t="s">
        <v>216</v>
      </c>
      <c r="AE611" t="s">
        <v>732</v>
      </c>
      <c r="AG611" s="8" t="s">
        <v>218</v>
      </c>
      <c r="AH611" t="s">
        <v>302</v>
      </c>
      <c r="AI611" s="9" t="s">
        <v>218</v>
      </c>
      <c r="AJ611" s="8" t="s">
        <v>221</v>
      </c>
      <c r="AK611" t="s">
        <v>1704</v>
      </c>
      <c r="AL611" s="9" t="s">
        <v>218</v>
      </c>
      <c r="AM611" s="8" t="s">
        <v>221</v>
      </c>
      <c r="AN611" s="8" t="s">
        <v>221</v>
      </c>
      <c r="AO611" s="8" t="s">
        <v>222</v>
      </c>
      <c r="AP611" s="8">
        <v>0</v>
      </c>
      <c r="AQ611" s="8">
        <v>0</v>
      </c>
      <c r="AR611" s="9">
        <v>9</v>
      </c>
      <c r="AS611" s="8">
        <v>0</v>
      </c>
      <c r="AT611" s="8">
        <v>0</v>
      </c>
      <c r="AU611" s="8">
        <v>0</v>
      </c>
      <c r="AV611" s="8">
        <v>0</v>
      </c>
      <c r="AW611" s="9">
        <v>9</v>
      </c>
      <c r="AX611" s="9" t="s">
        <v>2768</v>
      </c>
      <c r="AY611" s="8"/>
      <c r="AZ611">
        <v>3</v>
      </c>
      <c r="BA611" t="s">
        <v>2769</v>
      </c>
      <c r="BB611" t="s">
        <v>2770</v>
      </c>
    </row>
    <row r="612" spans="1:54">
      <c r="A612" s="6">
        <v>45835</v>
      </c>
      <c r="B612" s="7" t="s">
        <v>2771</v>
      </c>
      <c r="C612" t="s">
        <v>1821</v>
      </c>
      <c r="D612" t="s">
        <v>2714</v>
      </c>
      <c r="E612" t="s">
        <v>2714</v>
      </c>
      <c r="F612" t="s">
        <v>2715</v>
      </c>
      <c r="G612" t="s">
        <v>294</v>
      </c>
      <c r="H612" s="8" t="s">
        <v>221</v>
      </c>
      <c r="I612" s="8" t="s">
        <v>221</v>
      </c>
      <c r="J612" s="8" t="s">
        <v>208</v>
      </c>
      <c r="K612" s="9" t="s">
        <v>218</v>
      </c>
      <c r="L612" s="8" t="s">
        <v>208</v>
      </c>
      <c r="M612" s="8" t="s">
        <v>208</v>
      </c>
      <c r="N612" s="8" t="s">
        <v>221</v>
      </c>
      <c r="O612" s="8" t="s">
        <v>208</v>
      </c>
      <c r="Q612" t="s">
        <v>2772</v>
      </c>
      <c r="R612" t="s">
        <v>2773</v>
      </c>
      <c r="U612" t="s">
        <v>2774</v>
      </c>
      <c r="V612" t="s">
        <v>38</v>
      </c>
      <c r="W612" t="s">
        <v>774</v>
      </c>
      <c r="X612" t="s">
        <v>774</v>
      </c>
      <c r="Y612" t="s">
        <v>775</v>
      </c>
      <c r="Z612" t="s">
        <v>775</v>
      </c>
      <c r="AA612" t="s">
        <v>653</v>
      </c>
      <c r="AB612" t="s">
        <v>603</v>
      </c>
      <c r="AC612" t="s">
        <v>408</v>
      </c>
      <c r="AD612" t="s">
        <v>216</v>
      </c>
      <c r="AE612" t="s">
        <v>2775</v>
      </c>
      <c r="AG612" s="8" t="s">
        <v>218</v>
      </c>
      <c r="AH612" t="s">
        <v>219</v>
      </c>
      <c r="AI612" s="9" t="s">
        <v>218</v>
      </c>
      <c r="AJ612" s="9" t="s">
        <v>218</v>
      </c>
      <c r="AK612" t="s">
        <v>234</v>
      </c>
      <c r="AL612" s="9" t="s">
        <v>218</v>
      </c>
      <c r="AM612" s="8" t="s">
        <v>221</v>
      </c>
      <c r="AN612" s="8" t="s">
        <v>221</v>
      </c>
      <c r="AO612" s="8" t="s">
        <v>222</v>
      </c>
      <c r="AP612" s="8">
        <v>0</v>
      </c>
      <c r="AQ612" s="8">
        <v>0</v>
      </c>
      <c r="AR612" s="9">
        <v>18</v>
      </c>
      <c r="AS612" s="8">
        <v>0</v>
      </c>
      <c r="AT612" s="8">
        <v>0</v>
      </c>
      <c r="AU612" s="8">
        <v>0</v>
      </c>
      <c r="AV612" s="8">
        <v>0</v>
      </c>
      <c r="AW612" s="9">
        <v>18</v>
      </c>
      <c r="AX612" s="8"/>
      <c r="AY612" s="8"/>
      <c r="AZ612">
        <v>5</v>
      </c>
      <c r="BA612" t="s">
        <v>2776</v>
      </c>
      <c r="BB612" t="s">
        <v>2777</v>
      </c>
    </row>
    <row r="613" spans="1:54">
      <c r="A613" s="6">
        <v>45835</v>
      </c>
      <c r="B613" s="7" t="s">
        <v>2778</v>
      </c>
      <c r="C613" t="s">
        <v>668</v>
      </c>
      <c r="D613" t="s">
        <v>2779</v>
      </c>
      <c r="E613" t="s">
        <v>2779</v>
      </c>
      <c r="F613" t="s">
        <v>2780</v>
      </c>
      <c r="G613" t="s">
        <v>2781</v>
      </c>
      <c r="H613" s="8" t="s">
        <v>208</v>
      </c>
      <c r="I613" s="8" t="s">
        <v>208</v>
      </c>
      <c r="J613" s="8" t="s">
        <v>208</v>
      </c>
      <c r="K613" s="8" t="s">
        <v>208</v>
      </c>
      <c r="L613" s="8" t="s">
        <v>208</v>
      </c>
      <c r="M613" s="8" t="s">
        <v>208</v>
      </c>
      <c r="N613" s="8" t="s">
        <v>208</v>
      </c>
      <c r="O613" s="8" t="s">
        <v>208</v>
      </c>
      <c r="Q613" t="s">
        <v>2782</v>
      </c>
      <c r="R613" t="s">
        <v>2783</v>
      </c>
      <c r="U613" t="s">
        <v>2784</v>
      </c>
      <c r="V613" t="s">
        <v>137</v>
      </c>
      <c r="W613" t="s">
        <v>212</v>
      </c>
      <c r="X613" t="s">
        <v>212</v>
      </c>
      <c r="Y613" t="s">
        <v>213</v>
      </c>
      <c r="Z613" t="s">
        <v>213</v>
      </c>
      <c r="AA613" t="s">
        <v>214</v>
      </c>
      <c r="AB613" t="s">
        <v>758</v>
      </c>
      <c r="AC613" t="s">
        <v>285</v>
      </c>
      <c r="AD613" t="s">
        <v>216</v>
      </c>
      <c r="AE613" t="s">
        <v>2121</v>
      </c>
      <c r="AG613" s="8" t="s">
        <v>218</v>
      </c>
      <c r="AH613" t="s">
        <v>219</v>
      </c>
      <c r="AI613" s="9" t="s">
        <v>218</v>
      </c>
      <c r="AJ613" s="9" t="s">
        <v>218</v>
      </c>
      <c r="AK613" t="s">
        <v>234</v>
      </c>
      <c r="AL613" s="9" t="s">
        <v>218</v>
      </c>
      <c r="AM613" s="8" t="s">
        <v>221</v>
      </c>
      <c r="AN613" s="8" t="s">
        <v>221</v>
      </c>
      <c r="AO613" s="8" t="s">
        <v>222</v>
      </c>
      <c r="AP613" s="8">
        <v>0</v>
      </c>
      <c r="AQ613" s="8">
        <v>0</v>
      </c>
      <c r="AR613" s="9">
        <v>58</v>
      </c>
      <c r="AS613" s="8">
        <v>0</v>
      </c>
      <c r="AT613" s="8">
        <v>0</v>
      </c>
      <c r="AU613" s="8">
        <v>0</v>
      </c>
      <c r="AV613" s="8">
        <v>0</v>
      </c>
      <c r="AW613" s="9">
        <v>58</v>
      </c>
      <c r="AX613" s="9" t="s">
        <v>2768</v>
      </c>
      <c r="AY613" s="9" t="s">
        <v>2785</v>
      </c>
      <c r="AZ613">
        <v>4</v>
      </c>
      <c r="BA613" t="s">
        <v>2786</v>
      </c>
      <c r="BB613" t="s">
        <v>2787</v>
      </c>
    </row>
    <row r="614" spans="1:54">
      <c r="A614" s="6">
        <v>45835</v>
      </c>
      <c r="B614" s="7" t="s">
        <v>1511</v>
      </c>
      <c r="C614" t="s">
        <v>1821</v>
      </c>
      <c r="D614" t="s">
        <v>2779</v>
      </c>
      <c r="E614" t="s">
        <v>2779</v>
      </c>
      <c r="F614" t="s">
        <v>2780</v>
      </c>
      <c r="G614" t="s">
        <v>2781</v>
      </c>
      <c r="H614" s="8" t="s">
        <v>208</v>
      </c>
      <c r="I614" s="8" t="s">
        <v>208</v>
      </c>
      <c r="J614" s="8" t="s">
        <v>208</v>
      </c>
      <c r="K614" s="8" t="s">
        <v>208</v>
      </c>
      <c r="L614" s="8" t="s">
        <v>208</v>
      </c>
      <c r="M614" s="8" t="s">
        <v>208</v>
      </c>
      <c r="N614" s="8" t="s">
        <v>208</v>
      </c>
      <c r="O614" s="8" t="s">
        <v>208</v>
      </c>
      <c r="Q614" t="s">
        <v>1512</v>
      </c>
      <c r="R614" t="s">
        <v>1513</v>
      </c>
      <c r="U614" t="s">
        <v>1514</v>
      </c>
      <c r="V614" t="s">
        <v>137</v>
      </c>
      <c r="W614" t="s">
        <v>774</v>
      </c>
      <c r="X614" t="s">
        <v>774</v>
      </c>
      <c r="Y614" t="s">
        <v>775</v>
      </c>
      <c r="Z614" t="s">
        <v>775</v>
      </c>
      <c r="AA614" t="s">
        <v>1309</v>
      </c>
      <c r="AB614" t="s">
        <v>425</v>
      </c>
      <c r="AC614" t="s">
        <v>465</v>
      </c>
      <c r="AD614" t="s">
        <v>216</v>
      </c>
      <c r="AE614" t="s">
        <v>2788</v>
      </c>
      <c r="AG614" s="8" t="s">
        <v>218</v>
      </c>
      <c r="AH614" t="s">
        <v>219</v>
      </c>
      <c r="AI614" s="9" t="s">
        <v>218</v>
      </c>
      <c r="AJ614" s="9" t="s">
        <v>218</v>
      </c>
      <c r="AK614" t="s">
        <v>234</v>
      </c>
      <c r="AL614" s="9" t="s">
        <v>218</v>
      </c>
      <c r="AM614" s="8" t="s">
        <v>221</v>
      </c>
      <c r="AN614" s="8" t="s">
        <v>221</v>
      </c>
      <c r="AO614" s="8" t="s">
        <v>222</v>
      </c>
      <c r="AP614" s="8">
        <v>0</v>
      </c>
      <c r="AQ614" s="8">
        <v>0</v>
      </c>
      <c r="AR614" s="9">
        <v>10</v>
      </c>
      <c r="AS614" s="8">
        <v>0</v>
      </c>
      <c r="AT614" s="8">
        <v>0</v>
      </c>
      <c r="AU614" s="8">
        <v>0</v>
      </c>
      <c r="AV614" s="8">
        <v>0</v>
      </c>
      <c r="AW614" s="9">
        <v>10</v>
      </c>
      <c r="AX614" s="8"/>
      <c r="AY614" s="9" t="s">
        <v>2789</v>
      </c>
      <c r="AZ614">
        <v>3</v>
      </c>
      <c r="BA614" t="s">
        <v>2790</v>
      </c>
      <c r="BB614" t="s">
        <v>1517</v>
      </c>
    </row>
    <row r="615" spans="1:54">
      <c r="A615" s="6">
        <v>45835</v>
      </c>
      <c r="B615" s="7" t="s">
        <v>1305</v>
      </c>
      <c r="C615" t="s">
        <v>1821</v>
      </c>
      <c r="D615" t="s">
        <v>2779</v>
      </c>
      <c r="E615" t="s">
        <v>2779</v>
      </c>
      <c r="F615" t="s">
        <v>2780</v>
      </c>
      <c r="G615" t="s">
        <v>2781</v>
      </c>
      <c r="H615" s="8" t="s">
        <v>208</v>
      </c>
      <c r="I615" s="8" t="s">
        <v>208</v>
      </c>
      <c r="J615" s="8" t="s">
        <v>208</v>
      </c>
      <c r="K615" s="8" t="s">
        <v>208</v>
      </c>
      <c r="L615" s="8" t="s">
        <v>208</v>
      </c>
      <c r="M615" s="8" t="s">
        <v>208</v>
      </c>
      <c r="N615" s="8" t="s">
        <v>208</v>
      </c>
      <c r="O615" s="8" t="s">
        <v>208</v>
      </c>
      <c r="Q615" t="s">
        <v>1306</v>
      </c>
      <c r="R615" t="s">
        <v>1307</v>
      </c>
      <c r="U615" t="s">
        <v>1308</v>
      </c>
      <c r="V615" t="s">
        <v>137</v>
      </c>
      <c r="W615" t="s">
        <v>774</v>
      </c>
      <c r="X615" t="s">
        <v>774</v>
      </c>
      <c r="Y615" t="s">
        <v>775</v>
      </c>
      <c r="Z615" t="s">
        <v>775</v>
      </c>
      <c r="AA615" t="s">
        <v>1309</v>
      </c>
      <c r="AB615" t="s">
        <v>408</v>
      </c>
      <c r="AC615" t="s">
        <v>391</v>
      </c>
      <c r="AD615" t="s">
        <v>216</v>
      </c>
      <c r="AE615" t="s">
        <v>2788</v>
      </c>
      <c r="AG615" s="9" t="s">
        <v>221</v>
      </c>
      <c r="AH615" t="s">
        <v>219</v>
      </c>
      <c r="AI615" s="9" t="s">
        <v>218</v>
      </c>
      <c r="AJ615" s="9" t="s">
        <v>218</v>
      </c>
      <c r="AK615" t="s">
        <v>234</v>
      </c>
      <c r="AL615" s="9" t="s">
        <v>218</v>
      </c>
      <c r="AM615" s="8" t="s">
        <v>221</v>
      </c>
      <c r="AN615" s="8" t="s">
        <v>221</v>
      </c>
      <c r="AO615" s="8" t="s">
        <v>222</v>
      </c>
      <c r="AP615" s="8">
        <v>0</v>
      </c>
      <c r="AQ615" s="8">
        <v>0</v>
      </c>
      <c r="AR615" s="9">
        <v>11</v>
      </c>
      <c r="AS615" s="8">
        <v>0</v>
      </c>
      <c r="AT615" s="8">
        <v>0</v>
      </c>
      <c r="AU615" s="8">
        <v>0</v>
      </c>
      <c r="AV615" s="8">
        <v>0</v>
      </c>
      <c r="AW615" s="9">
        <v>11</v>
      </c>
      <c r="AX615" s="8"/>
      <c r="AY615" s="9" t="s">
        <v>2791</v>
      </c>
      <c r="AZ615">
        <v>5</v>
      </c>
      <c r="BA615" t="s">
        <v>2792</v>
      </c>
      <c r="BB615" t="s">
        <v>1312</v>
      </c>
    </row>
    <row r="616" spans="1:54">
      <c r="A616" s="6">
        <v>45835</v>
      </c>
      <c r="B616" s="7" t="s">
        <v>1717</v>
      </c>
      <c r="C616" t="s">
        <v>387</v>
      </c>
      <c r="D616" t="s">
        <v>2779</v>
      </c>
      <c r="E616" t="s">
        <v>2779</v>
      </c>
      <c r="F616" t="s">
        <v>2780</v>
      </c>
      <c r="G616" t="s">
        <v>2781</v>
      </c>
      <c r="H616" s="8" t="s">
        <v>208</v>
      </c>
      <c r="I616" s="8" t="s">
        <v>208</v>
      </c>
      <c r="J616" s="8" t="s">
        <v>208</v>
      </c>
      <c r="K616" s="8" t="s">
        <v>208</v>
      </c>
      <c r="L616" s="8" t="s">
        <v>208</v>
      </c>
      <c r="M616" s="8" t="s">
        <v>208</v>
      </c>
      <c r="N616" s="8" t="s">
        <v>208</v>
      </c>
      <c r="O616" s="8" t="s">
        <v>208</v>
      </c>
      <c r="Q616" t="s">
        <v>1718</v>
      </c>
      <c r="R616" t="s">
        <v>1719</v>
      </c>
      <c r="U616" t="s">
        <v>1720</v>
      </c>
      <c r="V616" t="s">
        <v>131</v>
      </c>
      <c r="W616" t="s">
        <v>298</v>
      </c>
      <c r="X616" t="s">
        <v>298</v>
      </c>
      <c r="Y616" t="s">
        <v>299</v>
      </c>
      <c r="Z616" t="s">
        <v>299</v>
      </c>
      <c r="AA616" t="s">
        <v>1721</v>
      </c>
      <c r="AB616" t="s">
        <v>391</v>
      </c>
      <c r="AC616" t="s">
        <v>425</v>
      </c>
      <c r="AD616" t="s">
        <v>216</v>
      </c>
      <c r="AE616" t="s">
        <v>1721</v>
      </c>
      <c r="AG616" s="8" t="s">
        <v>218</v>
      </c>
      <c r="AH616" t="s">
        <v>302</v>
      </c>
      <c r="AI616" s="9" t="s">
        <v>218</v>
      </c>
      <c r="AJ616" s="8" t="s">
        <v>221</v>
      </c>
      <c r="AK616" t="s">
        <v>234</v>
      </c>
      <c r="AL616" s="9" t="s">
        <v>218</v>
      </c>
      <c r="AM616" s="8" t="s">
        <v>221</v>
      </c>
      <c r="AN616" s="8" t="s">
        <v>221</v>
      </c>
      <c r="AO616" s="8" t="s">
        <v>222</v>
      </c>
      <c r="AP616" s="8">
        <v>0</v>
      </c>
      <c r="AQ616" s="8">
        <v>0</v>
      </c>
      <c r="AR616" s="9">
        <v>17</v>
      </c>
      <c r="AS616" s="8">
        <v>0</v>
      </c>
      <c r="AT616" s="8">
        <v>0</v>
      </c>
      <c r="AU616" s="8">
        <v>0</v>
      </c>
      <c r="AV616" s="8">
        <v>0</v>
      </c>
      <c r="AW616" s="9">
        <v>17</v>
      </c>
      <c r="AX616" s="9" t="s">
        <v>1723</v>
      </c>
      <c r="AY616" s="8"/>
      <c r="AZ616">
        <v>3</v>
      </c>
      <c r="BA616" t="s">
        <v>2793</v>
      </c>
      <c r="BB616" t="s">
        <v>1725</v>
      </c>
    </row>
    <row r="617" spans="1:54">
      <c r="A617" s="6">
        <v>45835</v>
      </c>
      <c r="B617" s="7" t="s">
        <v>2794</v>
      </c>
      <c r="C617" t="s">
        <v>387</v>
      </c>
      <c r="D617" t="s">
        <v>2779</v>
      </c>
      <c r="E617" t="s">
        <v>2779</v>
      </c>
      <c r="F617" t="s">
        <v>2780</v>
      </c>
      <c r="G617" t="s">
        <v>2781</v>
      </c>
      <c r="H617" s="8" t="s">
        <v>208</v>
      </c>
      <c r="I617" s="8" t="s">
        <v>208</v>
      </c>
      <c r="J617" s="8" t="s">
        <v>208</v>
      </c>
      <c r="K617" s="8" t="s">
        <v>208</v>
      </c>
      <c r="L617" s="8" t="s">
        <v>208</v>
      </c>
      <c r="M617" s="8" t="s">
        <v>208</v>
      </c>
      <c r="N617" s="8" t="s">
        <v>208</v>
      </c>
      <c r="O617" s="8" t="s">
        <v>208</v>
      </c>
      <c r="Q617" t="s">
        <v>2795</v>
      </c>
      <c r="R617" t="s">
        <v>2796</v>
      </c>
      <c r="U617" t="s">
        <v>2797</v>
      </c>
      <c r="V617" t="s">
        <v>644</v>
      </c>
      <c r="W617" t="s">
        <v>298</v>
      </c>
      <c r="X617" t="s">
        <v>298</v>
      </c>
      <c r="Y617" t="s">
        <v>299</v>
      </c>
      <c r="Z617" t="s">
        <v>299</v>
      </c>
      <c r="AA617" t="s">
        <v>645</v>
      </c>
      <c r="AB617" t="s">
        <v>408</v>
      </c>
      <c r="AC617" t="s">
        <v>391</v>
      </c>
      <c r="AD617" t="s">
        <v>216</v>
      </c>
      <c r="AE617" t="s">
        <v>645</v>
      </c>
      <c r="AG617" s="8" t="s">
        <v>218</v>
      </c>
      <c r="AH617" t="s">
        <v>302</v>
      </c>
      <c r="AI617" s="9" t="s">
        <v>218</v>
      </c>
      <c r="AJ617" s="8" t="s">
        <v>221</v>
      </c>
      <c r="AK617" t="s">
        <v>234</v>
      </c>
      <c r="AL617" s="9" t="s">
        <v>218</v>
      </c>
      <c r="AM617" s="8" t="s">
        <v>221</v>
      </c>
      <c r="AN617" s="8" t="s">
        <v>221</v>
      </c>
      <c r="AO617" s="8" t="s">
        <v>222</v>
      </c>
      <c r="AP617" s="8">
        <v>0</v>
      </c>
      <c r="AQ617" s="8">
        <v>0</v>
      </c>
      <c r="AR617" s="9">
        <v>10</v>
      </c>
      <c r="AS617" s="8">
        <v>0</v>
      </c>
      <c r="AT617" s="8">
        <v>0</v>
      </c>
      <c r="AU617" s="8">
        <v>0</v>
      </c>
      <c r="AV617" s="8">
        <v>0</v>
      </c>
      <c r="AW617" s="9">
        <v>10</v>
      </c>
      <c r="AX617" s="8"/>
      <c r="AY617" s="8"/>
      <c r="AZ617">
        <v>3</v>
      </c>
      <c r="BA617" t="s">
        <v>2798</v>
      </c>
      <c r="BB617" t="s">
        <v>2799</v>
      </c>
    </row>
    <row r="618" spans="1:54">
      <c r="A618" s="6">
        <v>45835</v>
      </c>
      <c r="B618" s="7" t="s">
        <v>2800</v>
      </c>
      <c r="C618" t="s">
        <v>387</v>
      </c>
      <c r="D618" t="s">
        <v>2779</v>
      </c>
      <c r="E618" t="s">
        <v>2779</v>
      </c>
      <c r="F618" t="s">
        <v>2780</v>
      </c>
      <c r="G618" t="s">
        <v>2781</v>
      </c>
      <c r="H618" s="8" t="s">
        <v>208</v>
      </c>
      <c r="I618" s="8" t="s">
        <v>208</v>
      </c>
      <c r="J618" s="8" t="s">
        <v>208</v>
      </c>
      <c r="K618" s="8" t="s">
        <v>208</v>
      </c>
      <c r="L618" s="8" t="s">
        <v>208</v>
      </c>
      <c r="M618" s="8" t="s">
        <v>208</v>
      </c>
      <c r="N618" s="8" t="s">
        <v>208</v>
      </c>
      <c r="O618" s="8" t="s">
        <v>208</v>
      </c>
      <c r="Q618" t="s">
        <v>2801</v>
      </c>
      <c r="R618" t="s">
        <v>2802</v>
      </c>
      <c r="U618" t="s">
        <v>2803</v>
      </c>
      <c r="V618" t="s">
        <v>2804</v>
      </c>
      <c r="W618" t="s">
        <v>298</v>
      </c>
      <c r="X618" t="s">
        <v>298</v>
      </c>
      <c r="Y618" t="s">
        <v>299</v>
      </c>
      <c r="Z618" t="s">
        <v>299</v>
      </c>
      <c r="AA618" t="s">
        <v>2805</v>
      </c>
      <c r="AB618" t="s">
        <v>301</v>
      </c>
      <c r="AC618" t="s">
        <v>312</v>
      </c>
      <c r="AD618" t="s">
        <v>2806</v>
      </c>
      <c r="AE618" t="s">
        <v>2807</v>
      </c>
      <c r="AG618" s="8" t="s">
        <v>218</v>
      </c>
      <c r="AH618" t="s">
        <v>302</v>
      </c>
      <c r="AI618" s="9" t="s">
        <v>218</v>
      </c>
      <c r="AJ618" s="8" t="s">
        <v>221</v>
      </c>
      <c r="AK618" t="s">
        <v>2808</v>
      </c>
      <c r="AL618" s="9" t="s">
        <v>218</v>
      </c>
      <c r="AM618" s="8" t="s">
        <v>221</v>
      </c>
      <c r="AN618" s="8" t="s">
        <v>221</v>
      </c>
      <c r="AO618" s="8" t="s">
        <v>222</v>
      </c>
      <c r="AP618" s="8">
        <v>0</v>
      </c>
      <c r="AQ618" s="8">
        <v>0</v>
      </c>
      <c r="AR618" s="9">
        <v>11</v>
      </c>
      <c r="AS618" s="8">
        <v>0</v>
      </c>
      <c r="AT618" s="8">
        <v>0</v>
      </c>
      <c r="AU618" s="8">
        <v>0</v>
      </c>
      <c r="AV618" s="8">
        <v>0</v>
      </c>
      <c r="AW618" s="9">
        <v>11</v>
      </c>
      <c r="AX618" s="8"/>
      <c r="AY618" s="8"/>
      <c r="AZ618">
        <v>5</v>
      </c>
      <c r="BA618" t="s">
        <v>2809</v>
      </c>
      <c r="BB618" t="s">
        <v>2810</v>
      </c>
    </row>
    <row r="619" spans="1:54">
      <c r="A619" s="6">
        <v>45835</v>
      </c>
      <c r="B619" s="7" t="s">
        <v>2811</v>
      </c>
      <c r="C619" t="s">
        <v>387</v>
      </c>
      <c r="D619" t="s">
        <v>2779</v>
      </c>
      <c r="E619" t="s">
        <v>2779</v>
      </c>
      <c r="F619" t="s">
        <v>2780</v>
      </c>
      <c r="G619" t="s">
        <v>2781</v>
      </c>
      <c r="H619" s="8" t="s">
        <v>208</v>
      </c>
      <c r="I619" s="8" t="s">
        <v>208</v>
      </c>
      <c r="J619" s="8" t="s">
        <v>208</v>
      </c>
      <c r="K619" s="8" t="s">
        <v>208</v>
      </c>
      <c r="L619" s="8" t="s">
        <v>208</v>
      </c>
      <c r="M619" s="8" t="s">
        <v>208</v>
      </c>
      <c r="N619" s="8" t="s">
        <v>208</v>
      </c>
      <c r="O619" s="8" t="s">
        <v>208</v>
      </c>
      <c r="Q619" t="s">
        <v>2812</v>
      </c>
      <c r="R619" t="s">
        <v>2813</v>
      </c>
      <c r="U619" t="s">
        <v>2814</v>
      </c>
      <c r="V619" t="s">
        <v>2815</v>
      </c>
      <c r="W619" t="s">
        <v>298</v>
      </c>
      <c r="X619" t="s">
        <v>298</v>
      </c>
      <c r="Y619" t="s">
        <v>299</v>
      </c>
      <c r="Z619" t="s">
        <v>299</v>
      </c>
      <c r="AA619" t="s">
        <v>2816</v>
      </c>
      <c r="AB619" t="s">
        <v>465</v>
      </c>
      <c r="AC619" t="s">
        <v>301</v>
      </c>
      <c r="AD619" t="s">
        <v>2806</v>
      </c>
      <c r="AE619" t="s">
        <v>2817</v>
      </c>
      <c r="AG619" s="8" t="s">
        <v>218</v>
      </c>
      <c r="AH619" t="s">
        <v>302</v>
      </c>
      <c r="AI619" s="9" t="s">
        <v>218</v>
      </c>
      <c r="AJ619" s="8" t="s">
        <v>221</v>
      </c>
      <c r="AK619" t="s">
        <v>2818</v>
      </c>
      <c r="AL619" s="9" t="s">
        <v>218</v>
      </c>
      <c r="AM619" s="8" t="s">
        <v>221</v>
      </c>
      <c r="AN619" s="8" t="s">
        <v>221</v>
      </c>
      <c r="AO619" s="8" t="s">
        <v>222</v>
      </c>
      <c r="AP619" s="8">
        <v>0</v>
      </c>
      <c r="AQ619" s="8">
        <v>0</v>
      </c>
      <c r="AR619" s="9">
        <v>5</v>
      </c>
      <c r="AS619" s="8">
        <v>0</v>
      </c>
      <c r="AT619" s="8">
        <v>0</v>
      </c>
      <c r="AU619" s="8">
        <v>0</v>
      </c>
      <c r="AV619" s="8">
        <v>0</v>
      </c>
      <c r="AW619" s="9">
        <v>5</v>
      </c>
      <c r="AX619" s="8"/>
      <c r="AY619" s="8"/>
      <c r="AZ619">
        <v>4</v>
      </c>
      <c r="BA619" t="s">
        <v>2819</v>
      </c>
      <c r="BB619" t="s">
        <v>2820</v>
      </c>
    </row>
    <row r="620" spans="1:54">
      <c r="A620" s="6">
        <v>45835</v>
      </c>
      <c r="B620" s="7" t="s">
        <v>1747</v>
      </c>
      <c r="C620" t="s">
        <v>668</v>
      </c>
      <c r="D620" t="s">
        <v>2779</v>
      </c>
      <c r="E620" t="s">
        <v>2779</v>
      </c>
      <c r="F620" t="s">
        <v>2780</v>
      </c>
      <c r="G620" t="s">
        <v>2781</v>
      </c>
      <c r="H620" s="8" t="s">
        <v>208</v>
      </c>
      <c r="I620" s="8" t="s">
        <v>208</v>
      </c>
      <c r="J620" s="8" t="s">
        <v>208</v>
      </c>
      <c r="K620" s="8" t="s">
        <v>208</v>
      </c>
      <c r="L620" s="8" t="s">
        <v>208</v>
      </c>
      <c r="M620" s="8" t="s">
        <v>208</v>
      </c>
      <c r="N620" s="8" t="s">
        <v>208</v>
      </c>
      <c r="O620" s="8" t="s">
        <v>208</v>
      </c>
      <c r="Q620" t="s">
        <v>1748</v>
      </c>
      <c r="R620" t="s">
        <v>1749</v>
      </c>
      <c r="U620" t="s">
        <v>1750</v>
      </c>
      <c r="V620" t="s">
        <v>1751</v>
      </c>
      <c r="W620" t="s">
        <v>212</v>
      </c>
      <c r="X620" t="s">
        <v>212</v>
      </c>
      <c r="Y620" t="s">
        <v>213</v>
      </c>
      <c r="Z620" t="s">
        <v>213</v>
      </c>
      <c r="AA620" t="s">
        <v>214</v>
      </c>
      <c r="AB620" t="s">
        <v>1336</v>
      </c>
      <c r="AC620" t="s">
        <v>758</v>
      </c>
      <c r="AD620" t="s">
        <v>216</v>
      </c>
      <c r="AE620" t="s">
        <v>1296</v>
      </c>
      <c r="AF620" s="8" t="s">
        <v>1156</v>
      </c>
      <c r="AG620" s="9" t="s">
        <v>221</v>
      </c>
      <c r="AH620" t="s">
        <v>219</v>
      </c>
      <c r="AI620" s="9" t="s">
        <v>218</v>
      </c>
      <c r="AJ620" s="9" t="s">
        <v>218</v>
      </c>
      <c r="AK620" t="s">
        <v>234</v>
      </c>
      <c r="AL620" s="9" t="s">
        <v>218</v>
      </c>
      <c r="AM620" s="8" t="s">
        <v>221</v>
      </c>
      <c r="AN620" s="8" t="s">
        <v>221</v>
      </c>
      <c r="AO620" s="8" t="s">
        <v>222</v>
      </c>
      <c r="AP620" s="8">
        <v>0</v>
      </c>
      <c r="AQ620" s="8">
        <v>0</v>
      </c>
      <c r="AR620" s="9">
        <v>74</v>
      </c>
      <c r="AS620" s="8">
        <v>0</v>
      </c>
      <c r="AT620" s="8">
        <v>0</v>
      </c>
      <c r="AU620" s="8">
        <v>0</v>
      </c>
      <c r="AV620" s="8">
        <v>0</v>
      </c>
      <c r="AW620" s="9">
        <v>74</v>
      </c>
      <c r="AX620" s="8"/>
      <c r="AY620" s="8"/>
      <c r="AZ620">
        <v>3</v>
      </c>
      <c r="BA620" t="s">
        <v>2821</v>
      </c>
      <c r="BB620" t="s">
        <v>1754</v>
      </c>
    </row>
    <row r="621" spans="1:54">
      <c r="A621" s="6">
        <v>45835</v>
      </c>
      <c r="B621" s="7" t="s">
        <v>2822</v>
      </c>
      <c r="C621" t="s">
        <v>387</v>
      </c>
      <c r="D621" t="s">
        <v>2779</v>
      </c>
      <c r="E621" t="s">
        <v>2779</v>
      </c>
      <c r="F621" t="s">
        <v>2780</v>
      </c>
      <c r="G621" t="s">
        <v>2781</v>
      </c>
      <c r="H621" s="8" t="s">
        <v>208</v>
      </c>
      <c r="I621" s="8" t="s">
        <v>208</v>
      </c>
      <c r="J621" s="8" t="s">
        <v>208</v>
      </c>
      <c r="K621" s="8" t="s">
        <v>208</v>
      </c>
      <c r="L621" s="8" t="s">
        <v>208</v>
      </c>
      <c r="M621" s="8" t="s">
        <v>208</v>
      </c>
      <c r="N621" s="8" t="s">
        <v>208</v>
      </c>
      <c r="O621" s="8" t="s">
        <v>208</v>
      </c>
      <c r="Q621" t="s">
        <v>2823</v>
      </c>
      <c r="R621" t="s">
        <v>2824</v>
      </c>
      <c r="U621" t="s">
        <v>2825</v>
      </c>
      <c r="V621" t="s">
        <v>2826</v>
      </c>
      <c r="W621" t="s">
        <v>298</v>
      </c>
      <c r="X621" t="s">
        <v>298</v>
      </c>
      <c r="Y621" t="s">
        <v>299</v>
      </c>
      <c r="Z621" t="s">
        <v>299</v>
      </c>
      <c r="AA621" t="s">
        <v>2817</v>
      </c>
      <c r="AB621" t="s">
        <v>425</v>
      </c>
      <c r="AC621" t="s">
        <v>465</v>
      </c>
      <c r="AD621" t="s">
        <v>216</v>
      </c>
      <c r="AE621" t="s">
        <v>2817</v>
      </c>
      <c r="AG621" s="8" t="s">
        <v>218</v>
      </c>
      <c r="AH621" t="s">
        <v>302</v>
      </c>
      <c r="AI621" s="9" t="s">
        <v>218</v>
      </c>
      <c r="AJ621" s="8" t="s">
        <v>221</v>
      </c>
      <c r="AK621" t="s">
        <v>2827</v>
      </c>
      <c r="AL621" s="9" t="s">
        <v>218</v>
      </c>
      <c r="AM621" s="8" t="s">
        <v>221</v>
      </c>
      <c r="AN621" s="8" t="s">
        <v>221</v>
      </c>
      <c r="AO621" s="8" t="s">
        <v>222</v>
      </c>
      <c r="AP621" s="8">
        <v>0</v>
      </c>
      <c r="AQ621" s="8">
        <v>0</v>
      </c>
      <c r="AR621" s="9">
        <v>25</v>
      </c>
      <c r="AS621" s="8">
        <v>0</v>
      </c>
      <c r="AT621" s="8">
        <v>0</v>
      </c>
      <c r="AU621" s="8">
        <v>0</v>
      </c>
      <c r="AV621" s="8">
        <v>0</v>
      </c>
      <c r="AW621" s="9">
        <v>25</v>
      </c>
      <c r="AX621" s="9" t="s">
        <v>2828</v>
      </c>
      <c r="AY621" s="8"/>
      <c r="AZ621">
        <v>3</v>
      </c>
      <c r="BA621" t="s">
        <v>2793</v>
      </c>
      <c r="BB621" t="s">
        <v>2829</v>
      </c>
    </row>
    <row r="622" spans="1:54">
      <c r="A622" s="6">
        <v>45835</v>
      </c>
      <c r="B622" s="7" t="s">
        <v>2830</v>
      </c>
      <c r="C622" t="s">
        <v>387</v>
      </c>
      <c r="D622" t="s">
        <v>2779</v>
      </c>
      <c r="E622" t="s">
        <v>2779</v>
      </c>
      <c r="F622" t="s">
        <v>2780</v>
      </c>
      <c r="G622" t="s">
        <v>2781</v>
      </c>
      <c r="H622" s="8" t="s">
        <v>208</v>
      </c>
      <c r="I622" s="8" t="s">
        <v>208</v>
      </c>
      <c r="J622" s="8" t="s">
        <v>208</v>
      </c>
      <c r="K622" s="8" t="s">
        <v>208</v>
      </c>
      <c r="L622" s="8" t="s">
        <v>208</v>
      </c>
      <c r="M622" s="8" t="s">
        <v>208</v>
      </c>
      <c r="N622" s="8" t="s">
        <v>208</v>
      </c>
      <c r="O622" s="8" t="s">
        <v>208</v>
      </c>
      <c r="Q622" t="s">
        <v>2831</v>
      </c>
      <c r="R622" t="s">
        <v>2832</v>
      </c>
      <c r="U622" t="s">
        <v>2833</v>
      </c>
      <c r="V622" t="s">
        <v>2834</v>
      </c>
      <c r="W622" t="s">
        <v>298</v>
      </c>
      <c r="X622" t="s">
        <v>298</v>
      </c>
      <c r="Y622" t="s">
        <v>299</v>
      </c>
      <c r="Z622" t="s">
        <v>299</v>
      </c>
      <c r="AA622" t="s">
        <v>2817</v>
      </c>
      <c r="AB622" t="s">
        <v>391</v>
      </c>
      <c r="AC622" t="s">
        <v>425</v>
      </c>
      <c r="AD622" t="s">
        <v>216</v>
      </c>
      <c r="AE622" t="s">
        <v>2835</v>
      </c>
      <c r="AG622" s="8" t="s">
        <v>218</v>
      </c>
      <c r="AH622" t="s">
        <v>302</v>
      </c>
      <c r="AI622" s="9" t="s">
        <v>218</v>
      </c>
      <c r="AJ622" s="8" t="s">
        <v>221</v>
      </c>
      <c r="AK622" t="s">
        <v>234</v>
      </c>
      <c r="AL622" s="9" t="s">
        <v>218</v>
      </c>
      <c r="AM622" s="8" t="s">
        <v>221</v>
      </c>
      <c r="AN622" s="8" t="s">
        <v>221</v>
      </c>
      <c r="AO622" s="8" t="s">
        <v>222</v>
      </c>
      <c r="AP622" s="8">
        <v>0</v>
      </c>
      <c r="AQ622" s="8">
        <v>0</v>
      </c>
      <c r="AR622" s="9">
        <v>18</v>
      </c>
      <c r="AS622" s="8">
        <v>0</v>
      </c>
      <c r="AT622" s="8">
        <v>0</v>
      </c>
      <c r="AU622" s="8">
        <v>0</v>
      </c>
      <c r="AV622" s="8">
        <v>0</v>
      </c>
      <c r="AW622" s="9">
        <v>18</v>
      </c>
      <c r="AX622" s="8"/>
      <c r="AY622" s="8"/>
      <c r="AZ622">
        <v>4</v>
      </c>
      <c r="BA622" t="s">
        <v>2819</v>
      </c>
      <c r="BB622" t="s">
        <v>2836</v>
      </c>
    </row>
    <row r="623" spans="1:54">
      <c r="A623" s="6">
        <v>45835</v>
      </c>
      <c r="B623" s="7" t="s">
        <v>2837</v>
      </c>
      <c r="C623" t="s">
        <v>668</v>
      </c>
      <c r="D623" t="s">
        <v>2779</v>
      </c>
      <c r="E623" t="s">
        <v>2779</v>
      </c>
      <c r="F623" t="s">
        <v>2780</v>
      </c>
      <c r="G623" t="s">
        <v>2781</v>
      </c>
      <c r="H623" s="8" t="s">
        <v>208</v>
      </c>
      <c r="I623" s="8" t="s">
        <v>208</v>
      </c>
      <c r="J623" s="8" t="s">
        <v>208</v>
      </c>
      <c r="K623" s="8" t="s">
        <v>208</v>
      </c>
      <c r="L623" s="8" t="s">
        <v>208</v>
      </c>
      <c r="M623" s="8" t="s">
        <v>208</v>
      </c>
      <c r="N623" s="8" t="s">
        <v>208</v>
      </c>
      <c r="O623" s="8" t="s">
        <v>208</v>
      </c>
      <c r="Q623" t="s">
        <v>2838</v>
      </c>
      <c r="R623" t="s">
        <v>2839</v>
      </c>
      <c r="U623" t="s">
        <v>2840</v>
      </c>
      <c r="V623" t="s">
        <v>137</v>
      </c>
      <c r="W623" t="s">
        <v>212</v>
      </c>
      <c r="X623" t="s">
        <v>212</v>
      </c>
      <c r="Y623" t="s">
        <v>213</v>
      </c>
      <c r="Z623" t="s">
        <v>213</v>
      </c>
      <c r="AA623" t="s">
        <v>1309</v>
      </c>
      <c r="AB623" t="s">
        <v>701</v>
      </c>
      <c r="AC623" t="s">
        <v>242</v>
      </c>
      <c r="AD623" t="s">
        <v>216</v>
      </c>
      <c r="AE623" t="s">
        <v>11</v>
      </c>
      <c r="AG623" s="8" t="s">
        <v>218</v>
      </c>
      <c r="AH623" t="s">
        <v>219</v>
      </c>
      <c r="AI623" s="9" t="s">
        <v>218</v>
      </c>
      <c r="AJ623" s="9" t="s">
        <v>218</v>
      </c>
      <c r="AK623" t="s">
        <v>2841</v>
      </c>
      <c r="AL623" s="9" t="s">
        <v>218</v>
      </c>
      <c r="AM623" s="8" t="s">
        <v>221</v>
      </c>
      <c r="AN623" s="8" t="s">
        <v>221</v>
      </c>
      <c r="AO623" s="8" t="s">
        <v>222</v>
      </c>
      <c r="AP623" s="8">
        <v>0</v>
      </c>
      <c r="AQ623" s="8">
        <v>0</v>
      </c>
      <c r="AR623" s="9">
        <v>3</v>
      </c>
      <c r="AS623" s="8">
        <v>0</v>
      </c>
      <c r="AT623" s="8">
        <v>0</v>
      </c>
      <c r="AU623" s="8">
        <v>0</v>
      </c>
      <c r="AV623" s="8">
        <v>0</v>
      </c>
      <c r="AW623" s="9">
        <v>3</v>
      </c>
      <c r="AX623" s="8"/>
      <c r="AY623" s="8"/>
      <c r="AZ623">
        <v>4</v>
      </c>
      <c r="BA623" t="s">
        <v>2842</v>
      </c>
      <c r="BB623" t="s">
        <v>2843</v>
      </c>
    </row>
    <row r="624" spans="1:54">
      <c r="A624" s="6">
        <v>45835</v>
      </c>
      <c r="B624" s="7" t="s">
        <v>2439</v>
      </c>
      <c r="C624" t="s">
        <v>387</v>
      </c>
      <c r="D624" t="s">
        <v>2779</v>
      </c>
      <c r="E624" t="s">
        <v>2779</v>
      </c>
      <c r="F624" t="s">
        <v>2780</v>
      </c>
      <c r="G624" t="s">
        <v>2781</v>
      </c>
      <c r="H624" s="8" t="s">
        <v>208</v>
      </c>
      <c r="I624" s="8" t="s">
        <v>208</v>
      </c>
      <c r="J624" s="8" t="s">
        <v>208</v>
      </c>
      <c r="K624" s="8" t="s">
        <v>208</v>
      </c>
      <c r="L624" s="8" t="s">
        <v>208</v>
      </c>
      <c r="M624" s="8" t="s">
        <v>208</v>
      </c>
      <c r="N624" s="8" t="s">
        <v>208</v>
      </c>
      <c r="O624" s="8" t="s">
        <v>208</v>
      </c>
      <c r="Q624" t="s">
        <v>2440</v>
      </c>
      <c r="R624" t="s">
        <v>2441</v>
      </c>
      <c r="U624" t="s">
        <v>2442</v>
      </c>
      <c r="V624" t="s">
        <v>662</v>
      </c>
      <c r="W624" t="s">
        <v>298</v>
      </c>
      <c r="X624" t="s">
        <v>298</v>
      </c>
      <c r="Y624" t="s">
        <v>299</v>
      </c>
      <c r="Z624" t="s">
        <v>299</v>
      </c>
      <c r="AA624" t="s">
        <v>663</v>
      </c>
      <c r="AB624" t="s">
        <v>827</v>
      </c>
      <c r="AC624" t="s">
        <v>399</v>
      </c>
      <c r="AD624" t="s">
        <v>216</v>
      </c>
      <c r="AE624" t="s">
        <v>663</v>
      </c>
      <c r="AG624" s="8" t="s">
        <v>218</v>
      </c>
      <c r="AH624" t="s">
        <v>302</v>
      </c>
      <c r="AI624" s="9" t="s">
        <v>218</v>
      </c>
      <c r="AJ624" s="8" t="s">
        <v>221</v>
      </c>
      <c r="AK624" t="s">
        <v>234</v>
      </c>
      <c r="AL624" s="9" t="s">
        <v>218</v>
      </c>
      <c r="AM624" s="8" t="s">
        <v>221</v>
      </c>
      <c r="AN624" s="8" t="s">
        <v>221</v>
      </c>
      <c r="AO624" s="8" t="s">
        <v>222</v>
      </c>
      <c r="AP624" s="8">
        <v>0</v>
      </c>
      <c r="AQ624" s="8">
        <v>0</v>
      </c>
      <c r="AR624" s="9">
        <v>25</v>
      </c>
      <c r="AS624" s="8">
        <v>0</v>
      </c>
      <c r="AT624" s="8">
        <v>0</v>
      </c>
      <c r="AU624" s="8">
        <v>0</v>
      </c>
      <c r="AV624" s="8">
        <v>0</v>
      </c>
      <c r="AW624" s="9">
        <v>25</v>
      </c>
      <c r="AX624" s="9" t="s">
        <v>2443</v>
      </c>
      <c r="AY624" s="9" t="s">
        <v>2444</v>
      </c>
      <c r="AZ624">
        <v>3</v>
      </c>
      <c r="BA624" t="s">
        <v>2844</v>
      </c>
      <c r="BB624" t="s">
        <v>2445</v>
      </c>
    </row>
    <row r="625" spans="1:54">
      <c r="A625" s="6">
        <v>45835</v>
      </c>
      <c r="B625" s="7" t="s">
        <v>1439</v>
      </c>
      <c r="C625" t="s">
        <v>668</v>
      </c>
      <c r="D625" t="s">
        <v>2779</v>
      </c>
      <c r="E625" t="s">
        <v>2779</v>
      </c>
      <c r="F625" t="s">
        <v>2780</v>
      </c>
      <c r="G625" t="s">
        <v>2781</v>
      </c>
      <c r="H625" s="8" t="s">
        <v>208</v>
      </c>
      <c r="I625" s="8" t="s">
        <v>208</v>
      </c>
      <c r="J625" s="8" t="s">
        <v>208</v>
      </c>
      <c r="K625" s="8" t="s">
        <v>208</v>
      </c>
      <c r="L625" s="8" t="s">
        <v>208</v>
      </c>
      <c r="M625" s="8" t="s">
        <v>208</v>
      </c>
      <c r="N625" s="8" t="s">
        <v>208</v>
      </c>
      <c r="O625" s="8" t="s">
        <v>208</v>
      </c>
      <c r="Q625" t="s">
        <v>1441</v>
      </c>
      <c r="R625" t="s">
        <v>1442</v>
      </c>
      <c r="U625" t="s">
        <v>1443</v>
      </c>
      <c r="V625" t="s">
        <v>644</v>
      </c>
      <c r="W625" t="s">
        <v>212</v>
      </c>
      <c r="X625" t="s">
        <v>212</v>
      </c>
      <c r="Y625" t="s">
        <v>213</v>
      </c>
      <c r="Z625" t="s">
        <v>213</v>
      </c>
      <c r="AA625" t="s">
        <v>645</v>
      </c>
      <c r="AB625" t="s">
        <v>285</v>
      </c>
      <c r="AC625" t="s">
        <v>215</v>
      </c>
      <c r="AD625" t="s">
        <v>216</v>
      </c>
      <c r="AE625" t="s">
        <v>217</v>
      </c>
      <c r="AG625" s="8" t="s">
        <v>218</v>
      </c>
      <c r="AH625" t="s">
        <v>219</v>
      </c>
      <c r="AI625" s="9" t="s">
        <v>218</v>
      </c>
      <c r="AJ625" s="9" t="s">
        <v>218</v>
      </c>
      <c r="AK625" t="s">
        <v>234</v>
      </c>
      <c r="AL625" s="9" t="s">
        <v>218</v>
      </c>
      <c r="AM625" s="8" t="s">
        <v>221</v>
      </c>
      <c r="AN625" s="8" t="s">
        <v>221</v>
      </c>
      <c r="AO625" s="8" t="s">
        <v>222</v>
      </c>
      <c r="AP625" s="8">
        <v>0</v>
      </c>
      <c r="AQ625" s="8">
        <v>0</v>
      </c>
      <c r="AR625" s="9">
        <v>17</v>
      </c>
      <c r="AS625" s="8">
        <v>0</v>
      </c>
      <c r="AT625" s="8">
        <v>0</v>
      </c>
      <c r="AU625" s="8">
        <v>0</v>
      </c>
      <c r="AV625" s="8">
        <v>0</v>
      </c>
      <c r="AW625" s="9">
        <v>17</v>
      </c>
      <c r="AX625" s="8"/>
      <c r="AY625" s="9" t="s">
        <v>1446</v>
      </c>
      <c r="AZ625">
        <v>3</v>
      </c>
      <c r="BA625" t="s">
        <v>2845</v>
      </c>
      <c r="BB625" t="s">
        <v>1448</v>
      </c>
    </row>
    <row r="626" spans="1:54">
      <c r="A626" s="6">
        <v>45835</v>
      </c>
      <c r="B626" s="7" t="s">
        <v>640</v>
      </c>
      <c r="C626" t="s">
        <v>387</v>
      </c>
      <c r="D626" t="s">
        <v>2779</v>
      </c>
      <c r="E626" t="s">
        <v>2779</v>
      </c>
      <c r="F626" t="s">
        <v>2780</v>
      </c>
      <c r="G626" t="s">
        <v>2781</v>
      </c>
      <c r="H626" s="8" t="s">
        <v>208</v>
      </c>
      <c r="I626" s="8" t="s">
        <v>208</v>
      </c>
      <c r="J626" s="8" t="s">
        <v>208</v>
      </c>
      <c r="K626" s="8" t="s">
        <v>208</v>
      </c>
      <c r="L626" s="8" t="s">
        <v>208</v>
      </c>
      <c r="M626" s="8" t="s">
        <v>208</v>
      </c>
      <c r="N626" s="8" t="s">
        <v>208</v>
      </c>
      <c r="O626" s="8" t="s">
        <v>208</v>
      </c>
      <c r="Q626" t="s">
        <v>641</v>
      </c>
      <c r="R626" t="s">
        <v>642</v>
      </c>
      <c r="U626" t="s">
        <v>643</v>
      </c>
      <c r="V626" t="s">
        <v>644</v>
      </c>
      <c r="W626" t="s">
        <v>298</v>
      </c>
      <c r="X626" t="s">
        <v>298</v>
      </c>
      <c r="Y626" t="s">
        <v>299</v>
      </c>
      <c r="Z626" t="s">
        <v>299</v>
      </c>
      <c r="AA626" t="s">
        <v>645</v>
      </c>
      <c r="AB626" t="s">
        <v>1327</v>
      </c>
      <c r="AC626" t="s">
        <v>1147</v>
      </c>
      <c r="AD626" t="s">
        <v>216</v>
      </c>
      <c r="AE626" t="s">
        <v>645</v>
      </c>
      <c r="AF626" s="8" t="s">
        <v>1156</v>
      </c>
      <c r="AG626" s="9" t="s">
        <v>221</v>
      </c>
      <c r="AH626" t="s">
        <v>302</v>
      </c>
      <c r="AI626" s="9" t="s">
        <v>218</v>
      </c>
      <c r="AJ626" s="8" t="s">
        <v>221</v>
      </c>
      <c r="AK626" t="s">
        <v>234</v>
      </c>
      <c r="AL626" s="9" t="s">
        <v>218</v>
      </c>
      <c r="AM626" s="8" t="s">
        <v>221</v>
      </c>
      <c r="AN626" s="8" t="s">
        <v>221</v>
      </c>
      <c r="AO626" s="8" t="s">
        <v>222</v>
      </c>
      <c r="AP626" s="8">
        <v>0</v>
      </c>
      <c r="AQ626" s="8">
        <v>0</v>
      </c>
      <c r="AR626" s="9">
        <v>77</v>
      </c>
      <c r="AS626" s="8">
        <v>0</v>
      </c>
      <c r="AT626" s="8">
        <v>0</v>
      </c>
      <c r="AU626" s="8">
        <v>0</v>
      </c>
      <c r="AV626" s="8">
        <v>0</v>
      </c>
      <c r="AW626" s="9">
        <v>77</v>
      </c>
      <c r="AX626" s="8"/>
      <c r="AY626" s="8"/>
      <c r="AZ626">
        <v>3</v>
      </c>
      <c r="BA626" t="s">
        <v>2846</v>
      </c>
      <c r="BB626" t="s">
        <v>647</v>
      </c>
    </row>
    <row r="627" spans="1:54">
      <c r="A627" s="6">
        <v>45835</v>
      </c>
      <c r="B627" s="7" t="s">
        <v>2847</v>
      </c>
      <c r="C627" t="s">
        <v>387</v>
      </c>
      <c r="D627" t="s">
        <v>2779</v>
      </c>
      <c r="E627" t="s">
        <v>2779</v>
      </c>
      <c r="F627" t="s">
        <v>2780</v>
      </c>
      <c r="G627" t="s">
        <v>2781</v>
      </c>
      <c r="H627" s="8" t="s">
        <v>208</v>
      </c>
      <c r="I627" s="8" t="s">
        <v>208</v>
      </c>
      <c r="J627" s="8" t="s">
        <v>208</v>
      </c>
      <c r="K627" s="8" t="s">
        <v>208</v>
      </c>
      <c r="L627" s="8" t="s">
        <v>208</v>
      </c>
      <c r="M627" s="8" t="s">
        <v>208</v>
      </c>
      <c r="N627" s="8" t="s">
        <v>208</v>
      </c>
      <c r="O627" s="8" t="s">
        <v>208</v>
      </c>
      <c r="Q627" t="s">
        <v>2848</v>
      </c>
      <c r="R627" t="s">
        <v>2849</v>
      </c>
      <c r="U627" t="s">
        <v>2850</v>
      </c>
      <c r="V627" t="s">
        <v>644</v>
      </c>
      <c r="W627" t="s">
        <v>298</v>
      </c>
      <c r="X627" t="s">
        <v>298</v>
      </c>
      <c r="Y627" t="s">
        <v>299</v>
      </c>
      <c r="Z627" t="s">
        <v>299</v>
      </c>
      <c r="AA627" t="s">
        <v>645</v>
      </c>
      <c r="AB627" t="s">
        <v>391</v>
      </c>
      <c r="AC627" t="s">
        <v>425</v>
      </c>
      <c r="AD627" t="s">
        <v>216</v>
      </c>
      <c r="AE627" t="s">
        <v>645</v>
      </c>
      <c r="AG627" s="8" t="s">
        <v>218</v>
      </c>
      <c r="AH627" t="s">
        <v>302</v>
      </c>
      <c r="AI627" s="9" t="s">
        <v>218</v>
      </c>
      <c r="AJ627" s="8" t="s">
        <v>221</v>
      </c>
      <c r="AK627" t="s">
        <v>234</v>
      </c>
      <c r="AL627" s="9" t="s">
        <v>218</v>
      </c>
      <c r="AM627" s="8" t="s">
        <v>221</v>
      </c>
      <c r="AN627" s="8" t="s">
        <v>221</v>
      </c>
      <c r="AO627" s="8" t="s">
        <v>222</v>
      </c>
      <c r="AP627" s="8">
        <v>0</v>
      </c>
      <c r="AQ627" s="8">
        <v>0</v>
      </c>
      <c r="AR627" s="9">
        <v>9</v>
      </c>
      <c r="AS627" s="8">
        <v>0</v>
      </c>
      <c r="AT627" s="8">
        <v>0</v>
      </c>
      <c r="AU627" s="8">
        <v>0</v>
      </c>
      <c r="AV627" s="8">
        <v>0</v>
      </c>
      <c r="AW627" s="9">
        <v>9</v>
      </c>
      <c r="AX627" s="8"/>
      <c r="AY627" s="8"/>
      <c r="AZ627">
        <v>3</v>
      </c>
      <c r="BA627" t="s">
        <v>2851</v>
      </c>
      <c r="BB627" t="s">
        <v>2852</v>
      </c>
    </row>
    <row r="628" spans="1:54">
      <c r="A628" s="6">
        <v>45835</v>
      </c>
      <c r="B628" s="7" t="s">
        <v>2853</v>
      </c>
      <c r="C628" t="s">
        <v>387</v>
      </c>
      <c r="D628" t="s">
        <v>2779</v>
      </c>
      <c r="E628" t="s">
        <v>2779</v>
      </c>
      <c r="F628" t="s">
        <v>2780</v>
      </c>
      <c r="G628" t="s">
        <v>2781</v>
      </c>
      <c r="H628" s="8" t="s">
        <v>208</v>
      </c>
      <c r="I628" s="8" t="s">
        <v>208</v>
      </c>
      <c r="J628" s="8" t="s">
        <v>208</v>
      </c>
      <c r="K628" s="8" t="s">
        <v>208</v>
      </c>
      <c r="L628" s="8" t="s">
        <v>208</v>
      </c>
      <c r="M628" s="8" t="s">
        <v>208</v>
      </c>
      <c r="N628" s="8" t="s">
        <v>208</v>
      </c>
      <c r="O628" s="8" t="s">
        <v>208</v>
      </c>
      <c r="Q628" t="s">
        <v>2854</v>
      </c>
      <c r="R628" t="s">
        <v>2855</v>
      </c>
      <c r="U628" t="s">
        <v>2856</v>
      </c>
      <c r="V628" t="s">
        <v>83</v>
      </c>
      <c r="W628" t="s">
        <v>298</v>
      </c>
      <c r="X628" t="s">
        <v>298</v>
      </c>
      <c r="Y628" t="s">
        <v>299</v>
      </c>
      <c r="Z628" t="s">
        <v>299</v>
      </c>
      <c r="AA628" t="s">
        <v>732</v>
      </c>
      <c r="AB628" t="s">
        <v>301</v>
      </c>
      <c r="AC628" t="s">
        <v>312</v>
      </c>
      <c r="AD628" t="s">
        <v>216</v>
      </c>
      <c r="AE628" t="s">
        <v>2857</v>
      </c>
      <c r="AG628" s="8" t="s">
        <v>218</v>
      </c>
      <c r="AH628" t="s">
        <v>302</v>
      </c>
      <c r="AI628" s="9" t="s">
        <v>218</v>
      </c>
      <c r="AJ628" s="8" t="s">
        <v>221</v>
      </c>
      <c r="AK628" t="s">
        <v>2858</v>
      </c>
      <c r="AL628" s="9" t="s">
        <v>218</v>
      </c>
      <c r="AM628" s="8" t="s">
        <v>221</v>
      </c>
      <c r="AN628" s="8" t="s">
        <v>221</v>
      </c>
      <c r="AO628" s="8" t="s">
        <v>222</v>
      </c>
      <c r="AP628" s="8">
        <v>0</v>
      </c>
      <c r="AQ628" s="8">
        <v>0</v>
      </c>
      <c r="AR628" s="8">
        <v>0</v>
      </c>
      <c r="AS628" s="8">
        <v>0</v>
      </c>
      <c r="AT628" s="8">
        <v>0</v>
      </c>
      <c r="AU628" s="8">
        <v>0</v>
      </c>
      <c r="AV628" s="8">
        <v>0</v>
      </c>
      <c r="AW628" s="8">
        <v>0</v>
      </c>
      <c r="AX628" s="8"/>
      <c r="AY628" s="8"/>
      <c r="AZ628">
        <v>3</v>
      </c>
      <c r="BA628" t="s">
        <v>2859</v>
      </c>
      <c r="BB628" t="s">
        <v>2860</v>
      </c>
    </row>
    <row r="629" spans="1:54">
      <c r="A629" s="6">
        <v>45835</v>
      </c>
      <c r="B629" s="7" t="s">
        <v>2861</v>
      </c>
      <c r="C629" t="s">
        <v>1821</v>
      </c>
      <c r="D629" t="s">
        <v>2779</v>
      </c>
      <c r="E629" t="s">
        <v>2779</v>
      </c>
      <c r="F629" t="s">
        <v>2780</v>
      </c>
      <c r="G629" t="s">
        <v>2781</v>
      </c>
      <c r="H629" s="8" t="s">
        <v>208</v>
      </c>
      <c r="I629" s="8" t="s">
        <v>208</v>
      </c>
      <c r="J629" s="8" t="s">
        <v>208</v>
      </c>
      <c r="K629" s="8" t="s">
        <v>208</v>
      </c>
      <c r="L629" s="8" t="s">
        <v>208</v>
      </c>
      <c r="M629" s="8" t="s">
        <v>208</v>
      </c>
      <c r="N629" s="8" t="s">
        <v>208</v>
      </c>
      <c r="O629" s="8" t="s">
        <v>208</v>
      </c>
      <c r="Q629" t="s">
        <v>2862</v>
      </c>
      <c r="R629" t="s">
        <v>2863</v>
      </c>
      <c r="U629" t="s">
        <v>2864</v>
      </c>
      <c r="V629" t="s">
        <v>38</v>
      </c>
      <c r="W629" t="s">
        <v>774</v>
      </c>
      <c r="X629" t="s">
        <v>774</v>
      </c>
      <c r="Y629" t="s">
        <v>775</v>
      </c>
      <c r="Z629" t="s">
        <v>775</v>
      </c>
      <c r="AA629" t="s">
        <v>653</v>
      </c>
      <c r="AB629" t="s">
        <v>391</v>
      </c>
      <c r="AC629" t="s">
        <v>425</v>
      </c>
      <c r="AD629" t="s">
        <v>216</v>
      </c>
      <c r="AE629" t="s">
        <v>2775</v>
      </c>
      <c r="AG629" s="8" t="s">
        <v>218</v>
      </c>
      <c r="AH629" t="s">
        <v>219</v>
      </c>
      <c r="AI629" s="9" t="s">
        <v>218</v>
      </c>
      <c r="AJ629" s="9" t="s">
        <v>218</v>
      </c>
      <c r="AK629" t="s">
        <v>234</v>
      </c>
      <c r="AL629" s="9" t="s">
        <v>218</v>
      </c>
      <c r="AM629" s="8" t="s">
        <v>221</v>
      </c>
      <c r="AN629" s="8" t="s">
        <v>221</v>
      </c>
      <c r="AO629" s="8" t="s">
        <v>222</v>
      </c>
      <c r="AP629" s="8">
        <v>0</v>
      </c>
      <c r="AQ629" s="8">
        <v>0</v>
      </c>
      <c r="AR629" s="9">
        <v>9</v>
      </c>
      <c r="AS629" s="8">
        <v>0</v>
      </c>
      <c r="AT629" s="8">
        <v>0</v>
      </c>
      <c r="AU629" s="8">
        <v>0</v>
      </c>
      <c r="AV629" s="8">
        <v>0</v>
      </c>
      <c r="AW629" s="9">
        <v>9</v>
      </c>
      <c r="AX629" s="8"/>
      <c r="AY629" s="8"/>
      <c r="AZ629">
        <v>3</v>
      </c>
      <c r="BA629" t="s">
        <v>2865</v>
      </c>
      <c r="BB629" t="s">
        <v>2866</v>
      </c>
    </row>
    <row r="630" spans="1:54">
      <c r="A630" s="6">
        <v>45835</v>
      </c>
      <c r="B630" s="7" t="s">
        <v>2867</v>
      </c>
      <c r="C630" t="s">
        <v>387</v>
      </c>
      <c r="D630" t="s">
        <v>2779</v>
      </c>
      <c r="E630" t="s">
        <v>2779</v>
      </c>
      <c r="F630" t="s">
        <v>2780</v>
      </c>
      <c r="G630" t="s">
        <v>2781</v>
      </c>
      <c r="H630" s="8" t="s">
        <v>208</v>
      </c>
      <c r="I630" s="8" t="s">
        <v>208</v>
      </c>
      <c r="J630" s="8" t="s">
        <v>208</v>
      </c>
      <c r="K630" s="8" t="s">
        <v>208</v>
      </c>
      <c r="L630" s="8" t="s">
        <v>208</v>
      </c>
      <c r="M630" s="8" t="s">
        <v>208</v>
      </c>
      <c r="N630" s="8" t="s">
        <v>208</v>
      </c>
      <c r="O630" s="8" t="s">
        <v>208</v>
      </c>
      <c r="Q630" t="s">
        <v>2868</v>
      </c>
      <c r="R630" t="s">
        <v>2869</v>
      </c>
      <c r="U630" t="s">
        <v>2870</v>
      </c>
      <c r="V630" t="s">
        <v>2871</v>
      </c>
      <c r="W630" t="s">
        <v>298</v>
      </c>
      <c r="X630" t="s">
        <v>298</v>
      </c>
      <c r="Y630" t="s">
        <v>299</v>
      </c>
      <c r="Z630" t="s">
        <v>299</v>
      </c>
      <c r="AA630" t="s">
        <v>645</v>
      </c>
      <c r="AB630" t="s">
        <v>391</v>
      </c>
      <c r="AC630" t="s">
        <v>425</v>
      </c>
      <c r="AD630" t="s">
        <v>216</v>
      </c>
      <c r="AE630" t="s">
        <v>645</v>
      </c>
      <c r="AG630" s="8" t="s">
        <v>218</v>
      </c>
      <c r="AH630" t="s">
        <v>302</v>
      </c>
      <c r="AI630" s="9" t="s">
        <v>218</v>
      </c>
      <c r="AJ630" s="8" t="s">
        <v>221</v>
      </c>
      <c r="AK630" t="s">
        <v>234</v>
      </c>
      <c r="AL630" s="9" t="s">
        <v>218</v>
      </c>
      <c r="AM630" s="8" t="s">
        <v>221</v>
      </c>
      <c r="AN630" s="8" t="s">
        <v>221</v>
      </c>
      <c r="AO630" s="8" t="s">
        <v>222</v>
      </c>
      <c r="AP630" s="8">
        <v>0</v>
      </c>
      <c r="AQ630" s="8">
        <v>0</v>
      </c>
      <c r="AR630" s="9">
        <v>11</v>
      </c>
      <c r="AS630" s="8">
        <v>0</v>
      </c>
      <c r="AT630" s="8">
        <v>0</v>
      </c>
      <c r="AU630" s="8">
        <v>0</v>
      </c>
      <c r="AV630" s="8">
        <v>0</v>
      </c>
      <c r="AW630" s="9">
        <v>11</v>
      </c>
      <c r="AX630" s="8"/>
      <c r="AY630" s="9" t="s">
        <v>2872</v>
      </c>
      <c r="AZ630">
        <v>3</v>
      </c>
      <c r="BA630" t="s">
        <v>2873</v>
      </c>
      <c r="BB630" t="s">
        <v>2874</v>
      </c>
    </row>
    <row r="631" spans="1:54">
      <c r="A631" s="6">
        <v>45835</v>
      </c>
      <c r="B631" s="7" t="s">
        <v>2875</v>
      </c>
      <c r="C631" t="s">
        <v>1821</v>
      </c>
      <c r="D631" t="s">
        <v>2779</v>
      </c>
      <c r="E631" t="s">
        <v>2779</v>
      </c>
      <c r="F631" t="s">
        <v>2780</v>
      </c>
      <c r="G631" t="s">
        <v>2781</v>
      </c>
      <c r="H631" s="8" t="s">
        <v>208</v>
      </c>
      <c r="I631" s="8" t="s">
        <v>208</v>
      </c>
      <c r="J631" s="8" t="s">
        <v>208</v>
      </c>
      <c r="K631" s="8" t="s">
        <v>208</v>
      </c>
      <c r="L631" s="8" t="s">
        <v>208</v>
      </c>
      <c r="M631" s="8" t="s">
        <v>208</v>
      </c>
      <c r="N631" s="8" t="s">
        <v>208</v>
      </c>
      <c r="O631" s="8" t="s">
        <v>208</v>
      </c>
      <c r="Q631" t="s">
        <v>2876</v>
      </c>
      <c r="R631" t="s">
        <v>2877</v>
      </c>
      <c r="U631" t="s">
        <v>2878</v>
      </c>
      <c r="V631" t="s">
        <v>38</v>
      </c>
      <c r="W631" t="s">
        <v>774</v>
      </c>
      <c r="X631" t="s">
        <v>774</v>
      </c>
      <c r="Y631" t="s">
        <v>775</v>
      </c>
      <c r="Z631" t="s">
        <v>775</v>
      </c>
      <c r="AA631" t="s">
        <v>653</v>
      </c>
      <c r="AB631" t="s">
        <v>391</v>
      </c>
      <c r="AC631" t="s">
        <v>425</v>
      </c>
      <c r="AD631" t="s">
        <v>216</v>
      </c>
      <c r="AE631" t="s">
        <v>2775</v>
      </c>
      <c r="AG631" s="8" t="s">
        <v>218</v>
      </c>
      <c r="AH631" t="s">
        <v>219</v>
      </c>
      <c r="AI631" s="9" t="s">
        <v>218</v>
      </c>
      <c r="AJ631" s="9" t="s">
        <v>218</v>
      </c>
      <c r="AK631" t="s">
        <v>2879</v>
      </c>
      <c r="AL631" s="9" t="s">
        <v>218</v>
      </c>
      <c r="AM631" s="8" t="s">
        <v>221</v>
      </c>
      <c r="AN631" s="8" t="s">
        <v>221</v>
      </c>
      <c r="AO631" s="8" t="s">
        <v>222</v>
      </c>
      <c r="AP631" s="8">
        <v>0</v>
      </c>
      <c r="AQ631" s="8">
        <v>0</v>
      </c>
      <c r="AR631" s="9">
        <v>2</v>
      </c>
      <c r="AS631" s="8">
        <v>0</v>
      </c>
      <c r="AT631" s="8">
        <v>0</v>
      </c>
      <c r="AU631" s="8">
        <v>0</v>
      </c>
      <c r="AV631" s="8">
        <v>0</v>
      </c>
      <c r="AW631" s="9">
        <v>2</v>
      </c>
      <c r="AX631" s="8"/>
      <c r="AY631" s="8"/>
      <c r="AZ631">
        <v>3</v>
      </c>
      <c r="BA631" t="s">
        <v>2880</v>
      </c>
      <c r="BB631" t="s">
        <v>2881</v>
      </c>
    </row>
    <row r="632" spans="1:54">
      <c r="A632" s="6">
        <v>45835</v>
      </c>
      <c r="B632" s="7" t="s">
        <v>2882</v>
      </c>
      <c r="C632" t="s">
        <v>387</v>
      </c>
      <c r="D632" t="s">
        <v>2779</v>
      </c>
      <c r="E632" t="s">
        <v>2779</v>
      </c>
      <c r="F632" t="s">
        <v>2780</v>
      </c>
      <c r="G632" t="s">
        <v>2781</v>
      </c>
      <c r="H632" s="8" t="s">
        <v>208</v>
      </c>
      <c r="I632" s="8" t="s">
        <v>208</v>
      </c>
      <c r="J632" s="8" t="s">
        <v>208</v>
      </c>
      <c r="K632" s="8" t="s">
        <v>208</v>
      </c>
      <c r="L632" s="8" t="s">
        <v>208</v>
      </c>
      <c r="M632" s="8" t="s">
        <v>208</v>
      </c>
      <c r="N632" s="8" t="s">
        <v>208</v>
      </c>
      <c r="O632" s="8" t="s">
        <v>208</v>
      </c>
      <c r="Q632" t="s">
        <v>2883</v>
      </c>
      <c r="R632" t="s">
        <v>2884</v>
      </c>
      <c r="U632" t="s">
        <v>2885</v>
      </c>
      <c r="V632" t="s">
        <v>2886</v>
      </c>
      <c r="W632" t="s">
        <v>298</v>
      </c>
      <c r="X632" t="s">
        <v>298</v>
      </c>
      <c r="Y632" t="s">
        <v>299</v>
      </c>
      <c r="Z632" t="s">
        <v>299</v>
      </c>
      <c r="AA632" t="s">
        <v>2030</v>
      </c>
      <c r="AB632" t="s">
        <v>646</v>
      </c>
      <c r="AC632" t="s">
        <v>1791</v>
      </c>
      <c r="AD632" t="s">
        <v>216</v>
      </c>
      <c r="AE632" t="s">
        <v>2030</v>
      </c>
      <c r="AG632" s="8" t="s">
        <v>218</v>
      </c>
      <c r="AH632" t="s">
        <v>302</v>
      </c>
      <c r="AI632" s="9" t="s">
        <v>218</v>
      </c>
      <c r="AJ632" s="8" t="s">
        <v>221</v>
      </c>
      <c r="AK632" t="s">
        <v>234</v>
      </c>
      <c r="AL632" s="9" t="s">
        <v>218</v>
      </c>
      <c r="AM632" s="8" t="s">
        <v>221</v>
      </c>
      <c r="AN632" s="8" t="s">
        <v>221</v>
      </c>
      <c r="AO632" s="8" t="s">
        <v>222</v>
      </c>
      <c r="AP632" s="8">
        <v>0</v>
      </c>
      <c r="AQ632" s="8">
        <v>0</v>
      </c>
      <c r="AR632" s="9">
        <v>9</v>
      </c>
      <c r="AS632" s="8">
        <v>0</v>
      </c>
      <c r="AT632" s="8">
        <v>0</v>
      </c>
      <c r="AU632" s="8">
        <v>0</v>
      </c>
      <c r="AV632" s="8">
        <v>0</v>
      </c>
      <c r="AW632" s="9">
        <v>9</v>
      </c>
      <c r="AX632" s="9" t="s">
        <v>2887</v>
      </c>
      <c r="AY632" s="8"/>
      <c r="AZ632">
        <v>3</v>
      </c>
      <c r="BA632" t="s">
        <v>2793</v>
      </c>
      <c r="BB632" t="s">
        <v>2888</v>
      </c>
    </row>
    <row r="633" spans="1:54">
      <c r="A633" s="6">
        <v>45835</v>
      </c>
      <c r="B633" s="7" t="s">
        <v>2889</v>
      </c>
      <c r="C633" t="s">
        <v>387</v>
      </c>
      <c r="D633" t="s">
        <v>2779</v>
      </c>
      <c r="E633" t="s">
        <v>2779</v>
      </c>
      <c r="F633" t="s">
        <v>2780</v>
      </c>
      <c r="G633" t="s">
        <v>2781</v>
      </c>
      <c r="H633" s="8" t="s">
        <v>208</v>
      </c>
      <c r="I633" s="8" t="s">
        <v>208</v>
      </c>
      <c r="J633" s="8" t="s">
        <v>208</v>
      </c>
      <c r="K633" s="8" t="s">
        <v>208</v>
      </c>
      <c r="L633" s="8" t="s">
        <v>208</v>
      </c>
      <c r="M633" s="8" t="s">
        <v>208</v>
      </c>
      <c r="N633" s="8" t="s">
        <v>208</v>
      </c>
      <c r="O633" s="8" t="s">
        <v>208</v>
      </c>
      <c r="Q633" t="s">
        <v>2890</v>
      </c>
      <c r="R633" t="s">
        <v>2891</v>
      </c>
      <c r="U633" t="s">
        <v>2892</v>
      </c>
      <c r="V633" t="s">
        <v>1146</v>
      </c>
      <c r="W633" t="s">
        <v>298</v>
      </c>
      <c r="X633" t="s">
        <v>298</v>
      </c>
      <c r="Y633" t="s">
        <v>299</v>
      </c>
      <c r="Z633" t="s">
        <v>299</v>
      </c>
      <c r="AA633" t="s">
        <v>645</v>
      </c>
      <c r="AB633" t="s">
        <v>301</v>
      </c>
      <c r="AC633" t="s">
        <v>312</v>
      </c>
      <c r="AD633" t="s">
        <v>216</v>
      </c>
      <c r="AE633" t="s">
        <v>645</v>
      </c>
      <c r="AG633" s="8" t="s">
        <v>218</v>
      </c>
      <c r="AH633" t="s">
        <v>302</v>
      </c>
      <c r="AI633" s="9" t="s">
        <v>218</v>
      </c>
      <c r="AJ633" s="8" t="s">
        <v>221</v>
      </c>
      <c r="AK633" t="s">
        <v>234</v>
      </c>
      <c r="AL633" s="9" t="s">
        <v>218</v>
      </c>
      <c r="AM633" s="8" t="s">
        <v>221</v>
      </c>
      <c r="AN633" s="8" t="s">
        <v>221</v>
      </c>
      <c r="AO633" s="8" t="s">
        <v>222</v>
      </c>
      <c r="AP633" s="8">
        <v>0</v>
      </c>
      <c r="AQ633" s="8">
        <v>0</v>
      </c>
      <c r="AR633" s="8">
        <v>0</v>
      </c>
      <c r="AS633" s="8">
        <v>0</v>
      </c>
      <c r="AT633" s="8">
        <v>0</v>
      </c>
      <c r="AU633" s="8">
        <v>0</v>
      </c>
      <c r="AV633" s="8">
        <v>0</v>
      </c>
      <c r="AW633" s="8">
        <v>0</v>
      </c>
      <c r="AX633" s="8"/>
      <c r="AY633" s="8"/>
      <c r="AZ633">
        <v>3</v>
      </c>
      <c r="BA633" t="s">
        <v>2873</v>
      </c>
      <c r="BB633" t="s">
        <v>2893</v>
      </c>
    </row>
    <row r="634" spans="1:54">
      <c r="A634" s="6">
        <v>45835</v>
      </c>
      <c r="B634" s="7" t="s">
        <v>2894</v>
      </c>
      <c r="C634" t="s">
        <v>387</v>
      </c>
      <c r="D634" t="s">
        <v>2779</v>
      </c>
      <c r="E634" t="s">
        <v>2779</v>
      </c>
      <c r="F634" t="s">
        <v>2780</v>
      </c>
      <c r="G634" t="s">
        <v>2781</v>
      </c>
      <c r="H634" s="8" t="s">
        <v>208</v>
      </c>
      <c r="I634" s="8" t="s">
        <v>208</v>
      </c>
      <c r="J634" s="8" t="s">
        <v>208</v>
      </c>
      <c r="K634" s="8" t="s">
        <v>208</v>
      </c>
      <c r="L634" s="8" t="s">
        <v>208</v>
      </c>
      <c r="M634" s="8" t="s">
        <v>208</v>
      </c>
      <c r="N634" s="8" t="s">
        <v>208</v>
      </c>
      <c r="O634" s="8" t="s">
        <v>208</v>
      </c>
      <c r="Q634" t="s">
        <v>2895</v>
      </c>
      <c r="R634" t="s">
        <v>2896</v>
      </c>
      <c r="U634" t="s">
        <v>2897</v>
      </c>
      <c r="V634" t="s">
        <v>700</v>
      </c>
      <c r="W634" t="s">
        <v>298</v>
      </c>
      <c r="X634" t="s">
        <v>298</v>
      </c>
      <c r="Y634" t="s">
        <v>299</v>
      </c>
      <c r="Z634" t="s">
        <v>299</v>
      </c>
      <c r="AA634" t="s">
        <v>645</v>
      </c>
      <c r="AB634" t="s">
        <v>465</v>
      </c>
      <c r="AC634" t="s">
        <v>301</v>
      </c>
      <c r="AD634" t="s">
        <v>216</v>
      </c>
      <c r="AE634" t="s">
        <v>645</v>
      </c>
      <c r="AG634" s="8" t="s">
        <v>218</v>
      </c>
      <c r="AH634" t="s">
        <v>302</v>
      </c>
      <c r="AI634" s="9" t="s">
        <v>218</v>
      </c>
      <c r="AJ634" s="8" t="s">
        <v>221</v>
      </c>
      <c r="AK634" t="s">
        <v>234</v>
      </c>
      <c r="AL634" s="9" t="s">
        <v>218</v>
      </c>
      <c r="AM634" s="8" t="s">
        <v>221</v>
      </c>
      <c r="AN634" s="8" t="s">
        <v>221</v>
      </c>
      <c r="AO634" s="8" t="s">
        <v>222</v>
      </c>
      <c r="AP634" s="8">
        <v>0</v>
      </c>
      <c r="AQ634" s="8">
        <v>0</v>
      </c>
      <c r="AR634" s="8">
        <v>0</v>
      </c>
      <c r="AS634" s="8">
        <v>0</v>
      </c>
      <c r="AT634" s="8">
        <v>0</v>
      </c>
      <c r="AU634" s="8">
        <v>0</v>
      </c>
      <c r="AV634" s="8">
        <v>0</v>
      </c>
      <c r="AW634" s="8">
        <v>0</v>
      </c>
      <c r="AX634" s="8"/>
      <c r="AY634" s="8"/>
      <c r="AZ634">
        <v>3</v>
      </c>
      <c r="BA634" t="s">
        <v>2873</v>
      </c>
      <c r="BB634" t="s">
        <v>2898</v>
      </c>
    </row>
    <row r="635" spans="1:54">
      <c r="A635" s="6">
        <v>45835</v>
      </c>
      <c r="B635" s="7" t="s">
        <v>2899</v>
      </c>
      <c r="C635" t="s">
        <v>387</v>
      </c>
      <c r="D635" t="s">
        <v>2779</v>
      </c>
      <c r="E635" t="s">
        <v>2779</v>
      </c>
      <c r="F635" t="s">
        <v>2780</v>
      </c>
      <c r="G635" t="s">
        <v>2781</v>
      </c>
      <c r="H635" s="8" t="s">
        <v>208</v>
      </c>
      <c r="I635" s="8" t="s">
        <v>208</v>
      </c>
      <c r="J635" s="8" t="s">
        <v>208</v>
      </c>
      <c r="K635" s="8" t="s">
        <v>208</v>
      </c>
      <c r="L635" s="8" t="s">
        <v>208</v>
      </c>
      <c r="M635" s="8" t="s">
        <v>208</v>
      </c>
      <c r="N635" s="8" t="s">
        <v>208</v>
      </c>
      <c r="O635" s="8" t="s">
        <v>208</v>
      </c>
      <c r="Q635" t="s">
        <v>2900</v>
      </c>
      <c r="R635" t="s">
        <v>2901</v>
      </c>
      <c r="U635" t="s">
        <v>2902</v>
      </c>
      <c r="V635" t="s">
        <v>2903</v>
      </c>
      <c r="W635" t="s">
        <v>298</v>
      </c>
      <c r="X635" t="s">
        <v>298</v>
      </c>
      <c r="Y635" t="s">
        <v>299</v>
      </c>
      <c r="Z635" t="s">
        <v>299</v>
      </c>
      <c r="AA635" t="s">
        <v>645</v>
      </c>
      <c r="AB635" t="s">
        <v>465</v>
      </c>
      <c r="AC635" t="s">
        <v>301</v>
      </c>
      <c r="AD635" t="s">
        <v>216</v>
      </c>
      <c r="AE635" t="s">
        <v>645</v>
      </c>
      <c r="AG635" s="8" t="s">
        <v>218</v>
      </c>
      <c r="AH635" t="s">
        <v>302</v>
      </c>
      <c r="AI635" s="9" t="s">
        <v>218</v>
      </c>
      <c r="AJ635" s="8" t="s">
        <v>221</v>
      </c>
      <c r="AK635" t="s">
        <v>234</v>
      </c>
      <c r="AL635" s="9" t="s">
        <v>218</v>
      </c>
      <c r="AM635" s="8" t="s">
        <v>221</v>
      </c>
      <c r="AN635" s="8" t="s">
        <v>221</v>
      </c>
      <c r="AO635" s="8" t="s">
        <v>222</v>
      </c>
      <c r="AP635" s="8">
        <v>0</v>
      </c>
      <c r="AQ635" s="8">
        <v>0</v>
      </c>
      <c r="AR635" s="8">
        <v>0</v>
      </c>
      <c r="AS635" s="8">
        <v>0</v>
      </c>
      <c r="AT635" s="8">
        <v>0</v>
      </c>
      <c r="AU635" s="8">
        <v>0</v>
      </c>
      <c r="AV635" s="8">
        <v>0</v>
      </c>
      <c r="AW635" s="8">
        <v>0</v>
      </c>
      <c r="AX635" s="8"/>
      <c r="AY635" s="8"/>
      <c r="AZ635">
        <v>3</v>
      </c>
      <c r="BA635" t="s">
        <v>2873</v>
      </c>
      <c r="BB635" t="s">
        <v>2904</v>
      </c>
    </row>
    <row r="636" spans="1:54">
      <c r="A636" s="6">
        <v>45835</v>
      </c>
      <c r="B636" s="7" t="s">
        <v>2905</v>
      </c>
      <c r="C636" t="s">
        <v>668</v>
      </c>
      <c r="D636" t="s">
        <v>2779</v>
      </c>
      <c r="E636" t="s">
        <v>2779</v>
      </c>
      <c r="F636" t="s">
        <v>2780</v>
      </c>
      <c r="G636" t="s">
        <v>2781</v>
      </c>
      <c r="H636" s="8" t="s">
        <v>208</v>
      </c>
      <c r="I636" s="8" t="s">
        <v>208</v>
      </c>
      <c r="J636" s="8" t="s">
        <v>208</v>
      </c>
      <c r="K636" s="8" t="s">
        <v>208</v>
      </c>
      <c r="L636" s="8" t="s">
        <v>208</v>
      </c>
      <c r="M636" s="8" t="s">
        <v>208</v>
      </c>
      <c r="N636" s="8" t="s">
        <v>208</v>
      </c>
      <c r="O636" s="8" t="s">
        <v>208</v>
      </c>
      <c r="Q636" t="s">
        <v>2906</v>
      </c>
      <c r="R636" t="s">
        <v>2907</v>
      </c>
      <c r="U636" t="s">
        <v>2908</v>
      </c>
      <c r="V636" t="s">
        <v>2909</v>
      </c>
      <c r="W636" t="s">
        <v>212</v>
      </c>
      <c r="X636" t="s">
        <v>212</v>
      </c>
      <c r="Y636" t="s">
        <v>213</v>
      </c>
      <c r="Z636" t="s">
        <v>213</v>
      </c>
      <c r="AA636" t="s">
        <v>214</v>
      </c>
      <c r="AB636" t="s">
        <v>215</v>
      </c>
      <c r="AC636" t="s">
        <v>701</v>
      </c>
      <c r="AD636" t="s">
        <v>216</v>
      </c>
      <c r="AE636" t="s">
        <v>217</v>
      </c>
      <c r="AG636" s="8" t="s">
        <v>218</v>
      </c>
      <c r="AH636" t="s">
        <v>219</v>
      </c>
      <c r="AI636" s="9" t="s">
        <v>218</v>
      </c>
      <c r="AJ636" s="9" t="s">
        <v>218</v>
      </c>
      <c r="AK636" t="s">
        <v>234</v>
      </c>
      <c r="AL636" s="9" t="s">
        <v>218</v>
      </c>
      <c r="AM636" s="8" t="s">
        <v>221</v>
      </c>
      <c r="AN636" s="8" t="s">
        <v>221</v>
      </c>
      <c r="AO636" s="8" t="s">
        <v>222</v>
      </c>
      <c r="AP636" s="8">
        <v>0</v>
      </c>
      <c r="AQ636" s="8">
        <v>0</v>
      </c>
      <c r="AR636" s="9">
        <v>35</v>
      </c>
      <c r="AS636" s="8">
        <v>0</v>
      </c>
      <c r="AT636" s="8">
        <v>0</v>
      </c>
      <c r="AU636" s="8">
        <v>0</v>
      </c>
      <c r="AV636" s="8">
        <v>0</v>
      </c>
      <c r="AW636" s="9">
        <v>35</v>
      </c>
      <c r="AX636" s="8"/>
      <c r="AY636" s="8"/>
      <c r="AZ636">
        <v>3</v>
      </c>
      <c r="BA636" t="s">
        <v>2910</v>
      </c>
      <c r="BB636" t="s">
        <v>2911</v>
      </c>
    </row>
    <row r="637" spans="1:54">
      <c r="A637" s="6">
        <v>45835</v>
      </c>
      <c r="B637" s="7" t="s">
        <v>2912</v>
      </c>
      <c r="C637" t="s">
        <v>387</v>
      </c>
      <c r="D637" t="s">
        <v>2779</v>
      </c>
      <c r="E637" t="s">
        <v>2779</v>
      </c>
      <c r="F637" t="s">
        <v>2780</v>
      </c>
      <c r="G637" t="s">
        <v>2781</v>
      </c>
      <c r="H637" s="8" t="s">
        <v>208</v>
      </c>
      <c r="I637" s="8" t="s">
        <v>208</v>
      </c>
      <c r="J637" s="8" t="s">
        <v>208</v>
      </c>
      <c r="K637" s="8" t="s">
        <v>208</v>
      </c>
      <c r="L637" s="8" t="s">
        <v>208</v>
      </c>
      <c r="M637" s="8" t="s">
        <v>208</v>
      </c>
      <c r="N637" s="8" t="s">
        <v>208</v>
      </c>
      <c r="O637" s="8" t="s">
        <v>208</v>
      </c>
      <c r="Q637" t="s">
        <v>2913</v>
      </c>
      <c r="R637" t="s">
        <v>2914</v>
      </c>
      <c r="U637" t="s">
        <v>2915</v>
      </c>
      <c r="V637" t="s">
        <v>2909</v>
      </c>
      <c r="W637" t="s">
        <v>298</v>
      </c>
      <c r="X637" t="s">
        <v>298</v>
      </c>
      <c r="Y637" t="s">
        <v>299</v>
      </c>
      <c r="Z637" t="s">
        <v>299</v>
      </c>
      <c r="AA637" t="s">
        <v>2916</v>
      </c>
      <c r="AB637" t="s">
        <v>425</v>
      </c>
      <c r="AC637" t="s">
        <v>465</v>
      </c>
      <c r="AD637" t="s">
        <v>216</v>
      </c>
      <c r="AE637" t="s">
        <v>2916</v>
      </c>
      <c r="AG637" s="8" t="s">
        <v>218</v>
      </c>
      <c r="AH637" t="s">
        <v>302</v>
      </c>
      <c r="AI637" s="9" t="s">
        <v>218</v>
      </c>
      <c r="AJ637" s="8" t="s">
        <v>221</v>
      </c>
      <c r="AK637" t="s">
        <v>234</v>
      </c>
      <c r="AL637" s="9" t="s">
        <v>218</v>
      </c>
      <c r="AM637" s="8" t="s">
        <v>221</v>
      </c>
      <c r="AN637" s="8" t="s">
        <v>221</v>
      </c>
      <c r="AO637" s="8" t="s">
        <v>222</v>
      </c>
      <c r="AP637" s="8">
        <v>0</v>
      </c>
      <c r="AQ637" s="8">
        <v>0</v>
      </c>
      <c r="AR637" s="8">
        <v>0</v>
      </c>
      <c r="AS637" s="8">
        <v>0</v>
      </c>
      <c r="AT637" s="8">
        <v>0</v>
      </c>
      <c r="AU637" s="8">
        <v>0</v>
      </c>
      <c r="AV637" s="8">
        <v>0</v>
      </c>
      <c r="AW637" s="8">
        <v>0</v>
      </c>
      <c r="AX637" s="8"/>
      <c r="AY637" s="8"/>
      <c r="AZ637">
        <v>3</v>
      </c>
      <c r="BA637" t="s">
        <v>2917</v>
      </c>
      <c r="BB637" t="s">
        <v>2918</v>
      </c>
    </row>
    <row r="638" spans="1:54">
      <c r="A638" s="6">
        <v>45835</v>
      </c>
      <c r="B638" s="7" t="s">
        <v>2919</v>
      </c>
      <c r="C638" t="s">
        <v>387</v>
      </c>
      <c r="D638" t="s">
        <v>2779</v>
      </c>
      <c r="E638" t="s">
        <v>2779</v>
      </c>
      <c r="F638" t="s">
        <v>2780</v>
      </c>
      <c r="G638" t="s">
        <v>2781</v>
      </c>
      <c r="H638" s="8" t="s">
        <v>208</v>
      </c>
      <c r="I638" s="8" t="s">
        <v>208</v>
      </c>
      <c r="J638" s="8" t="s">
        <v>208</v>
      </c>
      <c r="K638" s="8" t="s">
        <v>208</v>
      </c>
      <c r="L638" s="8" t="s">
        <v>208</v>
      </c>
      <c r="M638" s="8" t="s">
        <v>208</v>
      </c>
      <c r="N638" s="8" t="s">
        <v>208</v>
      </c>
      <c r="O638" s="8" t="s">
        <v>208</v>
      </c>
      <c r="Q638" t="s">
        <v>2920</v>
      </c>
      <c r="R638" t="s">
        <v>2921</v>
      </c>
      <c r="U638" t="s">
        <v>2922</v>
      </c>
      <c r="V638" t="s">
        <v>83</v>
      </c>
      <c r="W638" t="s">
        <v>298</v>
      </c>
      <c r="X638" t="s">
        <v>298</v>
      </c>
      <c r="Y638" t="s">
        <v>299</v>
      </c>
      <c r="Z638" t="s">
        <v>299</v>
      </c>
      <c r="AA638" t="s">
        <v>732</v>
      </c>
      <c r="AB638" t="s">
        <v>301</v>
      </c>
      <c r="AC638" t="s">
        <v>312</v>
      </c>
      <c r="AD638" t="s">
        <v>216</v>
      </c>
      <c r="AE638" t="s">
        <v>732</v>
      </c>
      <c r="AG638" s="8" t="s">
        <v>218</v>
      </c>
      <c r="AH638" t="s">
        <v>302</v>
      </c>
      <c r="AI638" s="9" t="s">
        <v>218</v>
      </c>
      <c r="AJ638" s="8" t="s">
        <v>221</v>
      </c>
      <c r="AK638" t="s">
        <v>2923</v>
      </c>
      <c r="AL638" s="9" t="s">
        <v>218</v>
      </c>
      <c r="AM638" s="8" t="s">
        <v>221</v>
      </c>
      <c r="AN638" s="8" t="s">
        <v>221</v>
      </c>
      <c r="AO638" s="8" t="s">
        <v>222</v>
      </c>
      <c r="AP638" s="8">
        <v>0</v>
      </c>
      <c r="AQ638" s="8">
        <v>0</v>
      </c>
      <c r="AR638" s="8">
        <v>0</v>
      </c>
      <c r="AS638" s="8">
        <v>0</v>
      </c>
      <c r="AT638" s="8">
        <v>0</v>
      </c>
      <c r="AU638" s="8">
        <v>0</v>
      </c>
      <c r="AV638" s="8">
        <v>0</v>
      </c>
      <c r="AW638" s="8">
        <v>0</v>
      </c>
      <c r="AX638" s="8"/>
      <c r="AY638" s="8"/>
      <c r="AZ638">
        <v>3</v>
      </c>
      <c r="BA638" t="s">
        <v>2793</v>
      </c>
      <c r="BB638" t="s">
        <v>2924</v>
      </c>
    </row>
    <row r="639" spans="1:54">
      <c r="A639" s="6">
        <v>45835</v>
      </c>
      <c r="B639" s="7" t="s">
        <v>2925</v>
      </c>
      <c r="C639" t="s">
        <v>668</v>
      </c>
      <c r="D639" t="s">
        <v>2779</v>
      </c>
      <c r="E639" t="s">
        <v>2779</v>
      </c>
      <c r="F639" t="s">
        <v>2780</v>
      </c>
      <c r="G639" t="s">
        <v>2781</v>
      </c>
      <c r="H639" s="8" t="s">
        <v>208</v>
      </c>
      <c r="I639" s="8" t="s">
        <v>208</v>
      </c>
      <c r="J639" s="8" t="s">
        <v>208</v>
      </c>
      <c r="K639" s="8" t="s">
        <v>208</v>
      </c>
      <c r="L639" s="8" t="s">
        <v>208</v>
      </c>
      <c r="M639" s="8" t="s">
        <v>208</v>
      </c>
      <c r="N639" s="8" t="s">
        <v>208</v>
      </c>
      <c r="O639" s="8" t="s">
        <v>208</v>
      </c>
      <c r="Q639" t="s">
        <v>2926</v>
      </c>
      <c r="R639" t="s">
        <v>2927</v>
      </c>
      <c r="U639" t="s">
        <v>2928</v>
      </c>
      <c r="V639" t="s">
        <v>662</v>
      </c>
      <c r="W639" t="s">
        <v>212</v>
      </c>
      <c r="X639" t="s">
        <v>298</v>
      </c>
      <c r="Y639" t="s">
        <v>213</v>
      </c>
      <c r="Z639" t="s">
        <v>299</v>
      </c>
      <c r="AA639" t="s">
        <v>214</v>
      </c>
      <c r="AB639" s="9" t="s">
        <v>242</v>
      </c>
      <c r="AC639" s="9" t="s">
        <v>425</v>
      </c>
      <c r="AD639" t="s">
        <v>216</v>
      </c>
      <c r="AE639" t="s">
        <v>2121</v>
      </c>
      <c r="AG639" s="8" t="s">
        <v>218</v>
      </c>
      <c r="AH639" t="s">
        <v>219</v>
      </c>
      <c r="AI639" s="9" t="s">
        <v>218</v>
      </c>
      <c r="AJ639" s="9" t="s">
        <v>218</v>
      </c>
      <c r="AK639" t="s">
        <v>234</v>
      </c>
      <c r="AL639" s="9" t="s">
        <v>218</v>
      </c>
      <c r="AM639" s="8" t="s">
        <v>221</v>
      </c>
      <c r="AN639" s="8" t="s">
        <v>221</v>
      </c>
      <c r="AO639" s="8" t="s">
        <v>222</v>
      </c>
      <c r="AP639" s="8">
        <v>0</v>
      </c>
      <c r="AQ639" s="8">
        <v>0</v>
      </c>
      <c r="AR639" s="9">
        <v>13</v>
      </c>
      <c r="AS639" s="8">
        <v>0</v>
      </c>
      <c r="AT639" s="8">
        <v>0</v>
      </c>
      <c r="AU639" s="8">
        <v>0</v>
      </c>
      <c r="AV639" s="8">
        <v>0</v>
      </c>
      <c r="AW639" s="9">
        <v>13</v>
      </c>
      <c r="AX639" s="9" t="s">
        <v>2929</v>
      </c>
      <c r="AY639" s="8"/>
      <c r="AZ639">
        <v>2</v>
      </c>
      <c r="BA639" t="s">
        <v>2930</v>
      </c>
      <c r="BB639" t="s">
        <v>2931</v>
      </c>
    </row>
    <row r="640" spans="1:54">
      <c r="A640" s="6">
        <v>45835</v>
      </c>
      <c r="B640" s="7" t="s">
        <v>2932</v>
      </c>
      <c r="C640" t="s">
        <v>291</v>
      </c>
      <c r="D640" t="s">
        <v>2779</v>
      </c>
      <c r="E640" t="s">
        <v>2779</v>
      </c>
      <c r="F640" t="s">
        <v>2780</v>
      </c>
      <c r="G640" t="s">
        <v>2781</v>
      </c>
      <c r="H640" s="8" t="s">
        <v>208</v>
      </c>
      <c r="I640" s="8" t="s">
        <v>208</v>
      </c>
      <c r="J640" s="8" t="s">
        <v>208</v>
      </c>
      <c r="K640" s="8" t="s">
        <v>208</v>
      </c>
      <c r="L640" s="8" t="s">
        <v>208</v>
      </c>
      <c r="M640" s="8" t="s">
        <v>208</v>
      </c>
      <c r="N640" s="8" t="s">
        <v>208</v>
      </c>
      <c r="O640" s="8" t="s">
        <v>208</v>
      </c>
      <c r="Q640" t="s">
        <v>2933</v>
      </c>
      <c r="R640" t="s">
        <v>2934</v>
      </c>
      <c r="U640" t="s">
        <v>2935</v>
      </c>
      <c r="V640" t="s">
        <v>662</v>
      </c>
      <c r="W640" t="s">
        <v>298</v>
      </c>
      <c r="Y640" t="s">
        <v>299</v>
      </c>
      <c r="AA640" t="s">
        <v>663</v>
      </c>
      <c r="AB640" t="s">
        <v>312</v>
      </c>
      <c r="AD640" t="s">
        <v>216</v>
      </c>
      <c r="AE640" t="s">
        <v>663</v>
      </c>
      <c r="AG640" s="8" t="s">
        <v>218</v>
      </c>
      <c r="AH640" t="s">
        <v>302</v>
      </c>
      <c r="AI640" s="9" t="s">
        <v>218</v>
      </c>
      <c r="AJ640" s="8" t="s">
        <v>221</v>
      </c>
      <c r="AK640" t="s">
        <v>2936</v>
      </c>
      <c r="AL640" s="9" t="s">
        <v>218</v>
      </c>
      <c r="AM640" s="8" t="s">
        <v>221</v>
      </c>
      <c r="AN640" s="8" t="s">
        <v>221</v>
      </c>
      <c r="AO640" s="8" t="s">
        <v>222</v>
      </c>
      <c r="AP640" s="8">
        <v>0</v>
      </c>
      <c r="AQ640" s="8">
        <v>0</v>
      </c>
      <c r="AR640" s="8">
        <v>0</v>
      </c>
      <c r="AS640" s="8">
        <v>0</v>
      </c>
      <c r="AT640" s="8">
        <v>0</v>
      </c>
      <c r="AU640" s="8">
        <v>0</v>
      </c>
      <c r="AV640" s="8">
        <v>0</v>
      </c>
      <c r="AW640" s="8">
        <v>0</v>
      </c>
      <c r="AX640" s="8"/>
      <c r="AY640" s="8"/>
      <c r="AZ640">
        <v>0</v>
      </c>
    </row>
    <row r="641" spans="1:52">
      <c r="A641" s="6">
        <v>45835</v>
      </c>
      <c r="B641" s="7" t="s">
        <v>2937</v>
      </c>
      <c r="C641" t="s">
        <v>291</v>
      </c>
      <c r="D641" t="s">
        <v>2779</v>
      </c>
      <c r="E641" t="s">
        <v>2779</v>
      </c>
      <c r="F641" t="s">
        <v>2780</v>
      </c>
      <c r="G641" t="s">
        <v>2781</v>
      </c>
      <c r="H641" s="8" t="s">
        <v>208</v>
      </c>
      <c r="I641" s="8" t="s">
        <v>208</v>
      </c>
      <c r="J641" s="8" t="s">
        <v>208</v>
      </c>
      <c r="K641" s="8" t="s">
        <v>208</v>
      </c>
      <c r="L641" s="8" t="s">
        <v>208</v>
      </c>
      <c r="M641" s="8" t="s">
        <v>208</v>
      </c>
      <c r="N641" s="8" t="s">
        <v>208</v>
      </c>
      <c r="O641" s="8" t="s">
        <v>208</v>
      </c>
      <c r="Q641" t="s">
        <v>2938</v>
      </c>
      <c r="R641" t="s">
        <v>2939</v>
      </c>
      <c r="U641" t="s">
        <v>2940</v>
      </c>
      <c r="V641" t="s">
        <v>662</v>
      </c>
      <c r="W641" t="s">
        <v>298</v>
      </c>
      <c r="Y641" t="s">
        <v>299</v>
      </c>
      <c r="AA641" t="s">
        <v>663</v>
      </c>
      <c r="AB641" t="s">
        <v>312</v>
      </c>
      <c r="AD641" t="s">
        <v>216</v>
      </c>
      <c r="AE641" t="s">
        <v>663</v>
      </c>
      <c r="AG641" s="8" t="s">
        <v>218</v>
      </c>
      <c r="AH641" t="s">
        <v>302</v>
      </c>
      <c r="AI641" s="9" t="s">
        <v>218</v>
      </c>
      <c r="AJ641" s="8" t="s">
        <v>221</v>
      </c>
      <c r="AK641" t="s">
        <v>2936</v>
      </c>
      <c r="AL641" s="9" t="s">
        <v>218</v>
      </c>
      <c r="AM641" s="8" t="s">
        <v>221</v>
      </c>
      <c r="AN641" s="8" t="s">
        <v>221</v>
      </c>
      <c r="AO641" s="8" t="s">
        <v>222</v>
      </c>
      <c r="AP641" s="8">
        <v>0</v>
      </c>
      <c r="AQ641" s="8">
        <v>0</v>
      </c>
      <c r="AR641" s="8">
        <v>0</v>
      </c>
      <c r="AS641" s="8">
        <v>0</v>
      </c>
      <c r="AT641" s="8">
        <v>0</v>
      </c>
      <c r="AU641" s="8">
        <v>0</v>
      </c>
      <c r="AV641" s="8">
        <v>0</v>
      </c>
      <c r="AW641" s="8">
        <v>0</v>
      </c>
      <c r="AX641" s="8"/>
      <c r="AY641" s="8"/>
      <c r="AZ641">
        <v>0</v>
      </c>
    </row>
    <row r="642" spans="1:52">
      <c r="A642" s="6">
        <v>45835</v>
      </c>
      <c r="B642" s="7" t="s">
        <v>2941</v>
      </c>
      <c r="C642" t="s">
        <v>308</v>
      </c>
      <c r="D642" t="s">
        <v>2779</v>
      </c>
      <c r="E642" t="s">
        <v>2779</v>
      </c>
      <c r="F642" t="s">
        <v>2780</v>
      </c>
      <c r="G642" t="s">
        <v>2781</v>
      </c>
      <c r="H642" s="8" t="s">
        <v>208</v>
      </c>
      <c r="I642" s="8" t="s">
        <v>208</v>
      </c>
      <c r="J642" s="8" t="s">
        <v>208</v>
      </c>
      <c r="K642" s="8" t="s">
        <v>208</v>
      </c>
      <c r="L642" s="8" t="s">
        <v>208</v>
      </c>
      <c r="M642" s="8" t="s">
        <v>208</v>
      </c>
      <c r="N642" s="8" t="s">
        <v>208</v>
      </c>
      <c r="O642" s="8" t="s">
        <v>208</v>
      </c>
      <c r="Q642" t="s">
        <v>2942</v>
      </c>
      <c r="R642" t="s">
        <v>2943</v>
      </c>
      <c r="U642" t="s">
        <v>2944</v>
      </c>
      <c r="V642" t="s">
        <v>662</v>
      </c>
      <c r="W642" t="s">
        <v>298</v>
      </c>
      <c r="Y642" t="s">
        <v>299</v>
      </c>
      <c r="AA642" t="s">
        <v>663</v>
      </c>
      <c r="AB642" t="s">
        <v>312</v>
      </c>
      <c r="AD642" t="s">
        <v>2806</v>
      </c>
      <c r="AE642" t="s">
        <v>663</v>
      </c>
      <c r="AG642" s="8" t="s">
        <v>218</v>
      </c>
      <c r="AH642" t="s">
        <v>302</v>
      </c>
      <c r="AI642" s="9" t="s">
        <v>218</v>
      </c>
      <c r="AJ642" s="8" t="s">
        <v>221</v>
      </c>
      <c r="AK642" t="s">
        <v>2936</v>
      </c>
      <c r="AL642" s="9" t="s">
        <v>218</v>
      </c>
      <c r="AM642" s="8" t="s">
        <v>221</v>
      </c>
      <c r="AN642" s="8" t="s">
        <v>221</v>
      </c>
      <c r="AO642" s="8" t="s">
        <v>222</v>
      </c>
      <c r="AP642" s="8">
        <v>0</v>
      </c>
      <c r="AQ642" s="8">
        <v>0</v>
      </c>
      <c r="AR642" s="8">
        <v>0</v>
      </c>
      <c r="AS642" s="8">
        <v>0</v>
      </c>
      <c r="AT642" s="8">
        <v>0</v>
      </c>
      <c r="AU642" s="8">
        <v>0</v>
      </c>
      <c r="AV642" s="8">
        <v>0</v>
      </c>
      <c r="AW642" s="8">
        <v>0</v>
      </c>
      <c r="AX642" s="8"/>
      <c r="AY642" s="8"/>
      <c r="AZ642">
        <v>0</v>
      </c>
    </row>
    <row r="643" spans="1:52">
      <c r="A643" s="6">
        <v>45835</v>
      </c>
      <c r="B643" s="7" t="s">
        <v>2945</v>
      </c>
      <c r="C643" t="s">
        <v>308</v>
      </c>
      <c r="D643" t="s">
        <v>2779</v>
      </c>
      <c r="E643" t="s">
        <v>2779</v>
      </c>
      <c r="F643" t="s">
        <v>2780</v>
      </c>
      <c r="G643" t="s">
        <v>2781</v>
      </c>
      <c r="H643" s="8" t="s">
        <v>208</v>
      </c>
      <c r="I643" s="8" t="s">
        <v>208</v>
      </c>
      <c r="J643" s="8" t="s">
        <v>208</v>
      </c>
      <c r="K643" s="8" t="s">
        <v>208</v>
      </c>
      <c r="L643" s="8" t="s">
        <v>208</v>
      </c>
      <c r="M643" s="8" t="s">
        <v>208</v>
      </c>
      <c r="N643" s="8" t="s">
        <v>208</v>
      </c>
      <c r="O643" s="8" t="s">
        <v>208</v>
      </c>
      <c r="Q643" t="s">
        <v>2946</v>
      </c>
      <c r="R643" t="s">
        <v>2947</v>
      </c>
      <c r="U643" t="s">
        <v>2948</v>
      </c>
      <c r="V643" t="s">
        <v>662</v>
      </c>
      <c r="W643" t="s">
        <v>298</v>
      </c>
      <c r="Y643" t="s">
        <v>299</v>
      </c>
      <c r="AA643" t="s">
        <v>663</v>
      </c>
      <c r="AB643" t="s">
        <v>312</v>
      </c>
      <c r="AD643" t="s">
        <v>216</v>
      </c>
      <c r="AE643" t="s">
        <v>663</v>
      </c>
      <c r="AG643" s="8" t="s">
        <v>218</v>
      </c>
      <c r="AH643" t="s">
        <v>302</v>
      </c>
      <c r="AI643" s="9" t="s">
        <v>218</v>
      </c>
      <c r="AJ643" s="8" t="s">
        <v>221</v>
      </c>
      <c r="AK643" t="s">
        <v>2949</v>
      </c>
      <c r="AL643" s="9" t="s">
        <v>218</v>
      </c>
      <c r="AM643" s="8" t="s">
        <v>221</v>
      </c>
      <c r="AN643" s="8" t="s">
        <v>221</v>
      </c>
      <c r="AO643" s="8" t="s">
        <v>222</v>
      </c>
      <c r="AP643" s="8">
        <v>0</v>
      </c>
      <c r="AQ643" s="8">
        <v>0</v>
      </c>
      <c r="AR643" s="8">
        <v>0</v>
      </c>
      <c r="AS643" s="8">
        <v>0</v>
      </c>
      <c r="AT643" s="8">
        <v>0</v>
      </c>
      <c r="AU643" s="8">
        <v>0</v>
      </c>
      <c r="AV643" s="8">
        <v>0</v>
      </c>
      <c r="AW643" s="8">
        <v>0</v>
      </c>
      <c r="AX643" s="8"/>
      <c r="AY643" s="8"/>
      <c r="AZ643">
        <v>0</v>
      </c>
    </row>
    <row r="644" spans="1:52">
      <c r="A644" s="6">
        <v>45835</v>
      </c>
      <c r="B644" s="7" t="s">
        <v>2950</v>
      </c>
      <c r="C644" t="s">
        <v>308</v>
      </c>
      <c r="D644" t="s">
        <v>2779</v>
      </c>
      <c r="E644" t="s">
        <v>2779</v>
      </c>
      <c r="F644" t="s">
        <v>2780</v>
      </c>
      <c r="G644" t="s">
        <v>2781</v>
      </c>
      <c r="H644" s="8" t="s">
        <v>208</v>
      </c>
      <c r="I644" s="8" t="s">
        <v>208</v>
      </c>
      <c r="J644" s="8" t="s">
        <v>208</v>
      </c>
      <c r="K644" s="8" t="s">
        <v>208</v>
      </c>
      <c r="L644" s="8" t="s">
        <v>208</v>
      </c>
      <c r="M644" s="8" t="s">
        <v>208</v>
      </c>
      <c r="N644" s="8" t="s">
        <v>208</v>
      </c>
      <c r="O644" s="8" t="s">
        <v>208</v>
      </c>
      <c r="Q644" t="s">
        <v>2951</v>
      </c>
      <c r="R644" t="s">
        <v>2952</v>
      </c>
      <c r="U644" t="s">
        <v>2953</v>
      </c>
      <c r="V644" t="s">
        <v>662</v>
      </c>
      <c r="W644" t="s">
        <v>298</v>
      </c>
      <c r="Y644" t="s">
        <v>299</v>
      </c>
      <c r="AA644" t="s">
        <v>663</v>
      </c>
      <c r="AB644" t="s">
        <v>312</v>
      </c>
      <c r="AD644" t="s">
        <v>216</v>
      </c>
      <c r="AE644" t="s">
        <v>663</v>
      </c>
      <c r="AG644" s="8" t="s">
        <v>218</v>
      </c>
      <c r="AH644" t="s">
        <v>302</v>
      </c>
      <c r="AI644" s="9" t="s">
        <v>218</v>
      </c>
      <c r="AJ644" s="8" t="s">
        <v>221</v>
      </c>
      <c r="AK644" t="s">
        <v>2954</v>
      </c>
      <c r="AL644" s="9" t="s">
        <v>218</v>
      </c>
      <c r="AM644" s="8" t="s">
        <v>221</v>
      </c>
      <c r="AN644" s="8" t="s">
        <v>221</v>
      </c>
      <c r="AO644" s="8" t="s">
        <v>222</v>
      </c>
      <c r="AP644" s="8">
        <v>0</v>
      </c>
      <c r="AQ644" s="8">
        <v>0</v>
      </c>
      <c r="AR644" s="8">
        <v>0</v>
      </c>
      <c r="AS644" s="8">
        <v>0</v>
      </c>
      <c r="AT644" s="8">
        <v>0</v>
      </c>
      <c r="AU644" s="8">
        <v>0</v>
      </c>
      <c r="AV644" s="8">
        <v>0</v>
      </c>
      <c r="AW644" s="8">
        <v>0</v>
      </c>
      <c r="AX644" s="8"/>
      <c r="AY644" s="8"/>
      <c r="AZ644">
        <v>0</v>
      </c>
    </row>
    <row r="645" spans="1:52">
      <c r="A645" s="6">
        <v>45835</v>
      </c>
      <c r="B645" s="7" t="s">
        <v>2955</v>
      </c>
      <c r="C645" t="s">
        <v>308</v>
      </c>
      <c r="D645" t="s">
        <v>2779</v>
      </c>
      <c r="E645" t="s">
        <v>2779</v>
      </c>
      <c r="F645" t="s">
        <v>2780</v>
      </c>
      <c r="G645" t="s">
        <v>2781</v>
      </c>
      <c r="H645" s="8" t="s">
        <v>208</v>
      </c>
      <c r="I645" s="8" t="s">
        <v>208</v>
      </c>
      <c r="J645" s="8" t="s">
        <v>208</v>
      </c>
      <c r="K645" s="8" t="s">
        <v>208</v>
      </c>
      <c r="L645" s="8" t="s">
        <v>208</v>
      </c>
      <c r="M645" s="8" t="s">
        <v>208</v>
      </c>
      <c r="N645" s="8" t="s">
        <v>208</v>
      </c>
      <c r="O645" s="8" t="s">
        <v>208</v>
      </c>
      <c r="Q645" t="s">
        <v>2956</v>
      </c>
      <c r="R645" t="s">
        <v>2957</v>
      </c>
      <c r="U645" t="s">
        <v>2958</v>
      </c>
      <c r="V645" t="s">
        <v>662</v>
      </c>
      <c r="W645" t="s">
        <v>298</v>
      </c>
      <c r="Y645" t="s">
        <v>299</v>
      </c>
      <c r="AA645" t="s">
        <v>663</v>
      </c>
      <c r="AB645" t="s">
        <v>312</v>
      </c>
      <c r="AD645" t="s">
        <v>216</v>
      </c>
      <c r="AE645" t="s">
        <v>663</v>
      </c>
      <c r="AG645" s="8" t="s">
        <v>218</v>
      </c>
      <c r="AH645" t="s">
        <v>302</v>
      </c>
      <c r="AI645" s="9" t="s">
        <v>218</v>
      </c>
      <c r="AJ645" s="8" t="s">
        <v>221</v>
      </c>
      <c r="AK645" t="s">
        <v>243</v>
      </c>
      <c r="AL645" s="9" t="s">
        <v>218</v>
      </c>
      <c r="AM645" s="8" t="s">
        <v>221</v>
      </c>
      <c r="AN645" s="8" t="s">
        <v>221</v>
      </c>
      <c r="AO645" s="8" t="s">
        <v>222</v>
      </c>
      <c r="AP645" s="8">
        <v>0</v>
      </c>
      <c r="AQ645" s="8">
        <v>0</v>
      </c>
      <c r="AR645" s="8">
        <v>0</v>
      </c>
      <c r="AS645" s="8">
        <v>0</v>
      </c>
      <c r="AT645" s="8">
        <v>0</v>
      </c>
      <c r="AU645" s="8">
        <v>0</v>
      </c>
      <c r="AV645" s="8">
        <v>0</v>
      </c>
      <c r="AW645" s="8">
        <v>0</v>
      </c>
      <c r="AX645" s="8"/>
      <c r="AY645" s="8"/>
      <c r="AZ645">
        <v>0</v>
      </c>
    </row>
    <row r="646" spans="1:52">
      <c r="A646" s="6">
        <v>45835</v>
      </c>
      <c r="B646" s="7" t="s">
        <v>2959</v>
      </c>
      <c r="C646" t="s">
        <v>308</v>
      </c>
      <c r="D646" t="s">
        <v>2779</v>
      </c>
      <c r="E646" t="s">
        <v>2779</v>
      </c>
      <c r="F646" t="s">
        <v>2780</v>
      </c>
      <c r="G646" t="s">
        <v>2781</v>
      </c>
      <c r="H646" s="8" t="s">
        <v>208</v>
      </c>
      <c r="I646" s="8" t="s">
        <v>208</v>
      </c>
      <c r="J646" s="8" t="s">
        <v>208</v>
      </c>
      <c r="K646" s="8" t="s">
        <v>208</v>
      </c>
      <c r="L646" s="8" t="s">
        <v>208</v>
      </c>
      <c r="M646" s="8" t="s">
        <v>208</v>
      </c>
      <c r="N646" s="8" t="s">
        <v>208</v>
      </c>
      <c r="O646" s="8" t="s">
        <v>208</v>
      </c>
      <c r="Q646" t="s">
        <v>2960</v>
      </c>
      <c r="R646" t="s">
        <v>2961</v>
      </c>
      <c r="U646" t="s">
        <v>2962</v>
      </c>
      <c r="V646" t="s">
        <v>662</v>
      </c>
      <c r="W646" t="s">
        <v>298</v>
      </c>
      <c r="Y646" t="s">
        <v>299</v>
      </c>
      <c r="AA646" t="s">
        <v>663</v>
      </c>
      <c r="AB646" t="s">
        <v>312</v>
      </c>
      <c r="AD646" t="s">
        <v>216</v>
      </c>
      <c r="AE646" t="s">
        <v>663</v>
      </c>
      <c r="AG646" s="8" t="s">
        <v>218</v>
      </c>
      <c r="AH646" t="s">
        <v>302</v>
      </c>
      <c r="AI646" s="9" t="s">
        <v>218</v>
      </c>
      <c r="AJ646" s="8" t="s">
        <v>221</v>
      </c>
      <c r="AK646" t="s">
        <v>2949</v>
      </c>
      <c r="AL646" s="9" t="s">
        <v>218</v>
      </c>
      <c r="AM646" s="8" t="s">
        <v>221</v>
      </c>
      <c r="AN646" s="8" t="s">
        <v>221</v>
      </c>
      <c r="AO646" s="8" t="s">
        <v>222</v>
      </c>
      <c r="AP646" s="8">
        <v>0</v>
      </c>
      <c r="AQ646" s="8">
        <v>0</v>
      </c>
      <c r="AR646" s="8">
        <v>0</v>
      </c>
      <c r="AS646" s="8">
        <v>0</v>
      </c>
      <c r="AT646" s="8">
        <v>0</v>
      </c>
      <c r="AU646" s="8">
        <v>0</v>
      </c>
      <c r="AV646" s="8">
        <v>0</v>
      </c>
      <c r="AW646" s="8">
        <v>0</v>
      </c>
      <c r="AX646" s="8"/>
      <c r="AY646" s="8"/>
      <c r="AZ646">
        <v>0</v>
      </c>
    </row>
    <row r="647" spans="1:52">
      <c r="A647" s="6">
        <v>45835</v>
      </c>
      <c r="B647" s="7" t="s">
        <v>2963</v>
      </c>
      <c r="C647" t="s">
        <v>308</v>
      </c>
      <c r="D647" t="s">
        <v>2779</v>
      </c>
      <c r="E647" t="s">
        <v>2779</v>
      </c>
      <c r="F647" t="s">
        <v>2780</v>
      </c>
      <c r="G647" t="s">
        <v>2781</v>
      </c>
      <c r="H647" s="8" t="s">
        <v>208</v>
      </c>
      <c r="I647" s="8" t="s">
        <v>208</v>
      </c>
      <c r="J647" s="8" t="s">
        <v>208</v>
      </c>
      <c r="K647" s="8" t="s">
        <v>208</v>
      </c>
      <c r="L647" s="8" t="s">
        <v>208</v>
      </c>
      <c r="M647" s="8" t="s">
        <v>208</v>
      </c>
      <c r="N647" s="8" t="s">
        <v>208</v>
      </c>
      <c r="O647" s="8" t="s">
        <v>208</v>
      </c>
      <c r="Q647" t="s">
        <v>2964</v>
      </c>
      <c r="R647" t="s">
        <v>2965</v>
      </c>
      <c r="U647" t="s">
        <v>2953</v>
      </c>
      <c r="V647" t="s">
        <v>662</v>
      </c>
      <c r="W647" t="s">
        <v>298</v>
      </c>
      <c r="Y647" t="s">
        <v>299</v>
      </c>
      <c r="AA647" t="s">
        <v>663</v>
      </c>
      <c r="AB647" t="s">
        <v>312</v>
      </c>
      <c r="AD647" t="s">
        <v>216</v>
      </c>
      <c r="AE647" t="s">
        <v>663</v>
      </c>
      <c r="AG647" s="8" t="s">
        <v>218</v>
      </c>
      <c r="AH647" t="s">
        <v>302</v>
      </c>
      <c r="AI647" s="9" t="s">
        <v>218</v>
      </c>
      <c r="AJ647" s="8" t="s">
        <v>221</v>
      </c>
      <c r="AK647" t="s">
        <v>2954</v>
      </c>
      <c r="AL647" s="9" t="s">
        <v>218</v>
      </c>
      <c r="AM647" s="8" t="s">
        <v>221</v>
      </c>
      <c r="AN647" s="8" t="s">
        <v>221</v>
      </c>
      <c r="AO647" s="8" t="s">
        <v>222</v>
      </c>
      <c r="AP647" s="8">
        <v>0</v>
      </c>
      <c r="AQ647" s="8">
        <v>0</v>
      </c>
      <c r="AR647" s="8">
        <v>0</v>
      </c>
      <c r="AS647" s="8">
        <v>0</v>
      </c>
      <c r="AT647" s="8">
        <v>0</v>
      </c>
      <c r="AU647" s="8">
        <v>0</v>
      </c>
      <c r="AV647" s="8">
        <v>0</v>
      </c>
      <c r="AW647" s="8">
        <v>0</v>
      </c>
      <c r="AX647" s="8"/>
      <c r="AY647" s="8"/>
      <c r="AZ647">
        <v>0</v>
      </c>
    </row>
    <row r="648" spans="1:52">
      <c r="A648" s="6">
        <v>45835</v>
      </c>
      <c r="B648" s="7" t="s">
        <v>2966</v>
      </c>
      <c r="C648" t="s">
        <v>308</v>
      </c>
      <c r="D648" t="s">
        <v>2779</v>
      </c>
      <c r="E648" t="s">
        <v>2779</v>
      </c>
      <c r="F648" t="s">
        <v>2780</v>
      </c>
      <c r="G648" t="s">
        <v>2781</v>
      </c>
      <c r="H648" s="8" t="s">
        <v>208</v>
      </c>
      <c r="I648" s="8" t="s">
        <v>208</v>
      </c>
      <c r="J648" s="8" t="s">
        <v>208</v>
      </c>
      <c r="K648" s="8" t="s">
        <v>208</v>
      </c>
      <c r="L648" s="8" t="s">
        <v>208</v>
      </c>
      <c r="M648" s="8" t="s">
        <v>208</v>
      </c>
      <c r="N648" s="8" t="s">
        <v>208</v>
      </c>
      <c r="O648" s="8" t="s">
        <v>208</v>
      </c>
      <c r="Q648" t="s">
        <v>2967</v>
      </c>
      <c r="R648" t="s">
        <v>2968</v>
      </c>
      <c r="U648" t="s">
        <v>2958</v>
      </c>
      <c r="V648" t="s">
        <v>662</v>
      </c>
      <c r="W648" t="s">
        <v>298</v>
      </c>
      <c r="Y648" t="s">
        <v>299</v>
      </c>
      <c r="AA648" t="s">
        <v>663</v>
      </c>
      <c r="AB648" t="s">
        <v>312</v>
      </c>
      <c r="AD648" t="s">
        <v>216</v>
      </c>
      <c r="AE648" t="s">
        <v>663</v>
      </c>
      <c r="AG648" s="8" t="s">
        <v>218</v>
      </c>
      <c r="AH648" t="s">
        <v>302</v>
      </c>
      <c r="AI648" s="9" t="s">
        <v>218</v>
      </c>
      <c r="AJ648" s="8" t="s">
        <v>221</v>
      </c>
      <c r="AK648" t="s">
        <v>243</v>
      </c>
      <c r="AL648" s="9" t="s">
        <v>218</v>
      </c>
      <c r="AM648" s="8" t="s">
        <v>221</v>
      </c>
      <c r="AN648" s="8" t="s">
        <v>221</v>
      </c>
      <c r="AO648" s="8" t="s">
        <v>222</v>
      </c>
      <c r="AP648" s="8">
        <v>0</v>
      </c>
      <c r="AQ648" s="8">
        <v>0</v>
      </c>
      <c r="AR648" s="8">
        <v>0</v>
      </c>
      <c r="AS648" s="8">
        <v>0</v>
      </c>
      <c r="AT648" s="8">
        <v>0</v>
      </c>
      <c r="AU648" s="8">
        <v>0</v>
      </c>
      <c r="AV648" s="8">
        <v>0</v>
      </c>
      <c r="AW648" s="8">
        <v>0</v>
      </c>
      <c r="AX648" s="8"/>
      <c r="AY648" s="8"/>
      <c r="AZ648">
        <v>0</v>
      </c>
    </row>
    <row r="649" spans="1:52">
      <c r="A649" s="6">
        <v>45835</v>
      </c>
      <c r="B649" s="7" t="s">
        <v>2969</v>
      </c>
      <c r="C649" t="s">
        <v>308</v>
      </c>
      <c r="D649" t="s">
        <v>2779</v>
      </c>
      <c r="E649" t="s">
        <v>2779</v>
      </c>
      <c r="F649" t="s">
        <v>2780</v>
      </c>
      <c r="G649" t="s">
        <v>2781</v>
      </c>
      <c r="H649" s="8" t="s">
        <v>208</v>
      </c>
      <c r="I649" s="8" t="s">
        <v>208</v>
      </c>
      <c r="J649" s="8" t="s">
        <v>208</v>
      </c>
      <c r="K649" s="8" t="s">
        <v>208</v>
      </c>
      <c r="L649" s="8" t="s">
        <v>208</v>
      </c>
      <c r="M649" s="8" t="s">
        <v>208</v>
      </c>
      <c r="N649" s="8" t="s">
        <v>208</v>
      </c>
      <c r="O649" s="8" t="s">
        <v>208</v>
      </c>
      <c r="Q649" t="s">
        <v>2970</v>
      </c>
      <c r="R649" t="s">
        <v>2971</v>
      </c>
      <c r="U649" t="s">
        <v>2972</v>
      </c>
      <c r="V649" t="s">
        <v>662</v>
      </c>
      <c r="W649" t="s">
        <v>298</v>
      </c>
      <c r="Y649" t="s">
        <v>299</v>
      </c>
      <c r="AA649" t="s">
        <v>663</v>
      </c>
      <c r="AB649" t="s">
        <v>312</v>
      </c>
      <c r="AD649" t="s">
        <v>216</v>
      </c>
      <c r="AE649" t="s">
        <v>663</v>
      </c>
      <c r="AG649" s="8" t="s">
        <v>218</v>
      </c>
      <c r="AH649" t="s">
        <v>302</v>
      </c>
      <c r="AI649" s="9" t="s">
        <v>218</v>
      </c>
      <c r="AJ649" s="8" t="s">
        <v>221</v>
      </c>
      <c r="AK649" t="s">
        <v>2936</v>
      </c>
      <c r="AL649" s="9" t="s">
        <v>218</v>
      </c>
      <c r="AM649" s="8" t="s">
        <v>221</v>
      </c>
      <c r="AN649" s="8" t="s">
        <v>221</v>
      </c>
      <c r="AO649" s="8" t="s">
        <v>222</v>
      </c>
      <c r="AP649" s="8">
        <v>0</v>
      </c>
      <c r="AQ649" s="8">
        <v>0</v>
      </c>
      <c r="AR649" s="8">
        <v>0</v>
      </c>
      <c r="AS649" s="8">
        <v>0</v>
      </c>
      <c r="AT649" s="8">
        <v>0</v>
      </c>
      <c r="AU649" s="8">
        <v>0</v>
      </c>
      <c r="AV649" s="8">
        <v>0</v>
      </c>
      <c r="AW649" s="8">
        <v>0</v>
      </c>
      <c r="AX649" s="8"/>
      <c r="AY649" s="8"/>
      <c r="AZ649">
        <v>0</v>
      </c>
    </row>
    <row r="650" spans="1:52">
      <c r="A650" s="6">
        <v>45835</v>
      </c>
      <c r="B650" s="7" t="s">
        <v>2973</v>
      </c>
      <c r="C650" t="s">
        <v>308</v>
      </c>
      <c r="D650" t="s">
        <v>2779</v>
      </c>
      <c r="E650" t="s">
        <v>2779</v>
      </c>
      <c r="F650" t="s">
        <v>2780</v>
      </c>
      <c r="G650" t="s">
        <v>2781</v>
      </c>
      <c r="H650" s="8" t="s">
        <v>208</v>
      </c>
      <c r="I650" s="8" t="s">
        <v>208</v>
      </c>
      <c r="J650" s="8" t="s">
        <v>208</v>
      </c>
      <c r="K650" s="8" t="s">
        <v>208</v>
      </c>
      <c r="L650" s="8" t="s">
        <v>208</v>
      </c>
      <c r="M650" s="8" t="s">
        <v>208</v>
      </c>
      <c r="N650" s="8" t="s">
        <v>208</v>
      </c>
      <c r="O650" s="8" t="s">
        <v>208</v>
      </c>
      <c r="Q650" t="s">
        <v>2974</v>
      </c>
      <c r="R650" t="s">
        <v>2975</v>
      </c>
      <c r="U650" t="s">
        <v>2948</v>
      </c>
      <c r="V650" t="s">
        <v>662</v>
      </c>
      <c r="W650" t="s">
        <v>298</v>
      </c>
      <c r="Y650" t="s">
        <v>299</v>
      </c>
      <c r="AA650" t="s">
        <v>663</v>
      </c>
      <c r="AB650" t="s">
        <v>312</v>
      </c>
      <c r="AD650" t="s">
        <v>216</v>
      </c>
      <c r="AE650" t="s">
        <v>663</v>
      </c>
      <c r="AG650" s="8" t="s">
        <v>218</v>
      </c>
      <c r="AH650" t="s">
        <v>302</v>
      </c>
      <c r="AI650" s="9" t="s">
        <v>218</v>
      </c>
      <c r="AJ650" s="8" t="s">
        <v>221</v>
      </c>
      <c r="AK650" t="s">
        <v>2949</v>
      </c>
      <c r="AL650" s="9" t="s">
        <v>218</v>
      </c>
      <c r="AM650" s="8" t="s">
        <v>221</v>
      </c>
      <c r="AN650" s="8" t="s">
        <v>221</v>
      </c>
      <c r="AO650" s="8" t="s">
        <v>222</v>
      </c>
      <c r="AP650" s="8">
        <v>0</v>
      </c>
      <c r="AQ650" s="8">
        <v>0</v>
      </c>
      <c r="AR650" s="8">
        <v>0</v>
      </c>
      <c r="AS650" s="8">
        <v>0</v>
      </c>
      <c r="AT650" s="8">
        <v>0</v>
      </c>
      <c r="AU650" s="8">
        <v>0</v>
      </c>
      <c r="AV650" s="8">
        <v>0</v>
      </c>
      <c r="AW650" s="8">
        <v>0</v>
      </c>
      <c r="AX650" s="8"/>
      <c r="AY650" s="8"/>
      <c r="AZ650">
        <v>0</v>
      </c>
    </row>
    <row r="651" spans="1:52">
      <c r="A651" s="6">
        <v>45835</v>
      </c>
      <c r="B651" s="7" t="s">
        <v>2976</v>
      </c>
      <c r="C651" t="s">
        <v>308</v>
      </c>
      <c r="D651" t="s">
        <v>2779</v>
      </c>
      <c r="E651" t="s">
        <v>2779</v>
      </c>
      <c r="F651" t="s">
        <v>2780</v>
      </c>
      <c r="G651" t="s">
        <v>2781</v>
      </c>
      <c r="H651" s="8" t="s">
        <v>208</v>
      </c>
      <c r="I651" s="8" t="s">
        <v>208</v>
      </c>
      <c r="J651" s="8" t="s">
        <v>208</v>
      </c>
      <c r="K651" s="8" t="s">
        <v>208</v>
      </c>
      <c r="L651" s="8" t="s">
        <v>208</v>
      </c>
      <c r="M651" s="8" t="s">
        <v>208</v>
      </c>
      <c r="N651" s="8" t="s">
        <v>208</v>
      </c>
      <c r="O651" s="8" t="s">
        <v>208</v>
      </c>
      <c r="Q651" t="s">
        <v>2977</v>
      </c>
      <c r="R651" t="s">
        <v>2978</v>
      </c>
      <c r="U651" t="s">
        <v>2979</v>
      </c>
      <c r="V651" t="s">
        <v>662</v>
      </c>
      <c r="W651" t="s">
        <v>298</v>
      </c>
      <c r="Y651" t="s">
        <v>299</v>
      </c>
      <c r="AA651" t="s">
        <v>663</v>
      </c>
      <c r="AB651" t="s">
        <v>312</v>
      </c>
      <c r="AD651" t="s">
        <v>216</v>
      </c>
      <c r="AE651" t="s">
        <v>663</v>
      </c>
      <c r="AG651" s="8" t="s">
        <v>218</v>
      </c>
      <c r="AH651" t="s">
        <v>302</v>
      </c>
      <c r="AI651" s="9" t="s">
        <v>218</v>
      </c>
      <c r="AJ651" s="8" t="s">
        <v>221</v>
      </c>
      <c r="AK651" t="s">
        <v>2954</v>
      </c>
      <c r="AL651" s="9" t="s">
        <v>218</v>
      </c>
      <c r="AM651" s="8" t="s">
        <v>221</v>
      </c>
      <c r="AN651" s="8" t="s">
        <v>221</v>
      </c>
      <c r="AO651" s="8" t="s">
        <v>222</v>
      </c>
      <c r="AP651" s="8">
        <v>0</v>
      </c>
      <c r="AQ651" s="8">
        <v>0</v>
      </c>
      <c r="AR651" s="8">
        <v>0</v>
      </c>
      <c r="AS651" s="8">
        <v>0</v>
      </c>
      <c r="AT651" s="8">
        <v>0</v>
      </c>
      <c r="AU651" s="8">
        <v>0</v>
      </c>
      <c r="AV651" s="8">
        <v>0</v>
      </c>
      <c r="AW651" s="8">
        <v>0</v>
      </c>
      <c r="AX651" s="8"/>
      <c r="AY651" s="8"/>
      <c r="AZ651">
        <v>0</v>
      </c>
    </row>
    <row r="652" spans="1:52">
      <c r="A652" s="6">
        <v>45835</v>
      </c>
      <c r="B652" s="7" t="s">
        <v>2980</v>
      </c>
      <c r="C652" t="s">
        <v>308</v>
      </c>
      <c r="D652" t="s">
        <v>2779</v>
      </c>
      <c r="E652" t="s">
        <v>2779</v>
      </c>
      <c r="F652" t="s">
        <v>2780</v>
      </c>
      <c r="G652" t="s">
        <v>2781</v>
      </c>
      <c r="H652" s="8" t="s">
        <v>208</v>
      </c>
      <c r="I652" s="8" t="s">
        <v>208</v>
      </c>
      <c r="J652" s="8" t="s">
        <v>208</v>
      </c>
      <c r="K652" s="8" t="s">
        <v>208</v>
      </c>
      <c r="L652" s="8" t="s">
        <v>208</v>
      </c>
      <c r="M652" s="8" t="s">
        <v>208</v>
      </c>
      <c r="N652" s="8" t="s">
        <v>208</v>
      </c>
      <c r="O652" s="8" t="s">
        <v>208</v>
      </c>
      <c r="Q652" t="s">
        <v>2981</v>
      </c>
      <c r="R652" t="s">
        <v>2982</v>
      </c>
      <c r="U652" t="s">
        <v>2983</v>
      </c>
      <c r="V652" t="s">
        <v>662</v>
      </c>
      <c r="W652" t="s">
        <v>298</v>
      </c>
      <c r="Y652" t="s">
        <v>299</v>
      </c>
      <c r="AA652" t="s">
        <v>663</v>
      </c>
      <c r="AB652" t="s">
        <v>312</v>
      </c>
      <c r="AD652" t="s">
        <v>216</v>
      </c>
      <c r="AE652" t="s">
        <v>663</v>
      </c>
      <c r="AG652" s="8" t="s">
        <v>218</v>
      </c>
      <c r="AH652" t="s">
        <v>302</v>
      </c>
      <c r="AI652" s="9" t="s">
        <v>218</v>
      </c>
      <c r="AJ652" s="8" t="s">
        <v>221</v>
      </c>
      <c r="AK652" t="s">
        <v>243</v>
      </c>
      <c r="AL652" s="9" t="s">
        <v>218</v>
      </c>
      <c r="AM652" s="8" t="s">
        <v>221</v>
      </c>
      <c r="AN652" s="8" t="s">
        <v>221</v>
      </c>
      <c r="AO652" s="8" t="s">
        <v>222</v>
      </c>
      <c r="AP652" s="8">
        <v>0</v>
      </c>
      <c r="AQ652" s="8">
        <v>0</v>
      </c>
      <c r="AR652" s="8">
        <v>0</v>
      </c>
      <c r="AS652" s="8">
        <v>0</v>
      </c>
      <c r="AT652" s="8">
        <v>0</v>
      </c>
      <c r="AU652" s="8">
        <v>0</v>
      </c>
      <c r="AV652" s="8">
        <v>0</v>
      </c>
      <c r="AW652" s="8">
        <v>0</v>
      </c>
      <c r="AX652" s="8"/>
      <c r="AY652" s="8"/>
      <c r="AZ652">
        <v>0</v>
      </c>
    </row>
    <row r="653" spans="1:52">
      <c r="A653" s="6">
        <v>45835</v>
      </c>
      <c r="B653" s="7" t="s">
        <v>2984</v>
      </c>
      <c r="C653" t="s">
        <v>308</v>
      </c>
      <c r="D653" t="s">
        <v>2779</v>
      </c>
      <c r="E653" t="s">
        <v>2779</v>
      </c>
      <c r="F653" t="s">
        <v>2780</v>
      </c>
      <c r="G653" t="s">
        <v>2781</v>
      </c>
      <c r="H653" s="8" t="s">
        <v>208</v>
      </c>
      <c r="I653" s="8" t="s">
        <v>208</v>
      </c>
      <c r="J653" s="8" t="s">
        <v>208</v>
      </c>
      <c r="K653" s="8" t="s">
        <v>208</v>
      </c>
      <c r="L653" s="8" t="s">
        <v>208</v>
      </c>
      <c r="M653" s="8" t="s">
        <v>208</v>
      </c>
      <c r="N653" s="8" t="s">
        <v>208</v>
      </c>
      <c r="O653" s="8" t="s">
        <v>208</v>
      </c>
      <c r="Q653" t="s">
        <v>2985</v>
      </c>
      <c r="R653" t="s">
        <v>2986</v>
      </c>
      <c r="U653" t="s">
        <v>2962</v>
      </c>
      <c r="V653" t="s">
        <v>662</v>
      </c>
      <c r="W653" t="s">
        <v>298</v>
      </c>
      <c r="Y653" t="s">
        <v>299</v>
      </c>
      <c r="AA653" t="s">
        <v>663</v>
      </c>
      <c r="AB653" t="s">
        <v>312</v>
      </c>
      <c r="AD653" t="s">
        <v>216</v>
      </c>
      <c r="AE653" t="s">
        <v>663</v>
      </c>
      <c r="AG653" s="8" t="s">
        <v>218</v>
      </c>
      <c r="AH653" t="s">
        <v>302</v>
      </c>
      <c r="AI653" s="9" t="s">
        <v>218</v>
      </c>
      <c r="AJ653" s="8" t="s">
        <v>221</v>
      </c>
      <c r="AK653" t="s">
        <v>2949</v>
      </c>
      <c r="AL653" s="9" t="s">
        <v>218</v>
      </c>
      <c r="AM653" s="8" t="s">
        <v>221</v>
      </c>
      <c r="AN653" s="8" t="s">
        <v>221</v>
      </c>
      <c r="AO653" s="8" t="s">
        <v>222</v>
      </c>
      <c r="AP653" s="8">
        <v>0</v>
      </c>
      <c r="AQ653" s="8">
        <v>0</v>
      </c>
      <c r="AR653" s="8">
        <v>0</v>
      </c>
      <c r="AS653" s="8">
        <v>0</v>
      </c>
      <c r="AT653" s="8">
        <v>0</v>
      </c>
      <c r="AU653" s="8">
        <v>0</v>
      </c>
      <c r="AV653" s="8">
        <v>0</v>
      </c>
      <c r="AW653" s="8">
        <v>0</v>
      </c>
      <c r="AX653" s="8"/>
      <c r="AY653" s="8"/>
      <c r="AZ653">
        <v>0</v>
      </c>
    </row>
    <row r="654" spans="1:52">
      <c r="A654" s="6">
        <v>45835</v>
      </c>
      <c r="B654" s="7" t="s">
        <v>2987</v>
      </c>
      <c r="C654" t="s">
        <v>308</v>
      </c>
      <c r="D654" t="s">
        <v>2779</v>
      </c>
      <c r="E654" t="s">
        <v>2779</v>
      </c>
      <c r="F654" t="s">
        <v>2780</v>
      </c>
      <c r="G654" t="s">
        <v>2781</v>
      </c>
      <c r="H654" s="8" t="s">
        <v>208</v>
      </c>
      <c r="I654" s="8" t="s">
        <v>208</v>
      </c>
      <c r="J654" s="8" t="s">
        <v>208</v>
      </c>
      <c r="K654" s="8" t="s">
        <v>208</v>
      </c>
      <c r="L654" s="8" t="s">
        <v>208</v>
      </c>
      <c r="M654" s="8" t="s">
        <v>208</v>
      </c>
      <c r="N654" s="8" t="s">
        <v>208</v>
      </c>
      <c r="O654" s="8" t="s">
        <v>208</v>
      </c>
      <c r="Q654" t="s">
        <v>2988</v>
      </c>
      <c r="R654" t="s">
        <v>2989</v>
      </c>
      <c r="U654" t="s">
        <v>2979</v>
      </c>
      <c r="V654" t="s">
        <v>662</v>
      </c>
      <c r="W654" t="s">
        <v>298</v>
      </c>
      <c r="Y654" t="s">
        <v>299</v>
      </c>
      <c r="AA654" t="s">
        <v>663</v>
      </c>
      <c r="AB654" t="s">
        <v>312</v>
      </c>
      <c r="AD654" t="s">
        <v>216</v>
      </c>
      <c r="AE654" t="s">
        <v>663</v>
      </c>
      <c r="AG654" s="8" t="s">
        <v>218</v>
      </c>
      <c r="AH654" t="s">
        <v>302</v>
      </c>
      <c r="AI654" s="9" t="s">
        <v>218</v>
      </c>
      <c r="AJ654" s="8" t="s">
        <v>221</v>
      </c>
      <c r="AK654" t="s">
        <v>2954</v>
      </c>
      <c r="AL654" s="9" t="s">
        <v>218</v>
      </c>
      <c r="AM654" s="8" t="s">
        <v>221</v>
      </c>
      <c r="AN654" s="8" t="s">
        <v>221</v>
      </c>
      <c r="AO654" s="8" t="s">
        <v>222</v>
      </c>
      <c r="AP654" s="8">
        <v>0</v>
      </c>
      <c r="AQ654" s="8">
        <v>0</v>
      </c>
      <c r="AR654" s="8">
        <v>0</v>
      </c>
      <c r="AS654" s="8">
        <v>0</v>
      </c>
      <c r="AT654" s="8">
        <v>0</v>
      </c>
      <c r="AU654" s="8">
        <v>0</v>
      </c>
      <c r="AV654" s="8">
        <v>0</v>
      </c>
      <c r="AW654" s="8">
        <v>0</v>
      </c>
      <c r="AX654" s="8"/>
      <c r="AY654" s="8"/>
      <c r="AZ654">
        <v>0</v>
      </c>
    </row>
    <row r="655" spans="1:52">
      <c r="A655" s="6">
        <v>45835</v>
      </c>
      <c r="B655" s="7" t="s">
        <v>2990</v>
      </c>
      <c r="C655" t="s">
        <v>308</v>
      </c>
      <c r="D655" t="s">
        <v>2779</v>
      </c>
      <c r="E655" t="s">
        <v>2779</v>
      </c>
      <c r="F655" t="s">
        <v>2780</v>
      </c>
      <c r="G655" t="s">
        <v>2781</v>
      </c>
      <c r="H655" s="8" t="s">
        <v>208</v>
      </c>
      <c r="I655" s="8" t="s">
        <v>208</v>
      </c>
      <c r="J655" s="8" t="s">
        <v>208</v>
      </c>
      <c r="K655" s="8" t="s">
        <v>208</v>
      </c>
      <c r="L655" s="8" t="s">
        <v>208</v>
      </c>
      <c r="M655" s="8" t="s">
        <v>208</v>
      </c>
      <c r="N655" s="8" t="s">
        <v>208</v>
      </c>
      <c r="O655" s="8" t="s">
        <v>208</v>
      </c>
      <c r="Q655" t="s">
        <v>2991</v>
      </c>
      <c r="R655" t="s">
        <v>2992</v>
      </c>
      <c r="U655" t="s">
        <v>2983</v>
      </c>
      <c r="V655" t="s">
        <v>662</v>
      </c>
      <c r="W655" t="s">
        <v>298</v>
      </c>
      <c r="Y655" t="s">
        <v>299</v>
      </c>
      <c r="AA655" t="s">
        <v>663</v>
      </c>
      <c r="AB655" t="s">
        <v>312</v>
      </c>
      <c r="AD655" t="s">
        <v>216</v>
      </c>
      <c r="AE655" t="s">
        <v>663</v>
      </c>
      <c r="AG655" s="8" t="s">
        <v>218</v>
      </c>
      <c r="AH655" t="s">
        <v>302</v>
      </c>
      <c r="AI655" s="9" t="s">
        <v>218</v>
      </c>
      <c r="AJ655" s="8" t="s">
        <v>221</v>
      </c>
      <c r="AK655" t="s">
        <v>243</v>
      </c>
      <c r="AL655" s="9" t="s">
        <v>218</v>
      </c>
      <c r="AM655" s="8" t="s">
        <v>221</v>
      </c>
      <c r="AN655" s="8" t="s">
        <v>221</v>
      </c>
      <c r="AO655" s="8" t="s">
        <v>222</v>
      </c>
      <c r="AP655" s="8">
        <v>0</v>
      </c>
      <c r="AQ655" s="8">
        <v>0</v>
      </c>
      <c r="AR655" s="8">
        <v>0</v>
      </c>
      <c r="AS655" s="8">
        <v>0</v>
      </c>
      <c r="AT655" s="8">
        <v>0</v>
      </c>
      <c r="AU655" s="8">
        <v>0</v>
      </c>
      <c r="AV655" s="8">
        <v>0</v>
      </c>
      <c r="AW655" s="8">
        <v>0</v>
      </c>
      <c r="AX655" s="8"/>
      <c r="AY655" s="8"/>
      <c r="AZ655">
        <v>0</v>
      </c>
    </row>
    <row r="656" spans="1:52">
      <c r="A656" s="6">
        <v>45835</v>
      </c>
      <c r="B656" s="7" t="s">
        <v>2993</v>
      </c>
      <c r="C656" t="s">
        <v>668</v>
      </c>
      <c r="D656" t="s">
        <v>2779</v>
      </c>
      <c r="E656" t="s">
        <v>2779</v>
      </c>
      <c r="F656" t="s">
        <v>2780</v>
      </c>
      <c r="G656" t="s">
        <v>2781</v>
      </c>
      <c r="H656" s="8" t="s">
        <v>208</v>
      </c>
      <c r="I656" s="8" t="s">
        <v>208</v>
      </c>
      <c r="J656" s="8" t="s">
        <v>208</v>
      </c>
      <c r="K656" s="8" t="s">
        <v>208</v>
      </c>
      <c r="L656" s="8" t="s">
        <v>208</v>
      </c>
      <c r="M656" s="8" t="s">
        <v>208</v>
      </c>
      <c r="N656" s="8" t="s">
        <v>208</v>
      </c>
      <c r="O656" s="8" t="s">
        <v>208</v>
      </c>
      <c r="Q656" t="s">
        <v>2994</v>
      </c>
      <c r="R656" t="s">
        <v>2995</v>
      </c>
      <c r="U656" t="s">
        <v>2996</v>
      </c>
      <c r="V656" t="s">
        <v>1146</v>
      </c>
      <c r="W656" t="s">
        <v>212</v>
      </c>
      <c r="Y656" t="s">
        <v>213</v>
      </c>
      <c r="AA656" t="s">
        <v>214</v>
      </c>
      <c r="AB656" t="s">
        <v>242</v>
      </c>
      <c r="AD656" t="s">
        <v>216</v>
      </c>
      <c r="AE656" t="s">
        <v>2121</v>
      </c>
      <c r="AG656" s="8" t="s">
        <v>218</v>
      </c>
      <c r="AH656" t="s">
        <v>219</v>
      </c>
      <c r="AI656" s="9" t="s">
        <v>218</v>
      </c>
      <c r="AJ656" s="9" t="s">
        <v>218</v>
      </c>
      <c r="AK656" t="s">
        <v>2299</v>
      </c>
      <c r="AL656" s="9" t="s">
        <v>218</v>
      </c>
      <c r="AM656" s="8" t="s">
        <v>221</v>
      </c>
      <c r="AN656" s="8" t="s">
        <v>221</v>
      </c>
      <c r="AO656" s="8" t="s">
        <v>222</v>
      </c>
      <c r="AP656" s="8">
        <v>0</v>
      </c>
      <c r="AQ656" s="8">
        <v>0</v>
      </c>
      <c r="AR656" s="8">
        <v>0</v>
      </c>
      <c r="AS656" s="8">
        <v>0</v>
      </c>
      <c r="AT656" s="8">
        <v>0</v>
      </c>
      <c r="AU656" s="8">
        <v>0</v>
      </c>
      <c r="AV656" s="8">
        <v>0</v>
      </c>
      <c r="AW656" s="8">
        <v>0</v>
      </c>
      <c r="AX656" s="8"/>
      <c r="AY656" s="8"/>
      <c r="AZ656">
        <v>0</v>
      </c>
    </row>
    <row r="657" spans="1:54">
      <c r="A657" s="6">
        <v>45835</v>
      </c>
      <c r="B657" s="7" t="s">
        <v>2997</v>
      </c>
      <c r="C657" t="s">
        <v>668</v>
      </c>
      <c r="D657" t="s">
        <v>2779</v>
      </c>
      <c r="E657" t="s">
        <v>2779</v>
      </c>
      <c r="F657" t="s">
        <v>2780</v>
      </c>
      <c r="G657" t="s">
        <v>2781</v>
      </c>
      <c r="H657" s="8" t="s">
        <v>208</v>
      </c>
      <c r="I657" s="8" t="s">
        <v>208</v>
      </c>
      <c r="J657" s="8" t="s">
        <v>208</v>
      </c>
      <c r="K657" s="8" t="s">
        <v>208</v>
      </c>
      <c r="L657" s="8" t="s">
        <v>208</v>
      </c>
      <c r="M657" s="8" t="s">
        <v>208</v>
      </c>
      <c r="N657" s="8" t="s">
        <v>208</v>
      </c>
      <c r="O657" s="8" t="s">
        <v>208</v>
      </c>
      <c r="Q657" t="s">
        <v>2998</v>
      </c>
      <c r="R657" t="s">
        <v>2999</v>
      </c>
      <c r="U657" t="s">
        <v>3000</v>
      </c>
      <c r="V657" t="s">
        <v>140</v>
      </c>
      <c r="W657" t="s">
        <v>212</v>
      </c>
      <c r="X657" t="s">
        <v>212</v>
      </c>
      <c r="Y657" t="s">
        <v>213</v>
      </c>
      <c r="Z657" t="s">
        <v>213</v>
      </c>
      <c r="AA657" t="s">
        <v>214</v>
      </c>
      <c r="AB657" t="s">
        <v>701</v>
      </c>
      <c r="AC657" t="s">
        <v>242</v>
      </c>
      <c r="AD657" t="s">
        <v>216</v>
      </c>
      <c r="AE657" t="s">
        <v>11</v>
      </c>
      <c r="AG657" s="8" t="s">
        <v>218</v>
      </c>
      <c r="AH657" t="s">
        <v>219</v>
      </c>
      <c r="AI657" s="9" t="s">
        <v>218</v>
      </c>
      <c r="AJ657" s="9" t="s">
        <v>218</v>
      </c>
      <c r="AK657" t="s">
        <v>234</v>
      </c>
      <c r="AL657" s="9" t="s">
        <v>218</v>
      </c>
      <c r="AM657" s="8" t="s">
        <v>221</v>
      </c>
      <c r="AN657" s="8" t="s">
        <v>221</v>
      </c>
      <c r="AO657" s="8" t="s">
        <v>222</v>
      </c>
      <c r="AP657" s="8">
        <v>0</v>
      </c>
      <c r="AQ657" s="8">
        <v>0</v>
      </c>
      <c r="AR657" s="8">
        <v>0</v>
      </c>
      <c r="AS657" s="8">
        <v>0</v>
      </c>
      <c r="AT657" s="8">
        <v>0</v>
      </c>
      <c r="AU657" s="8">
        <v>0</v>
      </c>
      <c r="AV657" s="8">
        <v>0</v>
      </c>
      <c r="AW657" s="8">
        <v>0</v>
      </c>
      <c r="AX657" s="8"/>
      <c r="AY657" s="8"/>
      <c r="AZ657">
        <v>3</v>
      </c>
      <c r="BA657" t="s">
        <v>3001</v>
      </c>
      <c r="BB657" t="s">
        <v>3002</v>
      </c>
    </row>
    <row r="658" spans="1:54">
      <c r="A658" s="6">
        <v>45835</v>
      </c>
      <c r="B658" s="7" t="s">
        <v>3003</v>
      </c>
      <c r="C658" t="s">
        <v>668</v>
      </c>
      <c r="D658" t="s">
        <v>2779</v>
      </c>
      <c r="E658" t="s">
        <v>2779</v>
      </c>
      <c r="F658" t="s">
        <v>2780</v>
      </c>
      <c r="G658" t="s">
        <v>2781</v>
      </c>
      <c r="H658" s="8" t="s">
        <v>208</v>
      </c>
      <c r="I658" s="8" t="s">
        <v>208</v>
      </c>
      <c r="J658" s="8" t="s">
        <v>208</v>
      </c>
      <c r="K658" s="8" t="s">
        <v>208</v>
      </c>
      <c r="L658" s="8" t="s">
        <v>208</v>
      </c>
      <c r="M658" s="8" t="s">
        <v>208</v>
      </c>
      <c r="N658" s="8" t="s">
        <v>208</v>
      </c>
      <c r="O658" s="8" t="s">
        <v>208</v>
      </c>
      <c r="Q658" t="s">
        <v>3004</v>
      </c>
      <c r="R658" t="s">
        <v>3005</v>
      </c>
      <c r="U658" t="s">
        <v>3006</v>
      </c>
      <c r="V658" t="s">
        <v>2871</v>
      </c>
      <c r="W658" t="s">
        <v>212</v>
      </c>
      <c r="X658" t="s">
        <v>212</v>
      </c>
      <c r="Y658" t="s">
        <v>213</v>
      </c>
      <c r="Z658" t="s">
        <v>213</v>
      </c>
      <c r="AA658" t="s">
        <v>645</v>
      </c>
      <c r="AB658" t="s">
        <v>215</v>
      </c>
      <c r="AC658" t="s">
        <v>701</v>
      </c>
      <c r="AD658" t="s">
        <v>216</v>
      </c>
      <c r="AE658" t="s">
        <v>11</v>
      </c>
      <c r="AG658" s="8" t="s">
        <v>218</v>
      </c>
      <c r="AH658" t="s">
        <v>219</v>
      </c>
      <c r="AI658" s="9" t="s">
        <v>218</v>
      </c>
      <c r="AJ658" s="9" t="s">
        <v>218</v>
      </c>
      <c r="AK658" t="s">
        <v>234</v>
      </c>
      <c r="AL658" s="9" t="s">
        <v>218</v>
      </c>
      <c r="AM658" s="8" t="s">
        <v>221</v>
      </c>
      <c r="AN658" s="8" t="s">
        <v>221</v>
      </c>
      <c r="AO658" s="8" t="s">
        <v>222</v>
      </c>
      <c r="AP658" s="8">
        <v>0</v>
      </c>
      <c r="AQ658" s="8">
        <v>0</v>
      </c>
      <c r="AR658" s="8">
        <v>0</v>
      </c>
      <c r="AS658" s="8">
        <v>0</v>
      </c>
      <c r="AT658" s="8">
        <v>0</v>
      </c>
      <c r="AU658" s="8">
        <v>0</v>
      </c>
      <c r="AV658" s="8">
        <v>0</v>
      </c>
      <c r="AW658" s="8">
        <v>0</v>
      </c>
      <c r="AX658" s="8"/>
      <c r="AY658" s="8"/>
      <c r="AZ658">
        <v>7</v>
      </c>
      <c r="BA658" t="s">
        <v>3007</v>
      </c>
      <c r="BB658" t="s">
        <v>3008</v>
      </c>
    </row>
    <row r="659" spans="1:54">
      <c r="A659" s="6">
        <v>45835</v>
      </c>
      <c r="B659" s="7" t="s">
        <v>3009</v>
      </c>
      <c r="C659" t="s">
        <v>668</v>
      </c>
      <c r="D659" t="s">
        <v>2779</v>
      </c>
      <c r="E659" t="s">
        <v>2779</v>
      </c>
      <c r="F659" t="s">
        <v>2780</v>
      </c>
      <c r="G659" t="s">
        <v>2781</v>
      </c>
      <c r="H659" s="8" t="s">
        <v>208</v>
      </c>
      <c r="I659" s="8" t="s">
        <v>208</v>
      </c>
      <c r="J659" s="8" t="s">
        <v>208</v>
      </c>
      <c r="K659" s="8" t="s">
        <v>208</v>
      </c>
      <c r="L659" s="8" t="s">
        <v>208</v>
      </c>
      <c r="M659" s="8" t="s">
        <v>208</v>
      </c>
      <c r="N659" s="8" t="s">
        <v>208</v>
      </c>
      <c r="O659" s="8" t="s">
        <v>208</v>
      </c>
      <c r="Q659" t="s">
        <v>3010</v>
      </c>
      <c r="R659" t="s">
        <v>3011</v>
      </c>
      <c r="U659" t="s">
        <v>3012</v>
      </c>
      <c r="V659" t="s">
        <v>135</v>
      </c>
      <c r="W659" t="s">
        <v>212</v>
      </c>
      <c r="X659" t="s">
        <v>212</v>
      </c>
      <c r="Y659" t="s">
        <v>213</v>
      </c>
      <c r="Z659" t="s">
        <v>213</v>
      </c>
      <c r="AA659" t="s">
        <v>214</v>
      </c>
      <c r="AB659" t="s">
        <v>1336</v>
      </c>
      <c r="AC659" t="s">
        <v>758</v>
      </c>
      <c r="AD659" t="s">
        <v>216</v>
      </c>
      <c r="AE659" t="s">
        <v>2121</v>
      </c>
      <c r="AG659" s="8" t="s">
        <v>218</v>
      </c>
      <c r="AH659" t="s">
        <v>219</v>
      </c>
      <c r="AI659" s="9" t="s">
        <v>218</v>
      </c>
      <c r="AJ659" s="9" t="s">
        <v>218</v>
      </c>
      <c r="AK659" t="s">
        <v>234</v>
      </c>
      <c r="AL659" s="9" t="s">
        <v>218</v>
      </c>
      <c r="AM659" s="8" t="s">
        <v>221</v>
      </c>
      <c r="AN659" s="8" t="s">
        <v>221</v>
      </c>
      <c r="AO659" s="8" t="s">
        <v>222</v>
      </c>
      <c r="AP659" s="8">
        <v>0</v>
      </c>
      <c r="AQ659" s="8">
        <v>0</v>
      </c>
      <c r="AR659" s="9">
        <v>35</v>
      </c>
      <c r="AS659" s="8">
        <v>0</v>
      </c>
      <c r="AT659" s="8">
        <v>0</v>
      </c>
      <c r="AU659" s="8">
        <v>0</v>
      </c>
      <c r="AV659" s="8">
        <v>0</v>
      </c>
      <c r="AW659" s="9">
        <v>35</v>
      </c>
      <c r="AX659" s="8"/>
      <c r="AY659" s="8"/>
      <c r="AZ659">
        <v>3</v>
      </c>
      <c r="BA659" t="s">
        <v>3013</v>
      </c>
      <c r="BB659" t="s">
        <v>3014</v>
      </c>
    </row>
    <row r="660" spans="1:54">
      <c r="A660" s="6">
        <v>45835</v>
      </c>
      <c r="B660" s="7" t="s">
        <v>3015</v>
      </c>
      <c r="C660" t="s">
        <v>387</v>
      </c>
      <c r="D660" t="s">
        <v>2779</v>
      </c>
      <c r="E660" t="s">
        <v>2779</v>
      </c>
      <c r="F660" t="s">
        <v>2780</v>
      </c>
      <c r="G660" t="s">
        <v>2781</v>
      </c>
      <c r="H660" s="8" t="s">
        <v>208</v>
      </c>
      <c r="I660" s="8" t="s">
        <v>208</v>
      </c>
      <c r="J660" s="8" t="s">
        <v>208</v>
      </c>
      <c r="K660" s="8" t="s">
        <v>208</v>
      </c>
      <c r="L660" s="8" t="s">
        <v>208</v>
      </c>
      <c r="M660" s="8" t="s">
        <v>208</v>
      </c>
      <c r="N660" s="8" t="s">
        <v>208</v>
      </c>
      <c r="O660" s="8" t="s">
        <v>208</v>
      </c>
      <c r="Q660" t="s">
        <v>3016</v>
      </c>
      <c r="R660" t="s">
        <v>3017</v>
      </c>
      <c r="U660" t="s">
        <v>3018</v>
      </c>
      <c r="V660" t="s">
        <v>83</v>
      </c>
      <c r="W660" t="s">
        <v>298</v>
      </c>
      <c r="X660" t="s">
        <v>298</v>
      </c>
      <c r="Y660" t="s">
        <v>299</v>
      </c>
      <c r="Z660" t="s">
        <v>299</v>
      </c>
      <c r="AA660" t="s">
        <v>732</v>
      </c>
      <c r="AB660" t="s">
        <v>465</v>
      </c>
      <c r="AC660" t="s">
        <v>301</v>
      </c>
      <c r="AD660" t="s">
        <v>216</v>
      </c>
      <c r="AE660" t="s">
        <v>732</v>
      </c>
      <c r="AG660" s="8" t="s">
        <v>218</v>
      </c>
      <c r="AH660" t="s">
        <v>302</v>
      </c>
      <c r="AI660" s="9" t="s">
        <v>218</v>
      </c>
      <c r="AJ660" s="8" t="s">
        <v>221</v>
      </c>
      <c r="AK660" t="s">
        <v>234</v>
      </c>
      <c r="AL660" s="9" t="s">
        <v>218</v>
      </c>
      <c r="AM660" s="8" t="s">
        <v>221</v>
      </c>
      <c r="AN660" s="8" t="s">
        <v>221</v>
      </c>
      <c r="AO660" s="8" t="s">
        <v>222</v>
      </c>
      <c r="AP660" s="8">
        <v>0</v>
      </c>
      <c r="AQ660" s="8">
        <v>0</v>
      </c>
      <c r="AR660" s="9">
        <v>13</v>
      </c>
      <c r="AS660" s="8">
        <v>0</v>
      </c>
      <c r="AT660" s="8">
        <v>0</v>
      </c>
      <c r="AU660" s="8">
        <v>0</v>
      </c>
      <c r="AV660" s="8">
        <v>0</v>
      </c>
      <c r="AW660" s="9">
        <v>13</v>
      </c>
      <c r="AX660" s="8"/>
      <c r="AY660" s="8"/>
      <c r="AZ660">
        <v>3</v>
      </c>
      <c r="BA660" t="s">
        <v>2793</v>
      </c>
      <c r="BB660" t="s">
        <v>3019</v>
      </c>
    </row>
    <row r="661" spans="1:54">
      <c r="A661" s="6">
        <v>45835</v>
      </c>
      <c r="B661" s="7" t="s">
        <v>1422</v>
      </c>
      <c r="C661" t="s">
        <v>668</v>
      </c>
      <c r="D661" t="s">
        <v>2779</v>
      </c>
      <c r="E661" t="s">
        <v>2779</v>
      </c>
      <c r="F661" t="s">
        <v>2780</v>
      </c>
      <c r="G661" t="s">
        <v>2781</v>
      </c>
      <c r="H661" s="8" t="s">
        <v>208</v>
      </c>
      <c r="I661" s="8" t="s">
        <v>208</v>
      </c>
      <c r="J661" s="8" t="s">
        <v>208</v>
      </c>
      <c r="K661" s="8" t="s">
        <v>208</v>
      </c>
      <c r="L661" s="8" t="s">
        <v>208</v>
      </c>
      <c r="M661" s="8" t="s">
        <v>208</v>
      </c>
      <c r="N661" s="8" t="s">
        <v>208</v>
      </c>
      <c r="O661" s="8" t="s">
        <v>208</v>
      </c>
      <c r="Q661" t="s">
        <v>1423</v>
      </c>
      <c r="R661" t="s">
        <v>1424</v>
      </c>
      <c r="U661" t="s">
        <v>1425</v>
      </c>
      <c r="V661" t="s">
        <v>140</v>
      </c>
      <c r="W661" t="s">
        <v>212</v>
      </c>
      <c r="X661" t="s">
        <v>212</v>
      </c>
      <c r="Y661" t="s">
        <v>213</v>
      </c>
      <c r="Z661" t="s">
        <v>213</v>
      </c>
      <c r="AA661" t="s">
        <v>214</v>
      </c>
      <c r="AB661" t="s">
        <v>2501</v>
      </c>
      <c r="AC661" t="s">
        <v>832</v>
      </c>
      <c r="AD661" t="s">
        <v>216</v>
      </c>
      <c r="AE661" t="s">
        <v>217</v>
      </c>
      <c r="AG661" s="8" t="s">
        <v>218</v>
      </c>
      <c r="AH661" t="s">
        <v>219</v>
      </c>
      <c r="AI661" s="9" t="s">
        <v>218</v>
      </c>
      <c r="AJ661" s="9" t="s">
        <v>218</v>
      </c>
      <c r="AK661" t="s">
        <v>234</v>
      </c>
      <c r="AL661" s="9" t="s">
        <v>218</v>
      </c>
      <c r="AM661" s="8" t="s">
        <v>221</v>
      </c>
      <c r="AN661" s="8" t="s">
        <v>221</v>
      </c>
      <c r="AO661" s="8" t="s">
        <v>222</v>
      </c>
      <c r="AP661" s="8">
        <v>0</v>
      </c>
      <c r="AQ661" s="8">
        <v>0</v>
      </c>
      <c r="AR661" s="9">
        <v>138</v>
      </c>
      <c r="AS661" s="8">
        <v>0</v>
      </c>
      <c r="AT661" s="8">
        <v>0</v>
      </c>
      <c r="AU661" s="8">
        <v>0</v>
      </c>
      <c r="AV661" s="8">
        <v>0</v>
      </c>
      <c r="AW661" s="9">
        <v>138</v>
      </c>
      <c r="AX661" s="8"/>
      <c r="AY661" s="9" t="s">
        <v>1426</v>
      </c>
      <c r="AZ661">
        <v>3</v>
      </c>
      <c r="BA661" t="s">
        <v>3020</v>
      </c>
      <c r="BB661" t="s">
        <v>1428</v>
      </c>
    </row>
    <row r="662" spans="1:54">
      <c r="A662" s="6">
        <v>45835</v>
      </c>
      <c r="B662" s="7" t="s">
        <v>271</v>
      </c>
      <c r="C662" t="s">
        <v>668</v>
      </c>
      <c r="D662" t="s">
        <v>2779</v>
      </c>
      <c r="E662" t="s">
        <v>2779</v>
      </c>
      <c r="F662" t="s">
        <v>2780</v>
      </c>
      <c r="G662" t="s">
        <v>2781</v>
      </c>
      <c r="H662" s="8" t="s">
        <v>208</v>
      </c>
      <c r="I662" s="8" t="s">
        <v>208</v>
      </c>
      <c r="J662" s="8" t="s">
        <v>208</v>
      </c>
      <c r="K662" s="8" t="s">
        <v>208</v>
      </c>
      <c r="L662" s="8" t="s">
        <v>208</v>
      </c>
      <c r="M662" s="8" t="s">
        <v>208</v>
      </c>
      <c r="N662" s="8" t="s">
        <v>208</v>
      </c>
      <c r="O662" s="8" t="s">
        <v>208</v>
      </c>
      <c r="Q662" t="s">
        <v>272</v>
      </c>
      <c r="R662" t="s">
        <v>273</v>
      </c>
      <c r="U662" t="s">
        <v>274</v>
      </c>
      <c r="V662" t="s">
        <v>140</v>
      </c>
      <c r="W662" t="s">
        <v>212</v>
      </c>
      <c r="X662" t="s">
        <v>212</v>
      </c>
      <c r="Y662" t="s">
        <v>213</v>
      </c>
      <c r="Z662" t="s">
        <v>213</v>
      </c>
      <c r="AA662" t="s">
        <v>214</v>
      </c>
      <c r="AB662" t="s">
        <v>672</v>
      </c>
      <c r="AC662" t="s">
        <v>276</v>
      </c>
      <c r="AD662" t="s">
        <v>216</v>
      </c>
      <c r="AE662" t="s">
        <v>217</v>
      </c>
      <c r="AG662" s="8" t="s">
        <v>218</v>
      </c>
      <c r="AH662" t="s">
        <v>219</v>
      </c>
      <c r="AI662" s="9" t="s">
        <v>218</v>
      </c>
      <c r="AJ662" s="9" t="s">
        <v>218</v>
      </c>
      <c r="AK662" t="s">
        <v>234</v>
      </c>
      <c r="AL662" s="9" t="s">
        <v>218</v>
      </c>
      <c r="AM662" s="8" t="s">
        <v>221</v>
      </c>
      <c r="AN662" s="8" t="s">
        <v>221</v>
      </c>
      <c r="AO662" s="8" t="s">
        <v>222</v>
      </c>
      <c r="AP662" s="8">
        <v>0</v>
      </c>
      <c r="AQ662" s="8">
        <v>0</v>
      </c>
      <c r="AR662" s="9">
        <v>73</v>
      </c>
      <c r="AS662" s="8">
        <v>0</v>
      </c>
      <c r="AT662" s="8">
        <v>0</v>
      </c>
      <c r="AU662" s="8">
        <v>0</v>
      </c>
      <c r="AV662" s="8">
        <v>0</v>
      </c>
      <c r="AW662" s="9">
        <v>73</v>
      </c>
      <c r="AX662" s="9" t="s">
        <v>278</v>
      </c>
      <c r="AY662" s="9" t="s">
        <v>2652</v>
      </c>
      <c r="AZ662">
        <v>3</v>
      </c>
      <c r="BA662" t="s">
        <v>3021</v>
      </c>
      <c r="BB662" t="s">
        <v>279</v>
      </c>
    </row>
    <row r="663" spans="1:54">
      <c r="A663" s="6">
        <v>45835</v>
      </c>
      <c r="B663" s="7" t="s">
        <v>3022</v>
      </c>
      <c r="C663" t="s">
        <v>387</v>
      </c>
      <c r="D663" t="s">
        <v>2779</v>
      </c>
      <c r="E663" t="s">
        <v>2779</v>
      </c>
      <c r="F663" t="s">
        <v>2780</v>
      </c>
      <c r="G663" t="s">
        <v>2781</v>
      </c>
      <c r="H663" s="8" t="s">
        <v>208</v>
      </c>
      <c r="I663" s="8" t="s">
        <v>208</v>
      </c>
      <c r="J663" s="8" t="s">
        <v>208</v>
      </c>
      <c r="K663" s="8" t="s">
        <v>208</v>
      </c>
      <c r="L663" s="8" t="s">
        <v>208</v>
      </c>
      <c r="M663" s="8" t="s">
        <v>208</v>
      </c>
      <c r="N663" s="8" t="s">
        <v>208</v>
      </c>
      <c r="O663" s="8" t="s">
        <v>208</v>
      </c>
      <c r="Q663" t="s">
        <v>3023</v>
      </c>
      <c r="R663" t="s">
        <v>3024</v>
      </c>
      <c r="U663" t="s">
        <v>3025</v>
      </c>
      <c r="V663" t="s">
        <v>644</v>
      </c>
      <c r="W663" t="s">
        <v>298</v>
      </c>
      <c r="X663" t="s">
        <v>298</v>
      </c>
      <c r="Y663" t="s">
        <v>299</v>
      </c>
      <c r="Z663" t="s">
        <v>299</v>
      </c>
      <c r="AA663" t="s">
        <v>645</v>
      </c>
      <c r="AB663" t="s">
        <v>417</v>
      </c>
      <c r="AC663" t="s">
        <v>603</v>
      </c>
      <c r="AD663" t="s">
        <v>216</v>
      </c>
      <c r="AE663" t="s">
        <v>645</v>
      </c>
      <c r="AG663" s="8" t="s">
        <v>218</v>
      </c>
      <c r="AH663" t="s">
        <v>302</v>
      </c>
      <c r="AI663" s="9" t="s">
        <v>218</v>
      </c>
      <c r="AJ663" s="8" t="s">
        <v>221</v>
      </c>
      <c r="AK663" t="s">
        <v>220</v>
      </c>
      <c r="AL663" s="9" t="s">
        <v>218</v>
      </c>
      <c r="AM663" s="8" t="s">
        <v>221</v>
      </c>
      <c r="AN663" s="8" t="s">
        <v>221</v>
      </c>
      <c r="AO663" s="8" t="s">
        <v>222</v>
      </c>
      <c r="AP663" s="8">
        <v>0</v>
      </c>
      <c r="AQ663" s="8">
        <v>0</v>
      </c>
      <c r="AR663" s="9">
        <v>78</v>
      </c>
      <c r="AS663" s="8">
        <v>0</v>
      </c>
      <c r="AT663" s="8">
        <v>0</v>
      </c>
      <c r="AU663" s="8">
        <v>0</v>
      </c>
      <c r="AV663" s="8">
        <v>0</v>
      </c>
      <c r="AW663" s="9">
        <v>78</v>
      </c>
      <c r="AX663" s="9" t="s">
        <v>3026</v>
      </c>
      <c r="AY663" s="8"/>
      <c r="AZ663">
        <v>3</v>
      </c>
      <c r="BA663" t="s">
        <v>3027</v>
      </c>
      <c r="BB663" t="s">
        <v>3028</v>
      </c>
    </row>
    <row r="664" spans="1:54">
      <c r="A664" s="6">
        <v>45835</v>
      </c>
      <c r="B664" s="7" t="s">
        <v>3029</v>
      </c>
      <c r="C664" t="s">
        <v>387</v>
      </c>
      <c r="D664" t="s">
        <v>2779</v>
      </c>
      <c r="E664" t="s">
        <v>2779</v>
      </c>
      <c r="F664" t="s">
        <v>2780</v>
      </c>
      <c r="G664" t="s">
        <v>2781</v>
      </c>
      <c r="H664" s="8" t="s">
        <v>208</v>
      </c>
      <c r="I664" s="8" t="s">
        <v>208</v>
      </c>
      <c r="J664" s="8" t="s">
        <v>208</v>
      </c>
      <c r="K664" s="8" t="s">
        <v>208</v>
      </c>
      <c r="L664" s="8" t="s">
        <v>208</v>
      </c>
      <c r="M664" s="8" t="s">
        <v>208</v>
      </c>
      <c r="N664" s="8" t="s">
        <v>208</v>
      </c>
      <c r="O664" s="8" t="s">
        <v>208</v>
      </c>
      <c r="Q664" t="s">
        <v>3030</v>
      </c>
      <c r="R664" t="s">
        <v>3031</v>
      </c>
      <c r="U664" t="s">
        <v>3032</v>
      </c>
      <c r="V664" t="s">
        <v>662</v>
      </c>
      <c r="W664" t="s">
        <v>298</v>
      </c>
      <c r="X664" t="s">
        <v>298</v>
      </c>
      <c r="Y664" t="s">
        <v>299</v>
      </c>
      <c r="Z664" t="s">
        <v>299</v>
      </c>
      <c r="AA664" t="s">
        <v>663</v>
      </c>
      <c r="AB664" t="s">
        <v>465</v>
      </c>
      <c r="AC664" t="s">
        <v>301</v>
      </c>
      <c r="AD664" t="s">
        <v>216</v>
      </c>
      <c r="AE664" t="s">
        <v>663</v>
      </c>
      <c r="AG664" s="8" t="s">
        <v>218</v>
      </c>
      <c r="AH664" t="s">
        <v>302</v>
      </c>
      <c r="AI664" s="9" t="s">
        <v>218</v>
      </c>
      <c r="AJ664" s="8" t="s">
        <v>221</v>
      </c>
      <c r="AK664" t="s">
        <v>234</v>
      </c>
      <c r="AL664" s="9" t="s">
        <v>218</v>
      </c>
      <c r="AM664" s="8" t="s">
        <v>221</v>
      </c>
      <c r="AN664" s="8" t="s">
        <v>221</v>
      </c>
      <c r="AO664" s="8" t="s">
        <v>222</v>
      </c>
      <c r="AP664" s="8">
        <v>0</v>
      </c>
      <c r="AQ664" s="8">
        <v>0</v>
      </c>
      <c r="AR664" s="9">
        <v>8</v>
      </c>
      <c r="AS664" s="8">
        <v>0</v>
      </c>
      <c r="AT664" s="8">
        <v>0</v>
      </c>
      <c r="AU664" s="8">
        <v>0</v>
      </c>
      <c r="AV664" s="8">
        <v>0</v>
      </c>
      <c r="AW664" s="9">
        <v>8</v>
      </c>
      <c r="AX664" s="9" t="s">
        <v>3033</v>
      </c>
      <c r="AY664" s="8"/>
      <c r="AZ664">
        <v>3</v>
      </c>
      <c r="BA664" t="s">
        <v>3034</v>
      </c>
      <c r="BB664" t="s">
        <v>3035</v>
      </c>
    </row>
    <row r="665" spans="1:54">
      <c r="A665" s="6">
        <v>45835</v>
      </c>
      <c r="B665" s="7" t="s">
        <v>686</v>
      </c>
      <c r="C665" t="s">
        <v>1821</v>
      </c>
      <c r="D665" t="s">
        <v>2779</v>
      </c>
      <c r="E665" t="s">
        <v>2779</v>
      </c>
      <c r="F665" t="s">
        <v>2780</v>
      </c>
      <c r="G665" t="s">
        <v>2781</v>
      </c>
      <c r="H665" s="8" t="s">
        <v>208</v>
      </c>
      <c r="I665" s="8" t="s">
        <v>208</v>
      </c>
      <c r="J665" s="8" t="s">
        <v>208</v>
      </c>
      <c r="K665" s="8" t="s">
        <v>208</v>
      </c>
      <c r="L665" s="8" t="s">
        <v>208</v>
      </c>
      <c r="M665" s="8" t="s">
        <v>208</v>
      </c>
      <c r="N665" s="8" t="s">
        <v>208</v>
      </c>
      <c r="O665" s="8" t="s">
        <v>208</v>
      </c>
      <c r="Q665" t="s">
        <v>688</v>
      </c>
      <c r="R665" t="s">
        <v>689</v>
      </c>
      <c r="U665" t="s">
        <v>690</v>
      </c>
      <c r="V665" t="s">
        <v>662</v>
      </c>
      <c r="W665" t="s">
        <v>232</v>
      </c>
      <c r="X665" t="s">
        <v>232</v>
      </c>
      <c r="Y665" t="s">
        <v>233</v>
      </c>
      <c r="Z665" t="s">
        <v>233</v>
      </c>
      <c r="AA665" t="s">
        <v>663</v>
      </c>
      <c r="AB665" t="s">
        <v>2553</v>
      </c>
      <c r="AC665" t="s">
        <v>2399</v>
      </c>
      <c r="AD665" t="s">
        <v>216</v>
      </c>
      <c r="AE665" t="s">
        <v>217</v>
      </c>
      <c r="AF665" s="8" t="s">
        <v>1156</v>
      </c>
      <c r="AG665" s="9" t="s">
        <v>221</v>
      </c>
      <c r="AH665" t="s">
        <v>219</v>
      </c>
      <c r="AI665" s="9" t="s">
        <v>218</v>
      </c>
      <c r="AJ665" s="9" t="s">
        <v>218</v>
      </c>
      <c r="AK665" t="s">
        <v>234</v>
      </c>
      <c r="AL665" s="9" t="s">
        <v>218</v>
      </c>
      <c r="AM665" s="8" t="s">
        <v>221</v>
      </c>
      <c r="AN665" s="8" t="s">
        <v>221</v>
      </c>
      <c r="AO665" s="8" t="s">
        <v>222</v>
      </c>
      <c r="AP665" s="8">
        <v>0</v>
      </c>
      <c r="AQ665" s="8">
        <v>0</v>
      </c>
      <c r="AR665" s="9">
        <v>689</v>
      </c>
      <c r="AS665" s="8">
        <v>0</v>
      </c>
      <c r="AT665" s="8">
        <v>0</v>
      </c>
      <c r="AU665" s="8">
        <v>0</v>
      </c>
      <c r="AV665" s="8">
        <v>0</v>
      </c>
      <c r="AW665" s="9">
        <v>689</v>
      </c>
      <c r="AX665" s="9" t="s">
        <v>692</v>
      </c>
      <c r="AY665" s="8"/>
      <c r="AZ665">
        <v>4</v>
      </c>
      <c r="BA665" t="s">
        <v>3036</v>
      </c>
      <c r="BB665" t="s">
        <v>694</v>
      </c>
    </row>
    <row r="666" spans="1:54">
      <c r="A666" s="6">
        <v>45835</v>
      </c>
      <c r="B666" s="7" t="s">
        <v>3037</v>
      </c>
      <c r="C666" t="s">
        <v>387</v>
      </c>
      <c r="D666" t="s">
        <v>2779</v>
      </c>
      <c r="E666" t="s">
        <v>2779</v>
      </c>
      <c r="F666" t="s">
        <v>2780</v>
      </c>
      <c r="G666" t="s">
        <v>2781</v>
      </c>
      <c r="H666" s="8" t="s">
        <v>208</v>
      </c>
      <c r="I666" s="8" t="s">
        <v>208</v>
      </c>
      <c r="J666" s="8" t="s">
        <v>208</v>
      </c>
      <c r="K666" s="8" t="s">
        <v>208</v>
      </c>
      <c r="L666" s="8" t="s">
        <v>208</v>
      </c>
      <c r="M666" s="8" t="s">
        <v>208</v>
      </c>
      <c r="N666" s="8" t="s">
        <v>208</v>
      </c>
      <c r="O666" s="8" t="s">
        <v>208</v>
      </c>
      <c r="Q666" t="s">
        <v>3038</v>
      </c>
      <c r="R666" t="s">
        <v>3039</v>
      </c>
      <c r="U666" t="s">
        <v>3040</v>
      </c>
      <c r="V666" t="s">
        <v>662</v>
      </c>
      <c r="W666" t="s">
        <v>298</v>
      </c>
      <c r="X666" t="s">
        <v>298</v>
      </c>
      <c r="Y666" t="s">
        <v>299</v>
      </c>
      <c r="Z666" t="s">
        <v>299</v>
      </c>
      <c r="AA666" t="s">
        <v>663</v>
      </c>
      <c r="AB666" t="s">
        <v>399</v>
      </c>
      <c r="AC666" t="s">
        <v>1480</v>
      </c>
      <c r="AD666" t="s">
        <v>216</v>
      </c>
      <c r="AE666" t="s">
        <v>663</v>
      </c>
      <c r="AG666" s="8" t="s">
        <v>218</v>
      </c>
      <c r="AH666" t="s">
        <v>302</v>
      </c>
      <c r="AI666" s="9" t="s">
        <v>218</v>
      </c>
      <c r="AJ666" s="8" t="s">
        <v>221</v>
      </c>
      <c r="AK666" t="s">
        <v>234</v>
      </c>
      <c r="AL666" s="9" t="s">
        <v>218</v>
      </c>
      <c r="AM666" s="8" t="s">
        <v>221</v>
      </c>
      <c r="AN666" s="8" t="s">
        <v>221</v>
      </c>
      <c r="AO666" s="8" t="s">
        <v>222</v>
      </c>
      <c r="AP666" s="8">
        <v>0</v>
      </c>
      <c r="AQ666" s="8">
        <v>0</v>
      </c>
      <c r="AR666" s="9">
        <v>72</v>
      </c>
      <c r="AS666" s="8">
        <v>0</v>
      </c>
      <c r="AT666" s="8">
        <v>0</v>
      </c>
      <c r="AU666" s="8">
        <v>0</v>
      </c>
      <c r="AV666" s="8">
        <v>0</v>
      </c>
      <c r="AW666" s="9">
        <v>72</v>
      </c>
      <c r="AX666" s="8"/>
      <c r="AY666" s="8"/>
      <c r="AZ666">
        <v>3</v>
      </c>
      <c r="BA666" t="s">
        <v>3041</v>
      </c>
      <c r="BB666" t="s">
        <v>3042</v>
      </c>
    </row>
    <row r="667" spans="1:54">
      <c r="A667" s="6">
        <v>45835</v>
      </c>
      <c r="B667" s="7" t="s">
        <v>3043</v>
      </c>
      <c r="C667" t="s">
        <v>291</v>
      </c>
      <c r="D667" t="s">
        <v>3044</v>
      </c>
      <c r="E667" t="s">
        <v>1275</v>
      </c>
      <c r="F667" t="s">
        <v>1275</v>
      </c>
      <c r="G667" t="s">
        <v>2781</v>
      </c>
      <c r="H667" s="8" t="s">
        <v>208</v>
      </c>
      <c r="I667" s="8" t="s">
        <v>208</v>
      </c>
      <c r="J667" s="8" t="s">
        <v>208</v>
      </c>
      <c r="K667" s="8" t="s">
        <v>208</v>
      </c>
      <c r="L667" s="8" t="s">
        <v>208</v>
      </c>
      <c r="M667" s="8" t="s">
        <v>208</v>
      </c>
      <c r="N667" s="8" t="s">
        <v>208</v>
      </c>
      <c r="O667" s="8" t="s">
        <v>208</v>
      </c>
      <c r="Q667" t="s">
        <v>3045</v>
      </c>
      <c r="R667" t="s">
        <v>3046</v>
      </c>
      <c r="U667" t="s">
        <v>3047</v>
      </c>
      <c r="V667" t="s">
        <v>3048</v>
      </c>
      <c r="W667" t="s">
        <v>298</v>
      </c>
      <c r="X667" t="s">
        <v>298</v>
      </c>
      <c r="Y667" t="s">
        <v>299</v>
      </c>
      <c r="Z667" t="s">
        <v>299</v>
      </c>
      <c r="AA667" t="s">
        <v>2089</v>
      </c>
      <c r="AB667" t="s">
        <v>301</v>
      </c>
      <c r="AC667" t="s">
        <v>312</v>
      </c>
      <c r="AD667" t="s">
        <v>216</v>
      </c>
      <c r="AE667" t="s">
        <v>2089</v>
      </c>
      <c r="AG667" s="8" t="s">
        <v>218</v>
      </c>
      <c r="AH667" t="s">
        <v>302</v>
      </c>
      <c r="AI667" s="9" t="s">
        <v>218</v>
      </c>
      <c r="AJ667" s="8" t="s">
        <v>221</v>
      </c>
      <c r="AK667" t="s">
        <v>3049</v>
      </c>
      <c r="AL667" s="9" t="s">
        <v>218</v>
      </c>
      <c r="AM667" s="8" t="s">
        <v>221</v>
      </c>
      <c r="AN667" s="8" t="s">
        <v>221</v>
      </c>
      <c r="AO667" s="8" t="s">
        <v>222</v>
      </c>
      <c r="AP667" s="8">
        <v>0</v>
      </c>
      <c r="AQ667" s="8">
        <v>0</v>
      </c>
      <c r="AR667" s="8">
        <v>0</v>
      </c>
      <c r="AS667" s="8">
        <v>0</v>
      </c>
      <c r="AT667" s="8">
        <v>0</v>
      </c>
      <c r="AU667" s="8">
        <v>0</v>
      </c>
      <c r="AV667" s="8">
        <v>0</v>
      </c>
      <c r="AW667" s="8">
        <v>0</v>
      </c>
      <c r="AX667" s="8"/>
      <c r="AY667" s="8"/>
      <c r="AZ667">
        <v>5</v>
      </c>
      <c r="BA667" t="s">
        <v>3050</v>
      </c>
      <c r="BB667" t="s">
        <v>3051</v>
      </c>
    </row>
    <row r="668" spans="1:54">
      <c r="A668" s="6">
        <v>45835</v>
      </c>
      <c r="B668" s="7" t="s">
        <v>3052</v>
      </c>
      <c r="C668" t="s">
        <v>291</v>
      </c>
      <c r="D668" t="s">
        <v>3053</v>
      </c>
      <c r="E668" t="s">
        <v>1275</v>
      </c>
      <c r="F668" t="s">
        <v>1275</v>
      </c>
      <c r="G668" t="s">
        <v>2781</v>
      </c>
      <c r="H668" s="8" t="s">
        <v>208</v>
      </c>
      <c r="I668" s="8" t="s">
        <v>208</v>
      </c>
      <c r="J668" s="8" t="s">
        <v>208</v>
      </c>
      <c r="K668" s="8" t="s">
        <v>208</v>
      </c>
      <c r="L668" s="8" t="s">
        <v>208</v>
      </c>
      <c r="M668" s="8" t="s">
        <v>208</v>
      </c>
      <c r="N668" s="8" t="s">
        <v>208</v>
      </c>
      <c r="O668" s="8" t="s">
        <v>208</v>
      </c>
      <c r="P668" t="s">
        <v>3054</v>
      </c>
      <c r="Q668" t="s">
        <v>3055</v>
      </c>
      <c r="R668" t="s">
        <v>3056</v>
      </c>
      <c r="U668" t="s">
        <v>3057</v>
      </c>
      <c r="V668" t="s">
        <v>3058</v>
      </c>
      <c r="W668" t="s">
        <v>298</v>
      </c>
      <c r="X668" t="s">
        <v>298</v>
      </c>
      <c r="Y668" t="s">
        <v>299</v>
      </c>
      <c r="Z668" t="s">
        <v>299</v>
      </c>
      <c r="AA668" t="s">
        <v>2817</v>
      </c>
      <c r="AB668" t="s">
        <v>465</v>
      </c>
      <c r="AC668" t="s">
        <v>301</v>
      </c>
      <c r="AD668" t="s">
        <v>216</v>
      </c>
      <c r="AE668" t="s">
        <v>2817</v>
      </c>
      <c r="AG668" s="8" t="s">
        <v>218</v>
      </c>
      <c r="AH668" t="s">
        <v>302</v>
      </c>
      <c r="AI668" s="9" t="s">
        <v>218</v>
      </c>
      <c r="AJ668" s="8" t="s">
        <v>221</v>
      </c>
      <c r="AK668" t="s">
        <v>234</v>
      </c>
      <c r="AL668" s="9" t="s">
        <v>218</v>
      </c>
      <c r="AM668" s="8" t="s">
        <v>221</v>
      </c>
      <c r="AN668" s="8" t="s">
        <v>221</v>
      </c>
      <c r="AO668" s="8" t="s">
        <v>222</v>
      </c>
      <c r="AP668" s="8">
        <v>0</v>
      </c>
      <c r="AQ668" s="8">
        <v>0</v>
      </c>
      <c r="AR668" s="9">
        <v>3</v>
      </c>
      <c r="AS668" s="8">
        <v>0</v>
      </c>
      <c r="AT668" s="8">
        <v>0</v>
      </c>
      <c r="AU668" s="8">
        <v>0</v>
      </c>
      <c r="AV668" s="8">
        <v>0</v>
      </c>
      <c r="AW668" s="9">
        <v>3</v>
      </c>
      <c r="AX668" s="9" t="s">
        <v>3059</v>
      </c>
      <c r="AY668" s="8"/>
      <c r="AZ668">
        <v>3</v>
      </c>
      <c r="BA668" t="s">
        <v>3060</v>
      </c>
      <c r="BB668" t="s">
        <v>3061</v>
      </c>
    </row>
    <row r="669" spans="1:54">
      <c r="A669" s="6">
        <v>45835</v>
      </c>
      <c r="B669" s="7" t="s">
        <v>3062</v>
      </c>
      <c r="C669" t="s">
        <v>387</v>
      </c>
      <c r="D669" t="s">
        <v>2779</v>
      </c>
      <c r="E669" t="s">
        <v>2779</v>
      </c>
      <c r="F669" t="s">
        <v>2780</v>
      </c>
      <c r="G669" t="s">
        <v>2781</v>
      </c>
      <c r="H669" s="8" t="s">
        <v>208</v>
      </c>
      <c r="I669" s="8" t="s">
        <v>208</v>
      </c>
      <c r="J669" s="8" t="s">
        <v>208</v>
      </c>
      <c r="K669" s="8" t="s">
        <v>208</v>
      </c>
      <c r="L669" s="8" t="s">
        <v>208</v>
      </c>
      <c r="M669" s="8" t="s">
        <v>208</v>
      </c>
      <c r="N669" s="8" t="s">
        <v>208</v>
      </c>
      <c r="O669" s="8" t="s">
        <v>208</v>
      </c>
      <c r="Q669" t="s">
        <v>3063</v>
      </c>
      <c r="R669" t="s">
        <v>3064</v>
      </c>
      <c r="U669" t="s">
        <v>3065</v>
      </c>
      <c r="V669" t="s">
        <v>662</v>
      </c>
      <c r="W669" t="s">
        <v>298</v>
      </c>
      <c r="X669" t="s">
        <v>298</v>
      </c>
      <c r="Y669" t="s">
        <v>299</v>
      </c>
      <c r="Z669" t="s">
        <v>299</v>
      </c>
      <c r="AA669" t="s">
        <v>663</v>
      </c>
      <c r="AB669" t="s">
        <v>465</v>
      </c>
      <c r="AC669" t="s">
        <v>301</v>
      </c>
      <c r="AD669" t="s">
        <v>216</v>
      </c>
      <c r="AE669" t="s">
        <v>663</v>
      </c>
      <c r="AG669" s="8" t="s">
        <v>218</v>
      </c>
      <c r="AH669" t="s">
        <v>302</v>
      </c>
      <c r="AI669" s="9" t="s">
        <v>218</v>
      </c>
      <c r="AJ669" s="8" t="s">
        <v>221</v>
      </c>
      <c r="AK669" t="s">
        <v>234</v>
      </c>
      <c r="AL669" s="9" t="s">
        <v>218</v>
      </c>
      <c r="AM669" s="8" t="s">
        <v>221</v>
      </c>
      <c r="AN669" s="8" t="s">
        <v>221</v>
      </c>
      <c r="AO669" s="8" t="s">
        <v>222</v>
      </c>
      <c r="AP669" s="8">
        <v>0</v>
      </c>
      <c r="AQ669" s="8">
        <v>0</v>
      </c>
      <c r="AR669" s="9">
        <v>7</v>
      </c>
      <c r="AS669" s="8">
        <v>0</v>
      </c>
      <c r="AT669" s="8">
        <v>0</v>
      </c>
      <c r="AU669" s="8">
        <v>0</v>
      </c>
      <c r="AV669" s="8">
        <v>0</v>
      </c>
      <c r="AW669" s="9">
        <v>7</v>
      </c>
      <c r="AX669" s="9" t="s">
        <v>3066</v>
      </c>
      <c r="AY669" s="8"/>
      <c r="AZ669">
        <v>4</v>
      </c>
      <c r="BA669" t="s">
        <v>3067</v>
      </c>
      <c r="BB669" t="s">
        <v>3068</v>
      </c>
    </row>
    <row r="670" spans="1:54">
      <c r="A670" s="6">
        <v>45835</v>
      </c>
      <c r="B670" s="7" t="s">
        <v>3069</v>
      </c>
      <c r="C670" t="s">
        <v>387</v>
      </c>
      <c r="D670" t="s">
        <v>2779</v>
      </c>
      <c r="E670" t="s">
        <v>2779</v>
      </c>
      <c r="F670" t="s">
        <v>2780</v>
      </c>
      <c r="G670" t="s">
        <v>2781</v>
      </c>
      <c r="H670" s="8" t="s">
        <v>208</v>
      </c>
      <c r="I670" s="8" t="s">
        <v>208</v>
      </c>
      <c r="J670" s="8" t="s">
        <v>208</v>
      </c>
      <c r="K670" s="8" t="s">
        <v>208</v>
      </c>
      <c r="L670" s="8" t="s">
        <v>208</v>
      </c>
      <c r="M670" s="8" t="s">
        <v>208</v>
      </c>
      <c r="N670" s="8" t="s">
        <v>208</v>
      </c>
      <c r="O670" s="8" t="s">
        <v>208</v>
      </c>
      <c r="Q670" t="s">
        <v>3070</v>
      </c>
      <c r="R670" t="s">
        <v>3071</v>
      </c>
      <c r="U670" t="s">
        <v>3072</v>
      </c>
      <c r="V670" t="s">
        <v>662</v>
      </c>
      <c r="W670" t="s">
        <v>298</v>
      </c>
      <c r="X670" t="s">
        <v>298</v>
      </c>
      <c r="Y670" t="s">
        <v>299</v>
      </c>
      <c r="Z670" t="s">
        <v>299</v>
      </c>
      <c r="AA670" t="s">
        <v>663</v>
      </c>
      <c r="AB670" t="s">
        <v>465</v>
      </c>
      <c r="AC670" t="s">
        <v>301</v>
      </c>
      <c r="AD670" t="s">
        <v>216</v>
      </c>
      <c r="AE670" t="s">
        <v>663</v>
      </c>
      <c r="AG670" s="8" t="s">
        <v>218</v>
      </c>
      <c r="AH670" t="s">
        <v>302</v>
      </c>
      <c r="AI670" s="9" t="s">
        <v>218</v>
      </c>
      <c r="AJ670" s="8" t="s">
        <v>221</v>
      </c>
      <c r="AK670" t="s">
        <v>234</v>
      </c>
      <c r="AL670" s="9" t="s">
        <v>218</v>
      </c>
      <c r="AM670" s="8" t="s">
        <v>221</v>
      </c>
      <c r="AN670" s="8" t="s">
        <v>221</v>
      </c>
      <c r="AO670" s="8" t="s">
        <v>222</v>
      </c>
      <c r="AP670" s="8">
        <v>0</v>
      </c>
      <c r="AQ670" s="8">
        <v>0</v>
      </c>
      <c r="AR670" s="8">
        <v>0</v>
      </c>
      <c r="AS670" s="8">
        <v>0</v>
      </c>
      <c r="AT670" s="8">
        <v>0</v>
      </c>
      <c r="AU670" s="8">
        <v>0</v>
      </c>
      <c r="AV670" s="8">
        <v>0</v>
      </c>
      <c r="AW670" s="8">
        <v>0</v>
      </c>
      <c r="AX670" s="8"/>
      <c r="AY670" s="8"/>
      <c r="AZ670">
        <v>6</v>
      </c>
      <c r="BA670" t="s">
        <v>3073</v>
      </c>
      <c r="BB670" t="s">
        <v>3074</v>
      </c>
    </row>
    <row r="671" spans="1:54">
      <c r="A671" s="6">
        <v>45835</v>
      </c>
      <c r="B671" s="7" t="s">
        <v>3075</v>
      </c>
      <c r="C671" t="s">
        <v>387</v>
      </c>
      <c r="D671" t="s">
        <v>2779</v>
      </c>
      <c r="E671" t="s">
        <v>2779</v>
      </c>
      <c r="F671" t="s">
        <v>2780</v>
      </c>
      <c r="G671" t="s">
        <v>2781</v>
      </c>
      <c r="H671" s="8" t="s">
        <v>208</v>
      </c>
      <c r="I671" s="8" t="s">
        <v>208</v>
      </c>
      <c r="J671" s="8" t="s">
        <v>208</v>
      </c>
      <c r="K671" s="8" t="s">
        <v>208</v>
      </c>
      <c r="L671" s="8" t="s">
        <v>208</v>
      </c>
      <c r="M671" s="8" t="s">
        <v>208</v>
      </c>
      <c r="N671" s="8" t="s">
        <v>208</v>
      </c>
      <c r="O671" s="8" t="s">
        <v>208</v>
      </c>
      <c r="Q671" t="s">
        <v>3076</v>
      </c>
      <c r="R671" t="s">
        <v>3077</v>
      </c>
      <c r="U671" t="s">
        <v>3078</v>
      </c>
      <c r="V671" t="s">
        <v>662</v>
      </c>
      <c r="W671" t="s">
        <v>298</v>
      </c>
      <c r="X671" t="s">
        <v>298</v>
      </c>
      <c r="Y671" t="s">
        <v>299</v>
      </c>
      <c r="Z671" t="s">
        <v>299</v>
      </c>
      <c r="AA671" t="s">
        <v>663</v>
      </c>
      <c r="AB671" t="s">
        <v>465</v>
      </c>
      <c r="AC671" t="s">
        <v>301</v>
      </c>
      <c r="AD671" t="s">
        <v>216</v>
      </c>
      <c r="AE671" t="s">
        <v>663</v>
      </c>
      <c r="AG671" s="8" t="s">
        <v>218</v>
      </c>
      <c r="AH671" t="s">
        <v>302</v>
      </c>
      <c r="AI671" s="9" t="s">
        <v>218</v>
      </c>
      <c r="AJ671" s="8" t="s">
        <v>221</v>
      </c>
      <c r="AK671" t="s">
        <v>234</v>
      </c>
      <c r="AL671" s="9" t="s">
        <v>218</v>
      </c>
      <c r="AM671" s="8" t="s">
        <v>221</v>
      </c>
      <c r="AN671" s="8" t="s">
        <v>221</v>
      </c>
      <c r="AO671" s="8" t="s">
        <v>222</v>
      </c>
      <c r="AP671" s="8">
        <v>0</v>
      </c>
      <c r="AQ671" s="8">
        <v>0</v>
      </c>
      <c r="AR671" s="9">
        <v>2</v>
      </c>
      <c r="AS671" s="8">
        <v>0</v>
      </c>
      <c r="AT671" s="8">
        <v>0</v>
      </c>
      <c r="AU671" s="8">
        <v>0</v>
      </c>
      <c r="AV671" s="8">
        <v>0</v>
      </c>
      <c r="AW671" s="9">
        <v>2</v>
      </c>
      <c r="AX671" s="9" t="s">
        <v>3079</v>
      </c>
      <c r="AY671" s="8"/>
      <c r="AZ671">
        <v>3</v>
      </c>
      <c r="BA671" t="s">
        <v>3080</v>
      </c>
      <c r="BB671" t="s">
        <v>3081</v>
      </c>
    </row>
    <row r="672" spans="1:54">
      <c r="A672" s="6">
        <v>45835</v>
      </c>
      <c r="B672" s="7" t="s">
        <v>3082</v>
      </c>
      <c r="C672" t="s">
        <v>205</v>
      </c>
      <c r="D672" t="s">
        <v>2667</v>
      </c>
      <c r="G672" t="s">
        <v>207</v>
      </c>
      <c r="H672" s="8" t="s">
        <v>208</v>
      </c>
      <c r="I672" s="8" t="s">
        <v>208</v>
      </c>
      <c r="J672" s="8" t="s">
        <v>208</v>
      </c>
      <c r="K672" s="8" t="s">
        <v>208</v>
      </c>
      <c r="L672" s="8" t="s">
        <v>208</v>
      </c>
      <c r="M672" s="8" t="s">
        <v>208</v>
      </c>
      <c r="N672" s="8" t="s">
        <v>208</v>
      </c>
      <c r="O672" s="8" t="s">
        <v>208</v>
      </c>
      <c r="Q672" t="s">
        <v>3083</v>
      </c>
      <c r="R672" t="s">
        <v>3084</v>
      </c>
      <c r="U672" t="s">
        <v>3085</v>
      </c>
      <c r="V672" t="s">
        <v>138</v>
      </c>
      <c r="W672" t="s">
        <v>212</v>
      </c>
      <c r="X672" t="s">
        <v>212</v>
      </c>
      <c r="Y672" t="s">
        <v>213</v>
      </c>
      <c r="Z672" t="s">
        <v>213</v>
      </c>
      <c r="AA672" t="s">
        <v>214</v>
      </c>
      <c r="AB672" t="s">
        <v>215</v>
      </c>
      <c r="AC672" t="s">
        <v>701</v>
      </c>
      <c r="AD672" t="s">
        <v>216</v>
      </c>
      <c r="AE672" t="s">
        <v>217</v>
      </c>
      <c r="AG672" s="8" t="s">
        <v>218</v>
      </c>
      <c r="AH672" t="s">
        <v>219</v>
      </c>
      <c r="AI672" s="9" t="s">
        <v>218</v>
      </c>
      <c r="AJ672" s="9" t="s">
        <v>218</v>
      </c>
      <c r="AK672" t="s">
        <v>234</v>
      </c>
      <c r="AL672" s="9" t="s">
        <v>218</v>
      </c>
      <c r="AM672" s="8" t="s">
        <v>221</v>
      </c>
      <c r="AN672" s="8" t="s">
        <v>221</v>
      </c>
      <c r="AO672" s="8" t="s">
        <v>222</v>
      </c>
      <c r="AP672" s="8">
        <v>0</v>
      </c>
      <c r="AQ672" s="8">
        <v>0</v>
      </c>
      <c r="AR672" s="9">
        <v>19</v>
      </c>
      <c r="AS672" s="8">
        <v>0</v>
      </c>
      <c r="AT672" s="8">
        <v>0</v>
      </c>
      <c r="AU672" s="8">
        <v>0</v>
      </c>
      <c r="AV672" s="8">
        <v>0</v>
      </c>
      <c r="AW672" s="9">
        <v>19</v>
      </c>
      <c r="AX672" s="8"/>
      <c r="AY672" s="8"/>
      <c r="AZ672">
        <v>4</v>
      </c>
      <c r="BA672" t="s">
        <v>3086</v>
      </c>
      <c r="BB672" t="s">
        <v>3087</v>
      </c>
    </row>
    <row r="673" spans="1:54">
      <c r="A673" s="6">
        <v>45835</v>
      </c>
      <c r="B673" s="7" t="s">
        <v>2289</v>
      </c>
      <c r="C673" t="s">
        <v>205</v>
      </c>
      <c r="D673" t="s">
        <v>2667</v>
      </c>
      <c r="G673" t="s">
        <v>207</v>
      </c>
      <c r="H673" s="8" t="s">
        <v>208</v>
      </c>
      <c r="I673" s="8" t="s">
        <v>208</v>
      </c>
      <c r="J673" s="8" t="s">
        <v>208</v>
      </c>
      <c r="K673" s="8" t="s">
        <v>208</v>
      </c>
      <c r="L673" s="8" t="s">
        <v>208</v>
      </c>
      <c r="M673" s="8" t="s">
        <v>208</v>
      </c>
      <c r="N673" s="8" t="s">
        <v>208</v>
      </c>
      <c r="O673" s="8" t="s">
        <v>208</v>
      </c>
      <c r="Q673" t="s">
        <v>2290</v>
      </c>
      <c r="R673" t="s">
        <v>2291</v>
      </c>
      <c r="U673" t="s">
        <v>2536</v>
      </c>
      <c r="V673" t="s">
        <v>140</v>
      </c>
      <c r="W673" t="s">
        <v>212</v>
      </c>
      <c r="X673" t="s">
        <v>212</v>
      </c>
      <c r="Y673" t="s">
        <v>213</v>
      </c>
      <c r="Z673" t="s">
        <v>213</v>
      </c>
      <c r="AA673" t="s">
        <v>214</v>
      </c>
      <c r="AB673" t="s">
        <v>701</v>
      </c>
      <c r="AC673" t="s">
        <v>242</v>
      </c>
      <c r="AD673" t="s">
        <v>216</v>
      </c>
      <c r="AE673" t="s">
        <v>217</v>
      </c>
      <c r="AG673" s="8" t="s">
        <v>218</v>
      </c>
      <c r="AH673" t="s">
        <v>219</v>
      </c>
      <c r="AI673" s="9" t="s">
        <v>218</v>
      </c>
      <c r="AJ673" s="9" t="s">
        <v>218</v>
      </c>
      <c r="AK673" t="s">
        <v>2292</v>
      </c>
      <c r="AL673" s="9" t="s">
        <v>218</v>
      </c>
      <c r="AM673" s="8" t="s">
        <v>221</v>
      </c>
      <c r="AN673" s="8" t="s">
        <v>221</v>
      </c>
      <c r="AO673" s="8" t="s">
        <v>222</v>
      </c>
      <c r="AP673" s="8">
        <v>0</v>
      </c>
      <c r="AQ673" s="8">
        <v>0</v>
      </c>
      <c r="AR673" s="9">
        <v>7</v>
      </c>
      <c r="AS673" s="8">
        <v>0</v>
      </c>
      <c r="AT673" s="8">
        <v>0</v>
      </c>
      <c r="AU673" s="8">
        <v>0</v>
      </c>
      <c r="AV673" s="8">
        <v>0</v>
      </c>
      <c r="AW673" s="9">
        <v>7</v>
      </c>
      <c r="AX673" s="8"/>
      <c r="AY673" s="9" t="s">
        <v>2537</v>
      </c>
      <c r="AZ673">
        <v>3</v>
      </c>
      <c r="BA673" t="s">
        <v>3088</v>
      </c>
      <c r="BB673" t="s">
        <v>2541</v>
      </c>
    </row>
    <row r="674" spans="1:54">
      <c r="A674" s="6">
        <v>45835</v>
      </c>
      <c r="B674" s="7" t="s">
        <v>677</v>
      </c>
      <c r="C674" t="s">
        <v>205</v>
      </c>
      <c r="D674" t="s">
        <v>2667</v>
      </c>
      <c r="G674" t="s">
        <v>207</v>
      </c>
      <c r="H674" s="8" t="s">
        <v>208</v>
      </c>
      <c r="I674" s="8" t="s">
        <v>208</v>
      </c>
      <c r="J674" s="8" t="s">
        <v>208</v>
      </c>
      <c r="K674" s="8" t="s">
        <v>208</v>
      </c>
      <c r="L674" s="8" t="s">
        <v>208</v>
      </c>
      <c r="M674" s="8" t="s">
        <v>208</v>
      </c>
      <c r="N674" s="8" t="s">
        <v>208</v>
      </c>
      <c r="O674" s="8" t="s">
        <v>208</v>
      </c>
      <c r="Q674" t="s">
        <v>678</v>
      </c>
      <c r="R674" t="s">
        <v>679</v>
      </c>
      <c r="U674" t="s">
        <v>680</v>
      </c>
      <c r="V674" t="s">
        <v>140</v>
      </c>
      <c r="W674" t="s">
        <v>212</v>
      </c>
      <c r="X674" t="s">
        <v>212</v>
      </c>
      <c r="Y674" t="s">
        <v>213</v>
      </c>
      <c r="Z674" t="s">
        <v>213</v>
      </c>
      <c r="AA674" t="s">
        <v>214</v>
      </c>
      <c r="AB674" t="s">
        <v>672</v>
      </c>
      <c r="AC674" t="s">
        <v>276</v>
      </c>
      <c r="AD674" t="s">
        <v>216</v>
      </c>
      <c r="AE674" t="s">
        <v>217</v>
      </c>
      <c r="AG674" s="9" t="s">
        <v>221</v>
      </c>
      <c r="AH674" t="s">
        <v>219</v>
      </c>
      <c r="AI674" s="9" t="s">
        <v>218</v>
      </c>
      <c r="AJ674" s="9" t="s">
        <v>218</v>
      </c>
      <c r="AK674" t="s">
        <v>234</v>
      </c>
      <c r="AL674" s="9" t="s">
        <v>218</v>
      </c>
      <c r="AM674" s="8" t="s">
        <v>221</v>
      </c>
      <c r="AN674" s="8" t="s">
        <v>221</v>
      </c>
      <c r="AO674" s="8" t="s">
        <v>222</v>
      </c>
      <c r="AP674" s="8">
        <v>0</v>
      </c>
      <c r="AQ674" s="8">
        <v>0</v>
      </c>
      <c r="AR674" s="9">
        <v>134</v>
      </c>
      <c r="AS674" s="8">
        <v>0</v>
      </c>
      <c r="AT674" s="8">
        <v>0</v>
      </c>
      <c r="AU674" s="8">
        <v>0</v>
      </c>
      <c r="AV674" s="8">
        <v>0</v>
      </c>
      <c r="AW674" s="9">
        <v>134</v>
      </c>
      <c r="AX674" s="8"/>
      <c r="AY674" s="9" t="s">
        <v>2549</v>
      </c>
      <c r="AZ674">
        <v>4</v>
      </c>
      <c r="BA674" t="s">
        <v>3089</v>
      </c>
      <c r="BB674" t="s">
        <v>684</v>
      </c>
    </row>
    <row r="675" spans="1:54">
      <c r="A675" s="6">
        <v>45835</v>
      </c>
      <c r="B675" s="7" t="s">
        <v>1305</v>
      </c>
      <c r="C675" t="s">
        <v>205</v>
      </c>
      <c r="D675" t="s">
        <v>2667</v>
      </c>
      <c r="G675" t="s">
        <v>207</v>
      </c>
      <c r="H675" s="8" t="s">
        <v>208</v>
      </c>
      <c r="I675" s="8" t="s">
        <v>208</v>
      </c>
      <c r="J675" s="8" t="s">
        <v>208</v>
      </c>
      <c r="K675" s="8" t="s">
        <v>208</v>
      </c>
      <c r="L675" s="8" t="s">
        <v>208</v>
      </c>
      <c r="M675" s="8" t="s">
        <v>208</v>
      </c>
      <c r="N675" s="8" t="s">
        <v>208</v>
      </c>
      <c r="O675" s="8" t="s">
        <v>208</v>
      </c>
      <c r="Q675" t="s">
        <v>1306</v>
      </c>
      <c r="R675" t="s">
        <v>1307</v>
      </c>
      <c r="U675" t="s">
        <v>1308</v>
      </c>
      <c r="V675" t="s">
        <v>137</v>
      </c>
      <c r="W675" t="s">
        <v>774</v>
      </c>
      <c r="X675" t="s">
        <v>774</v>
      </c>
      <c r="Y675" t="s">
        <v>775</v>
      </c>
      <c r="Z675" t="s">
        <v>775</v>
      </c>
      <c r="AA675" t="s">
        <v>1309</v>
      </c>
      <c r="AB675" t="s">
        <v>408</v>
      </c>
      <c r="AC675" t="s">
        <v>391</v>
      </c>
      <c r="AD675" t="s">
        <v>216</v>
      </c>
      <c r="AE675" t="s">
        <v>2788</v>
      </c>
      <c r="AG675" s="9" t="s">
        <v>221</v>
      </c>
      <c r="AH675" t="s">
        <v>219</v>
      </c>
      <c r="AI675" s="9" t="s">
        <v>218</v>
      </c>
      <c r="AJ675" s="9" t="s">
        <v>218</v>
      </c>
      <c r="AK675" t="s">
        <v>234</v>
      </c>
      <c r="AL675" s="9" t="s">
        <v>218</v>
      </c>
      <c r="AM675" s="8" t="s">
        <v>221</v>
      </c>
      <c r="AN675" s="8" t="s">
        <v>221</v>
      </c>
      <c r="AO675" s="8" t="s">
        <v>222</v>
      </c>
      <c r="AP675" s="8">
        <v>0</v>
      </c>
      <c r="AQ675" s="8">
        <v>0</v>
      </c>
      <c r="AR675" s="9">
        <v>11</v>
      </c>
      <c r="AS675" s="8">
        <v>0</v>
      </c>
      <c r="AT675" s="8">
        <v>0</v>
      </c>
      <c r="AU675" s="8">
        <v>0</v>
      </c>
      <c r="AV675" s="8">
        <v>0</v>
      </c>
      <c r="AW675" s="9">
        <v>11</v>
      </c>
      <c r="AX675" s="8"/>
      <c r="AY675" s="9" t="s">
        <v>2791</v>
      </c>
      <c r="AZ675">
        <v>5</v>
      </c>
      <c r="BA675" t="s">
        <v>2792</v>
      </c>
      <c r="BB675" t="s">
        <v>1312</v>
      </c>
    </row>
    <row r="676" spans="1:54">
      <c r="A676" s="6">
        <v>45835</v>
      </c>
      <c r="B676" s="7" t="s">
        <v>1561</v>
      </c>
      <c r="C676" t="s">
        <v>205</v>
      </c>
      <c r="D676" t="s">
        <v>2667</v>
      </c>
      <c r="G676" t="s">
        <v>207</v>
      </c>
      <c r="H676" s="8" t="s">
        <v>208</v>
      </c>
      <c r="I676" s="8" t="s">
        <v>208</v>
      </c>
      <c r="J676" s="8" t="s">
        <v>208</v>
      </c>
      <c r="K676" s="8" t="s">
        <v>208</v>
      </c>
      <c r="L676" s="8" t="s">
        <v>208</v>
      </c>
      <c r="M676" s="8" t="s">
        <v>208</v>
      </c>
      <c r="N676" s="8" t="s">
        <v>208</v>
      </c>
      <c r="O676" s="8" t="s">
        <v>208</v>
      </c>
      <c r="Q676" t="s">
        <v>2307</v>
      </c>
      <c r="R676" t="s">
        <v>1563</v>
      </c>
      <c r="U676" t="s">
        <v>2308</v>
      </c>
      <c r="V676" t="s">
        <v>138</v>
      </c>
      <c r="W676" t="s">
        <v>212</v>
      </c>
      <c r="X676" t="s">
        <v>212</v>
      </c>
      <c r="Y676" t="s">
        <v>213</v>
      </c>
      <c r="Z676" t="s">
        <v>213</v>
      </c>
      <c r="AA676" t="s">
        <v>214</v>
      </c>
      <c r="AB676" t="s">
        <v>242</v>
      </c>
      <c r="AC676" t="s">
        <v>242</v>
      </c>
      <c r="AD676" t="s">
        <v>216</v>
      </c>
      <c r="AE676" t="s">
        <v>217</v>
      </c>
      <c r="AG676" s="8" t="s">
        <v>218</v>
      </c>
      <c r="AH676" t="s">
        <v>219</v>
      </c>
      <c r="AI676" s="9" t="s">
        <v>218</v>
      </c>
      <c r="AJ676" s="9" t="s">
        <v>218</v>
      </c>
      <c r="AK676" t="s">
        <v>2292</v>
      </c>
      <c r="AL676" s="9" t="s">
        <v>218</v>
      </c>
      <c r="AM676" s="8" t="s">
        <v>221</v>
      </c>
      <c r="AN676" s="8" t="s">
        <v>221</v>
      </c>
      <c r="AO676" s="8" t="s">
        <v>222</v>
      </c>
      <c r="AP676" s="8">
        <v>0</v>
      </c>
      <c r="AQ676" s="8">
        <v>0</v>
      </c>
      <c r="AR676" s="8">
        <v>0</v>
      </c>
      <c r="AS676" s="8">
        <v>0</v>
      </c>
      <c r="AT676" s="8">
        <v>0</v>
      </c>
      <c r="AU676" s="8">
        <v>0</v>
      </c>
      <c r="AV676" s="8">
        <v>0</v>
      </c>
      <c r="AW676" s="8">
        <v>0</v>
      </c>
      <c r="AX676" s="8"/>
      <c r="AY676" s="9" t="s">
        <v>2542</v>
      </c>
      <c r="AZ676">
        <v>3</v>
      </c>
      <c r="BA676" t="s">
        <v>3090</v>
      </c>
      <c r="BB676" t="s">
        <v>2540</v>
      </c>
    </row>
    <row r="677" spans="1:54">
      <c r="A677" s="6">
        <v>45835</v>
      </c>
      <c r="B677" s="7" t="s">
        <v>3091</v>
      </c>
      <c r="C677" t="s">
        <v>387</v>
      </c>
      <c r="D677" t="s">
        <v>2667</v>
      </c>
      <c r="E677" t="s">
        <v>1275</v>
      </c>
      <c r="F677" t="s">
        <v>1275</v>
      </c>
      <c r="G677" t="s">
        <v>207</v>
      </c>
      <c r="H677" s="8" t="s">
        <v>208</v>
      </c>
      <c r="I677" s="8" t="s">
        <v>208</v>
      </c>
      <c r="J677" s="8" t="s">
        <v>208</v>
      </c>
      <c r="K677" s="8" t="s">
        <v>208</v>
      </c>
      <c r="L677" s="8" t="s">
        <v>208</v>
      </c>
      <c r="M677" s="8" t="s">
        <v>208</v>
      </c>
      <c r="N677" s="8" t="s">
        <v>208</v>
      </c>
      <c r="O677" s="8" t="s">
        <v>208</v>
      </c>
      <c r="Q677" t="s">
        <v>3092</v>
      </c>
      <c r="R677" t="s">
        <v>3093</v>
      </c>
      <c r="U677" t="s">
        <v>3094</v>
      </c>
      <c r="V677" t="s">
        <v>644</v>
      </c>
      <c r="W677" t="s">
        <v>298</v>
      </c>
      <c r="X677" t="s">
        <v>298</v>
      </c>
      <c r="Y677" t="s">
        <v>299</v>
      </c>
      <c r="Z677" t="s">
        <v>299</v>
      </c>
      <c r="AA677" t="s">
        <v>645</v>
      </c>
      <c r="AB677" t="s">
        <v>1327</v>
      </c>
      <c r="AC677" t="s">
        <v>1147</v>
      </c>
      <c r="AD677" t="s">
        <v>216</v>
      </c>
      <c r="AE677" t="s">
        <v>645</v>
      </c>
      <c r="AG677" s="8" t="s">
        <v>218</v>
      </c>
      <c r="AH677" t="s">
        <v>302</v>
      </c>
      <c r="AI677" s="9" t="s">
        <v>218</v>
      </c>
      <c r="AJ677" s="8" t="s">
        <v>221</v>
      </c>
      <c r="AK677" t="s">
        <v>234</v>
      </c>
      <c r="AL677" s="9" t="s">
        <v>218</v>
      </c>
      <c r="AM677" s="8" t="s">
        <v>221</v>
      </c>
      <c r="AN677" s="8" t="s">
        <v>221</v>
      </c>
      <c r="AO677" s="8" t="s">
        <v>222</v>
      </c>
      <c r="AP677" s="8">
        <v>0</v>
      </c>
      <c r="AQ677" s="8">
        <v>0</v>
      </c>
      <c r="AR677" s="9">
        <v>43</v>
      </c>
      <c r="AS677" s="8">
        <v>0</v>
      </c>
      <c r="AT677" s="8">
        <v>0</v>
      </c>
      <c r="AU677" s="8">
        <v>0</v>
      </c>
      <c r="AV677" s="8">
        <v>0</v>
      </c>
      <c r="AW677" s="9">
        <v>43</v>
      </c>
      <c r="AX677" s="9" t="s">
        <v>3095</v>
      </c>
      <c r="AY677" s="8"/>
      <c r="AZ677">
        <v>3</v>
      </c>
      <c r="BA677" t="s">
        <v>3096</v>
      </c>
      <c r="BB677" t="s">
        <v>3097</v>
      </c>
    </row>
    <row r="678" spans="1:54">
      <c r="A678" s="6">
        <v>45835</v>
      </c>
      <c r="B678" s="7" t="s">
        <v>2008</v>
      </c>
      <c r="C678" t="s">
        <v>205</v>
      </c>
      <c r="D678" t="s">
        <v>2667</v>
      </c>
      <c r="G678" t="s">
        <v>207</v>
      </c>
      <c r="H678" s="8" t="s">
        <v>208</v>
      </c>
      <c r="I678" s="8" t="s">
        <v>208</v>
      </c>
      <c r="J678" s="8" t="s">
        <v>208</v>
      </c>
      <c r="K678" s="8" t="s">
        <v>208</v>
      </c>
      <c r="L678" s="8" t="s">
        <v>208</v>
      </c>
      <c r="M678" s="8" t="s">
        <v>208</v>
      </c>
      <c r="N678" s="8" t="s">
        <v>208</v>
      </c>
      <c r="O678" s="8" t="s">
        <v>208</v>
      </c>
      <c r="Q678" t="s">
        <v>2010</v>
      </c>
      <c r="R678" t="s">
        <v>2011</v>
      </c>
      <c r="U678" t="s">
        <v>2012</v>
      </c>
      <c r="V678" t="s">
        <v>140</v>
      </c>
      <c r="W678" t="s">
        <v>212</v>
      </c>
      <c r="X678" t="s">
        <v>212</v>
      </c>
      <c r="Y678" t="s">
        <v>213</v>
      </c>
      <c r="Z678" t="s">
        <v>213</v>
      </c>
      <c r="AA678" t="s">
        <v>214</v>
      </c>
      <c r="AB678" t="s">
        <v>758</v>
      </c>
      <c r="AC678" t="s">
        <v>758</v>
      </c>
      <c r="AD678" t="s">
        <v>216</v>
      </c>
      <c r="AE678" t="s">
        <v>217</v>
      </c>
      <c r="AG678" s="8" t="s">
        <v>218</v>
      </c>
      <c r="AH678" t="s">
        <v>219</v>
      </c>
      <c r="AI678" s="9" t="s">
        <v>218</v>
      </c>
      <c r="AJ678" s="9" t="s">
        <v>218</v>
      </c>
      <c r="AK678" t="s">
        <v>234</v>
      </c>
      <c r="AL678" s="9" t="s">
        <v>218</v>
      </c>
      <c r="AM678" s="8" t="s">
        <v>221</v>
      </c>
      <c r="AN678" s="8" t="s">
        <v>221</v>
      </c>
      <c r="AO678" s="8" t="s">
        <v>222</v>
      </c>
      <c r="AP678" s="8">
        <v>0</v>
      </c>
      <c r="AQ678" s="8">
        <v>0</v>
      </c>
      <c r="AR678" s="8">
        <v>0</v>
      </c>
      <c r="AS678" s="8">
        <v>0</v>
      </c>
      <c r="AT678" s="8">
        <v>0</v>
      </c>
      <c r="AU678" s="8">
        <v>0</v>
      </c>
      <c r="AV678" s="8">
        <v>0</v>
      </c>
      <c r="AW678" s="8">
        <v>0</v>
      </c>
      <c r="AX678" s="8"/>
      <c r="AY678" s="9" t="s">
        <v>2534</v>
      </c>
      <c r="AZ678">
        <v>3</v>
      </c>
      <c r="BA678" t="s">
        <v>3098</v>
      </c>
      <c r="BB678" t="s">
        <v>2015</v>
      </c>
    </row>
    <row r="679" spans="1:54">
      <c r="A679" s="6">
        <v>45835</v>
      </c>
      <c r="B679" s="7" t="s">
        <v>1618</v>
      </c>
      <c r="C679" t="s">
        <v>205</v>
      </c>
      <c r="D679" t="s">
        <v>2667</v>
      </c>
      <c r="G679" t="s">
        <v>207</v>
      </c>
      <c r="H679" s="8" t="s">
        <v>208</v>
      </c>
      <c r="I679" s="8" t="s">
        <v>208</v>
      </c>
      <c r="J679" s="8" t="s">
        <v>208</v>
      </c>
      <c r="K679" s="8" t="s">
        <v>208</v>
      </c>
      <c r="L679" s="8" t="s">
        <v>208</v>
      </c>
      <c r="M679" s="8" t="s">
        <v>208</v>
      </c>
      <c r="N679" s="8" t="s">
        <v>208</v>
      </c>
      <c r="O679" s="8" t="s">
        <v>208</v>
      </c>
      <c r="Q679" t="s">
        <v>1619</v>
      </c>
      <c r="R679" t="s">
        <v>1620</v>
      </c>
      <c r="U679" t="s">
        <v>1621</v>
      </c>
      <c r="V679" t="s">
        <v>140</v>
      </c>
      <c r="W679" t="s">
        <v>212</v>
      </c>
      <c r="X679" t="s">
        <v>212</v>
      </c>
      <c r="Y679" t="s">
        <v>213</v>
      </c>
      <c r="Z679" t="s">
        <v>213</v>
      </c>
      <c r="AA679" t="s">
        <v>214</v>
      </c>
      <c r="AB679" t="s">
        <v>681</v>
      </c>
      <c r="AC679" t="s">
        <v>681</v>
      </c>
      <c r="AD679" t="s">
        <v>216</v>
      </c>
      <c r="AE679" t="s">
        <v>217</v>
      </c>
      <c r="AG679" s="8" t="s">
        <v>218</v>
      </c>
      <c r="AH679" t="s">
        <v>219</v>
      </c>
      <c r="AI679" s="9" t="s">
        <v>218</v>
      </c>
      <c r="AJ679" s="9" t="s">
        <v>218</v>
      </c>
      <c r="AK679" t="s">
        <v>234</v>
      </c>
      <c r="AL679" s="9" t="s">
        <v>218</v>
      </c>
      <c r="AM679" s="8" t="s">
        <v>221</v>
      </c>
      <c r="AN679" s="8" t="s">
        <v>221</v>
      </c>
      <c r="AO679" s="8" t="s">
        <v>222</v>
      </c>
      <c r="AP679" s="8">
        <v>0</v>
      </c>
      <c r="AQ679" s="8">
        <v>0</v>
      </c>
      <c r="AR679" s="9">
        <v>32</v>
      </c>
      <c r="AS679" s="8">
        <v>0</v>
      </c>
      <c r="AT679" s="8">
        <v>0</v>
      </c>
      <c r="AU679" s="8">
        <v>0</v>
      </c>
      <c r="AV679" s="8">
        <v>0</v>
      </c>
      <c r="AW679" s="9">
        <v>32</v>
      </c>
      <c r="AX679" s="8"/>
      <c r="AY679" s="9" t="s">
        <v>2551</v>
      </c>
      <c r="AZ679">
        <v>3</v>
      </c>
      <c r="BA679" t="s">
        <v>3099</v>
      </c>
      <c r="BB679" t="s">
        <v>1624</v>
      </c>
    </row>
    <row r="680" spans="1:54">
      <c r="A680" s="6">
        <v>45835</v>
      </c>
      <c r="B680" s="7" t="s">
        <v>813</v>
      </c>
      <c r="C680" t="s">
        <v>205</v>
      </c>
      <c r="D680" t="s">
        <v>2667</v>
      </c>
      <c r="G680" t="s">
        <v>207</v>
      </c>
      <c r="H680" s="8" t="s">
        <v>208</v>
      </c>
      <c r="I680" s="8" t="s">
        <v>208</v>
      </c>
      <c r="J680" s="8" t="s">
        <v>208</v>
      </c>
      <c r="K680" s="8" t="s">
        <v>208</v>
      </c>
      <c r="L680" s="8" t="s">
        <v>208</v>
      </c>
      <c r="M680" s="8" t="s">
        <v>208</v>
      </c>
      <c r="N680" s="8" t="s">
        <v>208</v>
      </c>
      <c r="O680" s="8" t="s">
        <v>208</v>
      </c>
      <c r="Q680" t="s">
        <v>815</v>
      </c>
      <c r="R680" t="s">
        <v>816</v>
      </c>
      <c r="U680" t="s">
        <v>817</v>
      </c>
      <c r="V680" t="s">
        <v>140</v>
      </c>
      <c r="W680" t="s">
        <v>212</v>
      </c>
      <c r="X680" t="s">
        <v>212</v>
      </c>
      <c r="Y680" t="s">
        <v>213</v>
      </c>
      <c r="Z680" t="s">
        <v>213</v>
      </c>
      <c r="AA680" t="s">
        <v>214</v>
      </c>
      <c r="AB680" t="s">
        <v>277</v>
      </c>
      <c r="AC680" t="s">
        <v>277</v>
      </c>
      <c r="AD680" t="s">
        <v>216</v>
      </c>
      <c r="AE680" t="s">
        <v>217</v>
      </c>
      <c r="AG680" s="8" t="s">
        <v>218</v>
      </c>
      <c r="AH680" t="s">
        <v>219</v>
      </c>
      <c r="AI680" s="9" t="s">
        <v>218</v>
      </c>
      <c r="AJ680" s="9" t="s">
        <v>218</v>
      </c>
      <c r="AK680" t="s">
        <v>234</v>
      </c>
      <c r="AL680" s="9" t="s">
        <v>218</v>
      </c>
      <c r="AM680" s="8" t="s">
        <v>221</v>
      </c>
      <c r="AN680" s="8" t="s">
        <v>221</v>
      </c>
      <c r="AO680" s="8" t="s">
        <v>222</v>
      </c>
      <c r="AP680" s="8">
        <v>0</v>
      </c>
      <c r="AQ680" s="8">
        <v>0</v>
      </c>
      <c r="AR680" s="9">
        <v>35</v>
      </c>
      <c r="AS680" s="8">
        <v>0</v>
      </c>
      <c r="AT680" s="8">
        <v>0</v>
      </c>
      <c r="AU680" s="8">
        <v>0</v>
      </c>
      <c r="AV680" s="8">
        <v>0</v>
      </c>
      <c r="AW680" s="9">
        <v>35</v>
      </c>
      <c r="AX680" s="8"/>
      <c r="AY680" s="9" t="s">
        <v>818</v>
      </c>
      <c r="AZ680">
        <v>3</v>
      </c>
      <c r="BA680" t="s">
        <v>3100</v>
      </c>
      <c r="BB680" t="s">
        <v>819</v>
      </c>
    </row>
    <row r="681" spans="1:54">
      <c r="A681" s="6">
        <v>45835</v>
      </c>
      <c r="B681" s="7" t="s">
        <v>1594</v>
      </c>
      <c r="C681" t="s">
        <v>205</v>
      </c>
      <c r="D681" t="s">
        <v>2667</v>
      </c>
      <c r="G681" t="s">
        <v>207</v>
      </c>
      <c r="H681" s="8" t="s">
        <v>208</v>
      </c>
      <c r="I681" s="8" t="s">
        <v>208</v>
      </c>
      <c r="J681" s="8" t="s">
        <v>208</v>
      </c>
      <c r="K681" s="8" t="s">
        <v>208</v>
      </c>
      <c r="L681" s="8" t="s">
        <v>208</v>
      </c>
      <c r="M681" s="8" t="s">
        <v>208</v>
      </c>
      <c r="N681" s="8" t="s">
        <v>208</v>
      </c>
      <c r="O681" s="8" t="s">
        <v>208</v>
      </c>
      <c r="Q681" t="s">
        <v>1595</v>
      </c>
      <c r="R681" t="s">
        <v>1596</v>
      </c>
      <c r="U681" t="s">
        <v>1597</v>
      </c>
      <c r="V681" t="s">
        <v>140</v>
      </c>
      <c r="W681" t="s">
        <v>774</v>
      </c>
      <c r="X681" t="s">
        <v>774</v>
      </c>
      <c r="Y681" t="s">
        <v>775</v>
      </c>
      <c r="Z681" t="s">
        <v>775</v>
      </c>
      <c r="AA681" t="s">
        <v>1164</v>
      </c>
      <c r="AB681" t="s">
        <v>391</v>
      </c>
      <c r="AC681" t="s">
        <v>391</v>
      </c>
      <c r="AD681" t="s">
        <v>216</v>
      </c>
      <c r="AE681" t="s">
        <v>2259</v>
      </c>
      <c r="AG681" s="8" t="s">
        <v>218</v>
      </c>
      <c r="AH681" t="s">
        <v>219</v>
      </c>
      <c r="AI681" s="9" t="s">
        <v>218</v>
      </c>
      <c r="AJ681" s="9" t="s">
        <v>218</v>
      </c>
      <c r="AK681" t="s">
        <v>1138</v>
      </c>
      <c r="AL681" s="9" t="s">
        <v>218</v>
      </c>
      <c r="AM681" s="8" t="s">
        <v>221</v>
      </c>
      <c r="AN681" s="8" t="s">
        <v>221</v>
      </c>
      <c r="AO681" s="8" t="s">
        <v>222</v>
      </c>
      <c r="AP681" s="8">
        <v>0</v>
      </c>
      <c r="AQ681" s="8">
        <v>0</v>
      </c>
      <c r="AR681" s="9">
        <v>15</v>
      </c>
      <c r="AS681" s="8">
        <v>0</v>
      </c>
      <c r="AT681" s="8">
        <v>0</v>
      </c>
      <c r="AU681" s="8">
        <v>0</v>
      </c>
      <c r="AV681" s="8">
        <v>0</v>
      </c>
      <c r="AW681" s="9">
        <v>15</v>
      </c>
      <c r="AX681" s="8"/>
      <c r="AY681" s="9" t="s">
        <v>3101</v>
      </c>
      <c r="AZ681">
        <v>3</v>
      </c>
      <c r="BA681" t="s">
        <v>3102</v>
      </c>
      <c r="BB681" t="s">
        <v>1600</v>
      </c>
    </row>
    <row r="682" spans="1:54">
      <c r="A682" s="6">
        <v>45835</v>
      </c>
      <c r="B682" s="7" t="s">
        <v>3103</v>
      </c>
      <c r="C682" t="s">
        <v>205</v>
      </c>
      <c r="D682" t="s">
        <v>2667</v>
      </c>
      <c r="G682" t="s">
        <v>207</v>
      </c>
      <c r="H682" s="8" t="s">
        <v>208</v>
      </c>
      <c r="I682" s="8" t="s">
        <v>208</v>
      </c>
      <c r="J682" s="8" t="s">
        <v>208</v>
      </c>
      <c r="K682" s="8" t="s">
        <v>208</v>
      </c>
      <c r="L682" s="8" t="s">
        <v>208</v>
      </c>
      <c r="M682" s="8" t="s">
        <v>208</v>
      </c>
      <c r="N682" s="8" t="s">
        <v>208</v>
      </c>
      <c r="O682" s="8" t="s">
        <v>208</v>
      </c>
      <c r="Q682" t="s">
        <v>3104</v>
      </c>
      <c r="R682" t="s">
        <v>3105</v>
      </c>
      <c r="U682" t="s">
        <v>3106</v>
      </c>
      <c r="V682" t="s">
        <v>138</v>
      </c>
      <c r="W682" t="s">
        <v>212</v>
      </c>
      <c r="X682" t="s">
        <v>212</v>
      </c>
      <c r="Y682" t="s">
        <v>213</v>
      </c>
      <c r="Z682" t="s">
        <v>213</v>
      </c>
      <c r="AA682" t="s">
        <v>214</v>
      </c>
      <c r="AB682" t="s">
        <v>242</v>
      </c>
      <c r="AC682" t="s">
        <v>242</v>
      </c>
      <c r="AD682" t="s">
        <v>216</v>
      </c>
      <c r="AE682" t="s">
        <v>217</v>
      </c>
      <c r="AG682" s="8" t="s">
        <v>218</v>
      </c>
      <c r="AH682" t="s">
        <v>219</v>
      </c>
      <c r="AI682" s="9" t="s">
        <v>218</v>
      </c>
      <c r="AJ682" s="9" t="s">
        <v>218</v>
      </c>
      <c r="AK682" t="s">
        <v>3107</v>
      </c>
      <c r="AL682" s="9" t="s">
        <v>218</v>
      </c>
      <c r="AM682" s="8" t="s">
        <v>221</v>
      </c>
      <c r="AN682" s="8" t="s">
        <v>221</v>
      </c>
      <c r="AO682" s="8" t="s">
        <v>222</v>
      </c>
      <c r="AP682" s="8">
        <v>0</v>
      </c>
      <c r="AQ682" s="8">
        <v>0</v>
      </c>
      <c r="AR682" s="8">
        <v>0</v>
      </c>
      <c r="AS682" s="8">
        <v>0</v>
      </c>
      <c r="AT682" s="8">
        <v>0</v>
      </c>
      <c r="AU682" s="8">
        <v>0</v>
      </c>
      <c r="AV682" s="8">
        <v>0</v>
      </c>
      <c r="AW682" s="8">
        <v>0</v>
      </c>
      <c r="AX682" s="8"/>
      <c r="AY682" s="8"/>
      <c r="AZ682">
        <v>3</v>
      </c>
      <c r="BA682" t="s">
        <v>3108</v>
      </c>
      <c r="BB682" t="s">
        <v>3109</v>
      </c>
    </row>
    <row r="683" spans="1:54">
      <c r="A683" s="6">
        <v>45835</v>
      </c>
      <c r="B683" s="7" t="s">
        <v>1176</v>
      </c>
      <c r="C683" t="s">
        <v>205</v>
      </c>
      <c r="D683" t="s">
        <v>2667</v>
      </c>
      <c r="G683" t="s">
        <v>207</v>
      </c>
      <c r="H683" s="8" t="s">
        <v>208</v>
      </c>
      <c r="I683" s="8" t="s">
        <v>208</v>
      </c>
      <c r="J683" s="8" t="s">
        <v>208</v>
      </c>
      <c r="K683" s="8" t="s">
        <v>208</v>
      </c>
      <c r="L683" s="8" t="s">
        <v>208</v>
      </c>
      <c r="M683" s="8" t="s">
        <v>208</v>
      </c>
      <c r="N683" s="8" t="s">
        <v>208</v>
      </c>
      <c r="O683" s="8" t="s">
        <v>208</v>
      </c>
      <c r="Q683" t="s">
        <v>1173</v>
      </c>
      <c r="R683" t="s">
        <v>1175</v>
      </c>
      <c r="U683" t="s">
        <v>1177</v>
      </c>
      <c r="V683" t="s">
        <v>140</v>
      </c>
      <c r="W683" t="s">
        <v>774</v>
      </c>
      <c r="X683" t="s">
        <v>774</v>
      </c>
      <c r="Y683" t="s">
        <v>775</v>
      </c>
      <c r="Z683" t="s">
        <v>775</v>
      </c>
      <c r="AA683" t="s">
        <v>1164</v>
      </c>
      <c r="AB683" t="s">
        <v>465</v>
      </c>
      <c r="AC683" t="s">
        <v>301</v>
      </c>
      <c r="AD683" t="s">
        <v>216</v>
      </c>
      <c r="AE683" t="s">
        <v>2259</v>
      </c>
      <c r="AG683" s="8" t="s">
        <v>218</v>
      </c>
      <c r="AH683" t="s">
        <v>219</v>
      </c>
      <c r="AI683" s="9" t="s">
        <v>218</v>
      </c>
      <c r="AJ683" s="9" t="s">
        <v>218</v>
      </c>
      <c r="AK683" t="s">
        <v>234</v>
      </c>
      <c r="AL683" s="9" t="s">
        <v>218</v>
      </c>
      <c r="AM683" s="8" t="s">
        <v>221</v>
      </c>
      <c r="AN683" s="8" t="s">
        <v>221</v>
      </c>
      <c r="AO683" s="8" t="s">
        <v>222</v>
      </c>
      <c r="AP683" s="8">
        <v>0</v>
      </c>
      <c r="AQ683" s="8">
        <v>0</v>
      </c>
      <c r="AR683" s="8">
        <v>0</v>
      </c>
      <c r="AS683" s="8">
        <v>0</v>
      </c>
      <c r="AT683" s="8">
        <v>0</v>
      </c>
      <c r="AU683" s="8">
        <v>0</v>
      </c>
      <c r="AV683" s="8">
        <v>0</v>
      </c>
      <c r="AW683" s="8">
        <v>0</v>
      </c>
      <c r="AX683" s="8"/>
      <c r="AY683" s="9" t="s">
        <v>3110</v>
      </c>
      <c r="AZ683">
        <v>3</v>
      </c>
      <c r="BA683" t="s">
        <v>3111</v>
      </c>
      <c r="BB683" t="s">
        <v>1180</v>
      </c>
    </row>
    <row r="684" spans="1:54">
      <c r="A684" s="6">
        <v>45835</v>
      </c>
      <c r="B684" s="7" t="s">
        <v>1219</v>
      </c>
      <c r="C684" t="s">
        <v>205</v>
      </c>
      <c r="D684" t="s">
        <v>2667</v>
      </c>
      <c r="G684" t="s">
        <v>207</v>
      </c>
      <c r="H684" s="8" t="s">
        <v>208</v>
      </c>
      <c r="I684" s="8" t="s">
        <v>208</v>
      </c>
      <c r="J684" s="8" t="s">
        <v>208</v>
      </c>
      <c r="K684" s="8" t="s">
        <v>208</v>
      </c>
      <c r="L684" s="8" t="s">
        <v>208</v>
      </c>
      <c r="M684" s="8" t="s">
        <v>208</v>
      </c>
      <c r="N684" s="8" t="s">
        <v>208</v>
      </c>
      <c r="O684" s="8" t="s">
        <v>208</v>
      </c>
      <c r="Q684" t="s">
        <v>1216</v>
      </c>
      <c r="R684" t="s">
        <v>1218</v>
      </c>
      <c r="U684" t="s">
        <v>3112</v>
      </c>
      <c r="V684" t="s">
        <v>140</v>
      </c>
      <c r="W684" t="s">
        <v>774</v>
      </c>
      <c r="X684" t="s">
        <v>774</v>
      </c>
      <c r="Y684" t="s">
        <v>775</v>
      </c>
      <c r="Z684" t="s">
        <v>775</v>
      </c>
      <c r="AA684" t="s">
        <v>1164</v>
      </c>
      <c r="AB684" t="s">
        <v>301</v>
      </c>
      <c r="AC684" t="s">
        <v>312</v>
      </c>
      <c r="AD684" t="s">
        <v>216</v>
      </c>
      <c r="AE684" t="s">
        <v>2259</v>
      </c>
      <c r="AG684" s="8" t="s">
        <v>218</v>
      </c>
      <c r="AH684" t="s">
        <v>219</v>
      </c>
      <c r="AI684" s="9" t="s">
        <v>218</v>
      </c>
      <c r="AJ684" s="9" t="s">
        <v>218</v>
      </c>
      <c r="AK684" t="s">
        <v>234</v>
      </c>
      <c r="AL684" s="9" t="s">
        <v>218</v>
      </c>
      <c r="AM684" s="8" t="s">
        <v>221</v>
      </c>
      <c r="AN684" s="8" t="s">
        <v>221</v>
      </c>
      <c r="AO684" s="8" t="s">
        <v>222</v>
      </c>
      <c r="AP684" s="8">
        <v>0</v>
      </c>
      <c r="AQ684" s="8">
        <v>0</v>
      </c>
      <c r="AR684" s="9">
        <v>3</v>
      </c>
      <c r="AS684" s="8">
        <v>0</v>
      </c>
      <c r="AT684" s="8">
        <v>0</v>
      </c>
      <c r="AU684" s="8">
        <v>0</v>
      </c>
      <c r="AV684" s="8">
        <v>0</v>
      </c>
      <c r="AW684" s="9">
        <v>3</v>
      </c>
      <c r="AX684" s="8"/>
      <c r="AY684" s="8"/>
      <c r="AZ684">
        <v>3</v>
      </c>
      <c r="BA684" t="s">
        <v>3113</v>
      </c>
      <c r="BB684" t="s">
        <v>2263</v>
      </c>
    </row>
    <row r="685" spans="1:54">
      <c r="A685" s="6">
        <v>45835</v>
      </c>
      <c r="B685" s="7" t="s">
        <v>1450</v>
      </c>
      <c r="C685" t="s">
        <v>205</v>
      </c>
      <c r="D685" t="s">
        <v>2667</v>
      </c>
      <c r="G685" t="s">
        <v>207</v>
      </c>
      <c r="H685" s="8" t="s">
        <v>208</v>
      </c>
      <c r="I685" s="8" t="s">
        <v>208</v>
      </c>
      <c r="J685" s="8" t="s">
        <v>208</v>
      </c>
      <c r="K685" s="8" t="s">
        <v>208</v>
      </c>
      <c r="L685" s="8" t="s">
        <v>208</v>
      </c>
      <c r="M685" s="8" t="s">
        <v>208</v>
      </c>
      <c r="N685" s="8" t="s">
        <v>208</v>
      </c>
      <c r="O685" s="8" t="s">
        <v>208</v>
      </c>
      <c r="Q685" t="s">
        <v>1451</v>
      </c>
      <c r="R685" t="s">
        <v>1452</v>
      </c>
      <c r="U685" t="s">
        <v>1453</v>
      </c>
      <c r="V685" t="s">
        <v>138</v>
      </c>
      <c r="W685" t="s">
        <v>212</v>
      </c>
      <c r="X685" t="s">
        <v>212</v>
      </c>
      <c r="Y685" t="s">
        <v>213</v>
      </c>
      <c r="Z685" t="s">
        <v>213</v>
      </c>
      <c r="AA685" t="s">
        <v>214</v>
      </c>
      <c r="AB685" t="s">
        <v>285</v>
      </c>
      <c r="AC685" t="s">
        <v>215</v>
      </c>
      <c r="AD685" t="s">
        <v>216</v>
      </c>
      <c r="AE685" t="s">
        <v>217</v>
      </c>
      <c r="AG685" s="8" t="s">
        <v>218</v>
      </c>
      <c r="AH685" t="s">
        <v>219</v>
      </c>
      <c r="AI685" s="9" t="s">
        <v>218</v>
      </c>
      <c r="AJ685" s="9" t="s">
        <v>218</v>
      </c>
      <c r="AK685" t="s">
        <v>1454</v>
      </c>
      <c r="AL685" s="9" t="s">
        <v>218</v>
      </c>
      <c r="AM685" s="8" t="s">
        <v>221</v>
      </c>
      <c r="AN685" s="8" t="s">
        <v>221</v>
      </c>
      <c r="AO685" s="8" t="s">
        <v>222</v>
      </c>
      <c r="AP685" s="8">
        <v>0</v>
      </c>
      <c r="AQ685" s="8">
        <v>0</v>
      </c>
      <c r="AR685" s="9">
        <v>12</v>
      </c>
      <c r="AS685" s="8">
        <v>0</v>
      </c>
      <c r="AT685" s="8">
        <v>0</v>
      </c>
      <c r="AU685" s="8">
        <v>0</v>
      </c>
      <c r="AV685" s="8">
        <v>0</v>
      </c>
      <c r="AW685" s="9">
        <v>12</v>
      </c>
      <c r="AX685" s="8"/>
      <c r="AY685" s="9" t="s">
        <v>1455</v>
      </c>
      <c r="AZ685">
        <v>3</v>
      </c>
      <c r="BA685" t="s">
        <v>3114</v>
      </c>
      <c r="BB685" t="s">
        <v>1457</v>
      </c>
    </row>
    <row r="686" spans="1:54">
      <c r="A686" s="6">
        <v>45835</v>
      </c>
      <c r="B686" s="7" t="s">
        <v>3115</v>
      </c>
      <c r="C686" t="s">
        <v>205</v>
      </c>
      <c r="D686" t="s">
        <v>2667</v>
      </c>
      <c r="G686" t="s">
        <v>207</v>
      </c>
      <c r="H686" s="8" t="s">
        <v>208</v>
      </c>
      <c r="I686" s="8" t="s">
        <v>208</v>
      </c>
      <c r="J686" s="8" t="s">
        <v>208</v>
      </c>
      <c r="K686" s="8" t="s">
        <v>208</v>
      </c>
      <c r="L686" s="8" t="s">
        <v>208</v>
      </c>
      <c r="M686" s="8" t="s">
        <v>208</v>
      </c>
      <c r="N686" s="8" t="s">
        <v>208</v>
      </c>
      <c r="O686" s="8" t="s">
        <v>208</v>
      </c>
      <c r="Q686" t="s">
        <v>3116</v>
      </c>
      <c r="R686" t="s">
        <v>3117</v>
      </c>
      <c r="U686" t="s">
        <v>3118</v>
      </c>
      <c r="V686" t="s">
        <v>138</v>
      </c>
      <c r="W686" t="s">
        <v>212</v>
      </c>
      <c r="X686" t="s">
        <v>212</v>
      </c>
      <c r="Y686" t="s">
        <v>213</v>
      </c>
      <c r="Z686" t="s">
        <v>213</v>
      </c>
      <c r="AA686" t="s">
        <v>214</v>
      </c>
      <c r="AB686" t="s">
        <v>758</v>
      </c>
      <c r="AC686" t="s">
        <v>285</v>
      </c>
      <c r="AD686" t="s">
        <v>216</v>
      </c>
      <c r="AE686" t="s">
        <v>217</v>
      </c>
      <c r="AG686" s="8" t="s">
        <v>218</v>
      </c>
      <c r="AH686" t="s">
        <v>219</v>
      </c>
      <c r="AI686" s="9" t="s">
        <v>218</v>
      </c>
      <c r="AJ686" s="9" t="s">
        <v>218</v>
      </c>
      <c r="AK686" t="s">
        <v>234</v>
      </c>
      <c r="AL686" s="9" t="s">
        <v>218</v>
      </c>
      <c r="AM686" s="8" t="s">
        <v>221</v>
      </c>
      <c r="AN686" s="8" t="s">
        <v>221</v>
      </c>
      <c r="AO686" s="8" t="s">
        <v>222</v>
      </c>
      <c r="AP686" s="8">
        <v>0</v>
      </c>
      <c r="AQ686" s="8">
        <v>0</v>
      </c>
      <c r="AR686" s="9">
        <v>9</v>
      </c>
      <c r="AS686" s="8">
        <v>0</v>
      </c>
      <c r="AT686" s="8">
        <v>0</v>
      </c>
      <c r="AU686" s="8">
        <v>0</v>
      </c>
      <c r="AV686" s="8">
        <v>0</v>
      </c>
      <c r="AW686" s="9">
        <v>9</v>
      </c>
      <c r="AX686" s="8"/>
      <c r="AY686" s="8"/>
      <c r="AZ686">
        <v>3</v>
      </c>
      <c r="BA686" t="s">
        <v>3114</v>
      </c>
      <c r="BB686" t="s">
        <v>3119</v>
      </c>
    </row>
    <row r="687" spans="1:54">
      <c r="A687" s="6">
        <v>45835</v>
      </c>
      <c r="B687" s="7" t="s">
        <v>1299</v>
      </c>
      <c r="C687" t="s">
        <v>205</v>
      </c>
      <c r="D687" t="s">
        <v>2667</v>
      </c>
      <c r="G687" t="s">
        <v>207</v>
      </c>
      <c r="H687" s="8" t="s">
        <v>208</v>
      </c>
      <c r="I687" s="8" t="s">
        <v>208</v>
      </c>
      <c r="J687" s="8" t="s">
        <v>208</v>
      </c>
      <c r="K687" s="8" t="s">
        <v>208</v>
      </c>
      <c r="L687" s="8" t="s">
        <v>208</v>
      </c>
      <c r="M687" s="8" t="s">
        <v>208</v>
      </c>
      <c r="N687" s="8" t="s">
        <v>208</v>
      </c>
      <c r="O687" s="8" t="s">
        <v>208</v>
      </c>
      <c r="Q687" t="s">
        <v>1300</v>
      </c>
      <c r="R687" t="s">
        <v>1301</v>
      </c>
      <c r="U687" t="s">
        <v>1302</v>
      </c>
      <c r="V687" t="s">
        <v>138</v>
      </c>
      <c r="W687" t="s">
        <v>212</v>
      </c>
      <c r="X687" t="s">
        <v>212</v>
      </c>
      <c r="Y687" t="s">
        <v>213</v>
      </c>
      <c r="Z687" t="s">
        <v>213</v>
      </c>
      <c r="AA687" t="s">
        <v>214</v>
      </c>
      <c r="AB687" t="s">
        <v>215</v>
      </c>
      <c r="AC687" t="s">
        <v>701</v>
      </c>
      <c r="AD687" t="s">
        <v>216</v>
      </c>
      <c r="AE687" t="s">
        <v>217</v>
      </c>
      <c r="AG687" s="8" t="s">
        <v>218</v>
      </c>
      <c r="AH687" t="s">
        <v>219</v>
      </c>
      <c r="AI687" s="9" t="s">
        <v>218</v>
      </c>
      <c r="AJ687" s="9" t="s">
        <v>218</v>
      </c>
      <c r="AK687" t="s">
        <v>234</v>
      </c>
      <c r="AL687" s="9" t="s">
        <v>218</v>
      </c>
      <c r="AM687" s="8" t="s">
        <v>221</v>
      </c>
      <c r="AN687" s="8" t="s">
        <v>221</v>
      </c>
      <c r="AO687" s="8" t="s">
        <v>222</v>
      </c>
      <c r="AP687" s="8">
        <v>0</v>
      </c>
      <c r="AQ687" s="8">
        <v>0</v>
      </c>
      <c r="AR687" s="9">
        <v>10</v>
      </c>
      <c r="AS687" s="8">
        <v>0</v>
      </c>
      <c r="AT687" s="8">
        <v>0</v>
      </c>
      <c r="AU687" s="8">
        <v>0</v>
      </c>
      <c r="AV687" s="8">
        <v>0</v>
      </c>
      <c r="AW687" s="9">
        <v>10</v>
      </c>
      <c r="AX687" s="8"/>
      <c r="AY687" s="8"/>
      <c r="AZ687">
        <v>3</v>
      </c>
      <c r="BA687" t="s">
        <v>3114</v>
      </c>
      <c r="BB687" t="s">
        <v>1303</v>
      </c>
    </row>
    <row r="688" spans="1:54">
      <c r="A688" s="6">
        <v>45835</v>
      </c>
      <c r="B688" s="7" t="s">
        <v>2357</v>
      </c>
      <c r="C688" t="s">
        <v>205</v>
      </c>
      <c r="D688" t="s">
        <v>2667</v>
      </c>
      <c r="G688" t="s">
        <v>207</v>
      </c>
      <c r="H688" s="8" t="s">
        <v>208</v>
      </c>
      <c r="I688" s="8" t="s">
        <v>208</v>
      </c>
      <c r="J688" s="8" t="s">
        <v>208</v>
      </c>
      <c r="K688" s="8" t="s">
        <v>208</v>
      </c>
      <c r="L688" s="8" t="s">
        <v>208</v>
      </c>
      <c r="M688" s="8" t="s">
        <v>208</v>
      </c>
      <c r="N688" s="8" t="s">
        <v>208</v>
      </c>
      <c r="O688" s="8" t="s">
        <v>208</v>
      </c>
      <c r="Q688" t="s">
        <v>2358</v>
      </c>
      <c r="R688" t="s">
        <v>2359</v>
      </c>
      <c r="U688" t="s">
        <v>2360</v>
      </c>
      <c r="V688" t="s">
        <v>140</v>
      </c>
      <c r="W688" t="s">
        <v>212</v>
      </c>
      <c r="X688" t="s">
        <v>212</v>
      </c>
      <c r="Y688" t="s">
        <v>213</v>
      </c>
      <c r="Z688" t="s">
        <v>213</v>
      </c>
      <c r="AA688" t="s">
        <v>214</v>
      </c>
      <c r="AB688" t="s">
        <v>1336</v>
      </c>
      <c r="AC688" t="s">
        <v>758</v>
      </c>
      <c r="AD688" t="s">
        <v>216</v>
      </c>
      <c r="AE688" t="s">
        <v>217</v>
      </c>
      <c r="AG688" s="8" t="s">
        <v>218</v>
      </c>
      <c r="AH688" t="s">
        <v>219</v>
      </c>
      <c r="AI688" s="9" t="s">
        <v>218</v>
      </c>
      <c r="AJ688" s="9" t="s">
        <v>218</v>
      </c>
      <c r="AK688" t="s">
        <v>234</v>
      </c>
      <c r="AL688" s="9" t="s">
        <v>218</v>
      </c>
      <c r="AM688" s="8" t="s">
        <v>221</v>
      </c>
      <c r="AN688" s="8" t="s">
        <v>221</v>
      </c>
      <c r="AO688" s="8" t="s">
        <v>222</v>
      </c>
      <c r="AP688" s="8">
        <v>0</v>
      </c>
      <c r="AQ688" s="8">
        <v>0</v>
      </c>
      <c r="AR688" s="9">
        <v>40</v>
      </c>
      <c r="AS688" s="8">
        <v>0</v>
      </c>
      <c r="AT688" s="8">
        <v>0</v>
      </c>
      <c r="AU688" s="8">
        <v>0</v>
      </c>
      <c r="AV688" s="8">
        <v>0</v>
      </c>
      <c r="AW688" s="9">
        <v>40</v>
      </c>
      <c r="AX688" s="8"/>
      <c r="AY688" s="8"/>
      <c r="AZ688">
        <v>3</v>
      </c>
      <c r="BA688" t="s">
        <v>3114</v>
      </c>
      <c r="BB688" t="s">
        <v>2362</v>
      </c>
    </row>
    <row r="689" spans="1:54">
      <c r="A689" s="6">
        <v>45835</v>
      </c>
      <c r="B689" s="7" t="s">
        <v>3120</v>
      </c>
      <c r="C689" t="s">
        <v>205</v>
      </c>
      <c r="D689" t="s">
        <v>2667</v>
      </c>
      <c r="G689" t="s">
        <v>207</v>
      </c>
      <c r="H689" s="8" t="s">
        <v>208</v>
      </c>
      <c r="I689" s="8" t="s">
        <v>208</v>
      </c>
      <c r="J689" s="8" t="s">
        <v>208</v>
      </c>
      <c r="K689" s="8" t="s">
        <v>208</v>
      </c>
      <c r="L689" s="8" t="s">
        <v>208</v>
      </c>
      <c r="M689" s="8" t="s">
        <v>208</v>
      </c>
      <c r="N689" s="8" t="s">
        <v>208</v>
      </c>
      <c r="O689" s="8" t="s">
        <v>208</v>
      </c>
      <c r="Q689" t="s">
        <v>3121</v>
      </c>
      <c r="R689" t="s">
        <v>3122</v>
      </c>
      <c r="U689" t="s">
        <v>3123</v>
      </c>
      <c r="V689" t="s">
        <v>140</v>
      </c>
      <c r="W689" t="s">
        <v>212</v>
      </c>
      <c r="X689" t="s">
        <v>212</v>
      </c>
      <c r="Y689" t="s">
        <v>213</v>
      </c>
      <c r="Z689" t="s">
        <v>213</v>
      </c>
      <c r="AA689" t="s">
        <v>214</v>
      </c>
      <c r="AB689" t="s">
        <v>215</v>
      </c>
      <c r="AC689" t="s">
        <v>701</v>
      </c>
      <c r="AD689" t="s">
        <v>216</v>
      </c>
      <c r="AE689" t="s">
        <v>217</v>
      </c>
      <c r="AG689" s="8" t="s">
        <v>218</v>
      </c>
      <c r="AH689" t="s">
        <v>219</v>
      </c>
      <c r="AI689" s="9" t="s">
        <v>218</v>
      </c>
      <c r="AJ689" s="9" t="s">
        <v>218</v>
      </c>
      <c r="AK689" t="s">
        <v>234</v>
      </c>
      <c r="AL689" s="9" t="s">
        <v>218</v>
      </c>
      <c r="AM689" s="8" t="s">
        <v>221</v>
      </c>
      <c r="AN689" s="8" t="s">
        <v>221</v>
      </c>
      <c r="AO689" s="8" t="s">
        <v>222</v>
      </c>
      <c r="AP689" s="8">
        <v>0</v>
      </c>
      <c r="AQ689" s="8">
        <v>0</v>
      </c>
      <c r="AR689" s="9">
        <v>4</v>
      </c>
      <c r="AS689" s="8">
        <v>0</v>
      </c>
      <c r="AT689" s="8">
        <v>0</v>
      </c>
      <c r="AU689" s="8">
        <v>0</v>
      </c>
      <c r="AV689" s="8">
        <v>0</v>
      </c>
      <c r="AW689" s="9">
        <v>4</v>
      </c>
      <c r="AX689" s="8"/>
      <c r="AY689" s="8"/>
      <c r="AZ689">
        <v>3</v>
      </c>
      <c r="BA689" t="s">
        <v>3124</v>
      </c>
      <c r="BB689" t="s">
        <v>3125</v>
      </c>
    </row>
    <row r="690" spans="1:54">
      <c r="A690" s="6">
        <v>45835</v>
      </c>
      <c r="B690" s="7" t="s">
        <v>2605</v>
      </c>
      <c r="C690" t="s">
        <v>205</v>
      </c>
      <c r="D690" t="s">
        <v>2667</v>
      </c>
      <c r="G690" t="s">
        <v>207</v>
      </c>
      <c r="H690" s="8" t="s">
        <v>208</v>
      </c>
      <c r="I690" s="8" t="s">
        <v>208</v>
      </c>
      <c r="J690" s="8" t="s">
        <v>208</v>
      </c>
      <c r="K690" s="8" t="s">
        <v>208</v>
      </c>
      <c r="L690" s="8" t="s">
        <v>208</v>
      </c>
      <c r="M690" s="8" t="s">
        <v>208</v>
      </c>
      <c r="N690" s="8" t="s">
        <v>208</v>
      </c>
      <c r="O690" s="8" t="s">
        <v>208</v>
      </c>
      <c r="Q690" t="s">
        <v>2606</v>
      </c>
      <c r="R690" t="s">
        <v>2607</v>
      </c>
      <c r="U690" t="s">
        <v>2608</v>
      </c>
      <c r="V690" t="s">
        <v>140</v>
      </c>
      <c r="W690" t="s">
        <v>212</v>
      </c>
      <c r="X690" t="s">
        <v>212</v>
      </c>
      <c r="Y690" t="s">
        <v>213</v>
      </c>
      <c r="Z690" t="s">
        <v>213</v>
      </c>
      <c r="AA690" t="s">
        <v>214</v>
      </c>
      <c r="AB690" t="s">
        <v>215</v>
      </c>
      <c r="AC690" t="s">
        <v>701</v>
      </c>
      <c r="AD690" t="s">
        <v>216</v>
      </c>
      <c r="AE690" t="s">
        <v>217</v>
      </c>
      <c r="AG690" s="8" t="s">
        <v>218</v>
      </c>
      <c r="AH690" t="s">
        <v>219</v>
      </c>
      <c r="AI690" s="9" t="s">
        <v>218</v>
      </c>
      <c r="AJ690" s="9" t="s">
        <v>218</v>
      </c>
      <c r="AK690" t="s">
        <v>234</v>
      </c>
      <c r="AL690" s="9" t="s">
        <v>218</v>
      </c>
      <c r="AM690" s="8" t="s">
        <v>221</v>
      </c>
      <c r="AN690" s="8" t="s">
        <v>221</v>
      </c>
      <c r="AO690" s="8" t="s">
        <v>222</v>
      </c>
      <c r="AP690" s="8">
        <v>0</v>
      </c>
      <c r="AQ690" s="8">
        <v>0</v>
      </c>
      <c r="AR690" s="8">
        <v>0</v>
      </c>
      <c r="AS690" s="8">
        <v>0</v>
      </c>
      <c r="AT690" s="8">
        <v>0</v>
      </c>
      <c r="AU690" s="8">
        <v>0</v>
      </c>
      <c r="AV690" s="8">
        <v>0</v>
      </c>
      <c r="AW690" s="8">
        <v>0</v>
      </c>
      <c r="AX690" s="8"/>
      <c r="AY690" s="8"/>
      <c r="AZ690">
        <v>3</v>
      </c>
      <c r="BA690" t="s">
        <v>3124</v>
      </c>
      <c r="BB690" t="s">
        <v>2609</v>
      </c>
    </row>
    <row r="691" spans="1:54">
      <c r="A691" s="6">
        <v>45835</v>
      </c>
      <c r="B691" s="7" t="s">
        <v>2610</v>
      </c>
      <c r="C691" t="s">
        <v>205</v>
      </c>
      <c r="D691" t="s">
        <v>2667</v>
      </c>
      <c r="G691" t="s">
        <v>207</v>
      </c>
      <c r="H691" s="8" t="s">
        <v>208</v>
      </c>
      <c r="I691" s="8" t="s">
        <v>208</v>
      </c>
      <c r="J691" s="8" t="s">
        <v>208</v>
      </c>
      <c r="K691" s="8" t="s">
        <v>208</v>
      </c>
      <c r="L691" s="8" t="s">
        <v>208</v>
      </c>
      <c r="M691" s="8" t="s">
        <v>208</v>
      </c>
      <c r="N691" s="8" t="s">
        <v>208</v>
      </c>
      <c r="O691" s="8" t="s">
        <v>208</v>
      </c>
      <c r="Q691" t="s">
        <v>2611</v>
      </c>
      <c r="R691" t="s">
        <v>2612</v>
      </c>
      <c r="U691" t="s">
        <v>2613</v>
      </c>
      <c r="V691" t="s">
        <v>140</v>
      </c>
      <c r="W691" t="s">
        <v>212</v>
      </c>
      <c r="X691" t="s">
        <v>212</v>
      </c>
      <c r="Y691" t="s">
        <v>213</v>
      </c>
      <c r="Z691" t="s">
        <v>213</v>
      </c>
      <c r="AA691" t="s">
        <v>214</v>
      </c>
      <c r="AB691" t="s">
        <v>1336</v>
      </c>
      <c r="AC691" t="s">
        <v>758</v>
      </c>
      <c r="AD691" t="s">
        <v>216</v>
      </c>
      <c r="AE691" t="s">
        <v>217</v>
      </c>
      <c r="AG691" s="8" t="s">
        <v>218</v>
      </c>
      <c r="AH691" t="s">
        <v>219</v>
      </c>
      <c r="AI691" s="9" t="s">
        <v>218</v>
      </c>
      <c r="AJ691" s="9" t="s">
        <v>218</v>
      </c>
      <c r="AK691" t="s">
        <v>2614</v>
      </c>
      <c r="AL691" s="9" t="s">
        <v>218</v>
      </c>
      <c r="AM691" s="8" t="s">
        <v>221</v>
      </c>
      <c r="AN691" s="8" t="s">
        <v>221</v>
      </c>
      <c r="AO691" s="8" t="s">
        <v>222</v>
      </c>
      <c r="AP691" s="8">
        <v>0</v>
      </c>
      <c r="AQ691" s="8">
        <v>0</v>
      </c>
      <c r="AR691" s="9">
        <v>5</v>
      </c>
      <c r="AS691" s="8">
        <v>0</v>
      </c>
      <c r="AT691" s="8">
        <v>0</v>
      </c>
      <c r="AU691" s="8">
        <v>0</v>
      </c>
      <c r="AV691" s="8">
        <v>0</v>
      </c>
      <c r="AW691" s="9">
        <v>5</v>
      </c>
      <c r="AX691" s="8"/>
      <c r="AY691" s="8"/>
      <c r="AZ691">
        <v>3</v>
      </c>
      <c r="BA691" t="s">
        <v>3114</v>
      </c>
      <c r="BB691" t="s">
        <v>2615</v>
      </c>
    </row>
    <row r="692" spans="1:54">
      <c r="A692" s="6">
        <v>45835</v>
      </c>
      <c r="B692" s="7" t="s">
        <v>3126</v>
      </c>
      <c r="C692" t="s">
        <v>205</v>
      </c>
      <c r="D692" t="s">
        <v>2667</v>
      </c>
      <c r="G692" t="s">
        <v>207</v>
      </c>
      <c r="H692" s="8" t="s">
        <v>208</v>
      </c>
      <c r="I692" s="8" t="s">
        <v>208</v>
      </c>
      <c r="J692" s="8" t="s">
        <v>208</v>
      </c>
      <c r="K692" s="8" t="s">
        <v>208</v>
      </c>
      <c r="L692" s="8" t="s">
        <v>208</v>
      </c>
      <c r="M692" s="8" t="s">
        <v>208</v>
      </c>
      <c r="N692" s="8" t="s">
        <v>208</v>
      </c>
      <c r="O692" s="8" t="s">
        <v>208</v>
      </c>
      <c r="Q692" t="s">
        <v>3127</v>
      </c>
      <c r="R692" t="s">
        <v>3128</v>
      </c>
      <c r="U692" t="s">
        <v>3129</v>
      </c>
      <c r="V692" t="s">
        <v>140</v>
      </c>
      <c r="W692" t="s">
        <v>212</v>
      </c>
      <c r="X692" t="s">
        <v>212</v>
      </c>
      <c r="Y692" t="s">
        <v>213</v>
      </c>
      <c r="Z692" t="s">
        <v>213</v>
      </c>
      <c r="AA692" t="s">
        <v>214</v>
      </c>
      <c r="AB692" t="s">
        <v>285</v>
      </c>
      <c r="AC692" t="s">
        <v>215</v>
      </c>
      <c r="AD692" t="s">
        <v>216</v>
      </c>
      <c r="AE692" t="s">
        <v>217</v>
      </c>
      <c r="AG692" s="8" t="s">
        <v>218</v>
      </c>
      <c r="AH692" t="s">
        <v>219</v>
      </c>
      <c r="AI692" s="9" t="s">
        <v>218</v>
      </c>
      <c r="AJ692" s="9" t="s">
        <v>218</v>
      </c>
      <c r="AK692" t="s">
        <v>234</v>
      </c>
      <c r="AL692" s="9" t="s">
        <v>218</v>
      </c>
      <c r="AM692" s="8" t="s">
        <v>221</v>
      </c>
      <c r="AN692" s="8" t="s">
        <v>221</v>
      </c>
      <c r="AO692" s="8" t="s">
        <v>222</v>
      </c>
      <c r="AP692" s="8">
        <v>0</v>
      </c>
      <c r="AQ692" s="8">
        <v>0</v>
      </c>
      <c r="AR692" s="9">
        <v>19</v>
      </c>
      <c r="AS692" s="8">
        <v>0</v>
      </c>
      <c r="AT692" s="8">
        <v>0</v>
      </c>
      <c r="AU692" s="8">
        <v>0</v>
      </c>
      <c r="AV692" s="8">
        <v>0</v>
      </c>
      <c r="AW692" s="9">
        <v>19</v>
      </c>
      <c r="AX692" s="8"/>
      <c r="AY692" s="8"/>
      <c r="AZ692">
        <v>3</v>
      </c>
      <c r="BA692" t="s">
        <v>3114</v>
      </c>
      <c r="BB692" t="s">
        <v>3130</v>
      </c>
    </row>
    <row r="693" spans="1:54">
      <c r="A693" s="6">
        <v>45835</v>
      </c>
      <c r="B693" s="7" t="s">
        <v>2671</v>
      </c>
      <c r="C693" t="s">
        <v>205</v>
      </c>
      <c r="D693" t="s">
        <v>2667</v>
      </c>
      <c r="G693" t="s">
        <v>207</v>
      </c>
      <c r="H693" s="8" t="s">
        <v>208</v>
      </c>
      <c r="I693" s="8" t="s">
        <v>208</v>
      </c>
      <c r="J693" s="8" t="s">
        <v>221</v>
      </c>
      <c r="K693" s="8" t="s">
        <v>221</v>
      </c>
      <c r="L693" s="8" t="s">
        <v>221</v>
      </c>
      <c r="M693" s="8" t="s">
        <v>221</v>
      </c>
      <c r="N693" s="8" t="s">
        <v>221</v>
      </c>
      <c r="O693" s="8" t="s">
        <v>208</v>
      </c>
      <c r="Q693" t="s">
        <v>2672</v>
      </c>
      <c r="R693" t="s">
        <v>2673</v>
      </c>
      <c r="U693" t="s">
        <v>2674</v>
      </c>
      <c r="V693" t="s">
        <v>140</v>
      </c>
      <c r="W693" t="s">
        <v>232</v>
      </c>
      <c r="X693" t="s">
        <v>232</v>
      </c>
      <c r="Y693" t="s">
        <v>765</v>
      </c>
      <c r="Z693" t="s">
        <v>765</v>
      </c>
      <c r="AA693" t="s">
        <v>1164</v>
      </c>
      <c r="AB693" t="s">
        <v>276</v>
      </c>
      <c r="AC693" t="s">
        <v>681</v>
      </c>
      <c r="AD693" t="s">
        <v>216</v>
      </c>
      <c r="AE693" t="s">
        <v>217</v>
      </c>
      <c r="AG693" s="8" t="s">
        <v>218</v>
      </c>
      <c r="AH693" t="s">
        <v>219</v>
      </c>
      <c r="AI693" s="9" t="s">
        <v>218</v>
      </c>
      <c r="AJ693" s="9" t="s">
        <v>218</v>
      </c>
      <c r="AK693" t="s">
        <v>2676</v>
      </c>
      <c r="AL693" s="9" t="s">
        <v>218</v>
      </c>
      <c r="AM693" s="8" t="s">
        <v>221</v>
      </c>
      <c r="AN693" s="8" t="s">
        <v>221</v>
      </c>
      <c r="AO693" s="8" t="s">
        <v>222</v>
      </c>
      <c r="AP693" s="8">
        <v>0</v>
      </c>
      <c r="AQ693" s="8">
        <v>0</v>
      </c>
      <c r="AR693" s="8">
        <v>0</v>
      </c>
      <c r="AS693" s="8">
        <v>0</v>
      </c>
      <c r="AT693" s="8">
        <v>0</v>
      </c>
      <c r="AU693" s="8">
        <v>0</v>
      </c>
      <c r="AV693" s="8">
        <v>0</v>
      </c>
      <c r="AW693" s="8">
        <v>0</v>
      </c>
      <c r="AX693" s="9" t="s">
        <v>2677</v>
      </c>
      <c r="AY693" s="8"/>
      <c r="AZ693">
        <v>1</v>
      </c>
      <c r="BA693" t="s">
        <v>3131</v>
      </c>
      <c r="BB693" t="s">
        <v>2678</v>
      </c>
    </row>
    <row r="694" spans="1:54">
      <c r="A694" s="6">
        <v>45835</v>
      </c>
      <c r="B694" s="7" t="s">
        <v>3132</v>
      </c>
      <c r="C694" t="s">
        <v>205</v>
      </c>
      <c r="D694" t="s">
        <v>2667</v>
      </c>
      <c r="G694" t="s">
        <v>207</v>
      </c>
      <c r="H694" s="8" t="s">
        <v>208</v>
      </c>
      <c r="I694" s="8" t="s">
        <v>208</v>
      </c>
      <c r="J694" s="8" t="s">
        <v>221</v>
      </c>
      <c r="K694" s="8" t="s">
        <v>221</v>
      </c>
      <c r="L694" s="8" t="s">
        <v>221</v>
      </c>
      <c r="M694" s="8" t="s">
        <v>221</v>
      </c>
      <c r="N694" s="8" t="s">
        <v>221</v>
      </c>
      <c r="O694" s="8" t="s">
        <v>208</v>
      </c>
      <c r="Q694" t="s">
        <v>2710</v>
      </c>
      <c r="R694" t="s">
        <v>3133</v>
      </c>
      <c r="U694" t="s">
        <v>2712</v>
      </c>
      <c r="V694" t="s">
        <v>140</v>
      </c>
      <c r="W694" t="s">
        <v>232</v>
      </c>
      <c r="Y694" t="s">
        <v>765</v>
      </c>
      <c r="Z694" t="s">
        <v>765</v>
      </c>
      <c r="AA694" t="s">
        <v>214</v>
      </c>
      <c r="AB694" t="s">
        <v>701</v>
      </c>
      <c r="AC694" t="s">
        <v>242</v>
      </c>
      <c r="AD694" t="s">
        <v>216</v>
      </c>
      <c r="AE694" t="s">
        <v>217</v>
      </c>
      <c r="AG694" s="8" t="s">
        <v>218</v>
      </c>
      <c r="AH694" t="s">
        <v>219</v>
      </c>
      <c r="AI694" s="9" t="s">
        <v>218</v>
      </c>
      <c r="AJ694" s="9" t="s">
        <v>218</v>
      </c>
      <c r="AK694" t="s">
        <v>2713</v>
      </c>
      <c r="AL694" s="9" t="s">
        <v>218</v>
      </c>
      <c r="AM694" s="8" t="s">
        <v>221</v>
      </c>
      <c r="AN694" s="8" t="s">
        <v>221</v>
      </c>
      <c r="AO694" s="8" t="s">
        <v>222</v>
      </c>
      <c r="AP694" s="8">
        <v>0</v>
      </c>
      <c r="AQ694" s="8">
        <v>0</v>
      </c>
      <c r="AR694" s="8">
        <v>0</v>
      </c>
      <c r="AS694" s="8">
        <v>0</v>
      </c>
      <c r="AT694" s="8">
        <v>0</v>
      </c>
      <c r="AU694" s="8">
        <v>0</v>
      </c>
      <c r="AV694" s="8">
        <v>0</v>
      </c>
      <c r="AW694" s="8">
        <v>0</v>
      </c>
      <c r="AX694" s="9" t="s">
        <v>3134</v>
      </c>
      <c r="AY694" s="8"/>
      <c r="AZ694">
        <v>1</v>
      </c>
      <c r="BA694" t="s">
        <v>3135</v>
      </c>
    </row>
    <row r="695" spans="1:54">
      <c r="A695" s="6">
        <v>45849</v>
      </c>
      <c r="B695" s="7" t="s">
        <v>677</v>
      </c>
      <c r="C695" t="s">
        <v>668</v>
      </c>
      <c r="D695" t="s">
        <v>3136</v>
      </c>
      <c r="E695" t="s">
        <v>3136</v>
      </c>
      <c r="F695" t="s">
        <v>3137</v>
      </c>
      <c r="G695" t="s">
        <v>294</v>
      </c>
      <c r="H695" s="8" t="s">
        <v>221</v>
      </c>
      <c r="I695" s="8" t="s">
        <v>221</v>
      </c>
      <c r="J695" s="8" t="s">
        <v>221</v>
      </c>
      <c r="K695" s="8" t="s">
        <v>221</v>
      </c>
      <c r="L695" s="8" t="s">
        <v>208</v>
      </c>
      <c r="M695" s="8" t="s">
        <v>208</v>
      </c>
      <c r="N695" s="8" t="s">
        <v>221</v>
      </c>
      <c r="O695" s="8" t="s">
        <v>208</v>
      </c>
      <c r="Q695" t="s">
        <v>678</v>
      </c>
      <c r="R695" t="s">
        <v>679</v>
      </c>
      <c r="U695" t="s">
        <v>680</v>
      </c>
      <c r="V695" t="s">
        <v>140</v>
      </c>
      <c r="W695" t="s">
        <v>212</v>
      </c>
      <c r="X695" t="s">
        <v>212</v>
      </c>
      <c r="Y695" t="s">
        <v>213</v>
      </c>
      <c r="Z695" t="s">
        <v>213</v>
      </c>
      <c r="AA695" t="s">
        <v>214</v>
      </c>
      <c r="AB695" t="s">
        <v>672</v>
      </c>
      <c r="AC695" t="s">
        <v>672</v>
      </c>
      <c r="AD695" t="s">
        <v>216</v>
      </c>
      <c r="AE695" t="s">
        <v>217</v>
      </c>
      <c r="AG695" s="8" t="s">
        <v>218</v>
      </c>
      <c r="AH695" t="s">
        <v>219</v>
      </c>
      <c r="AI695" s="9" t="s">
        <v>218</v>
      </c>
      <c r="AJ695" s="9" t="s">
        <v>218</v>
      </c>
      <c r="AK695" t="s">
        <v>234</v>
      </c>
      <c r="AL695" s="9" t="s">
        <v>218</v>
      </c>
      <c r="AM695" s="8" t="s">
        <v>221</v>
      </c>
      <c r="AN695" s="8" t="s">
        <v>221</v>
      </c>
      <c r="AO695" s="8" t="s">
        <v>222</v>
      </c>
      <c r="AP695" s="8">
        <v>0</v>
      </c>
      <c r="AQ695" s="8">
        <v>0</v>
      </c>
      <c r="AR695" s="9">
        <v>140</v>
      </c>
      <c r="AS695" s="8">
        <v>0</v>
      </c>
      <c r="AT695" s="8">
        <v>0</v>
      </c>
      <c r="AU695" s="8">
        <v>0</v>
      </c>
      <c r="AV695" s="8">
        <v>0</v>
      </c>
      <c r="AW695" s="9">
        <v>140</v>
      </c>
      <c r="AX695" s="8"/>
      <c r="AY695" s="9" t="s">
        <v>2549</v>
      </c>
      <c r="AZ695">
        <v>0</v>
      </c>
      <c r="BB695" t="s">
        <v>684</v>
      </c>
    </row>
    <row r="696" spans="1:54">
      <c r="A696" s="6">
        <v>45849</v>
      </c>
      <c r="B696" s="7" t="s">
        <v>686</v>
      </c>
      <c r="C696" t="s">
        <v>687</v>
      </c>
      <c r="D696" t="s">
        <v>3136</v>
      </c>
      <c r="E696" t="s">
        <v>3136</v>
      </c>
      <c r="F696" t="s">
        <v>3137</v>
      </c>
      <c r="G696" t="s">
        <v>294</v>
      </c>
      <c r="H696" s="8" t="s">
        <v>221</v>
      </c>
      <c r="I696" s="8" t="s">
        <v>221</v>
      </c>
      <c r="J696" s="8" t="s">
        <v>221</v>
      </c>
      <c r="K696" s="8" t="s">
        <v>221</v>
      </c>
      <c r="L696" s="8" t="s">
        <v>208</v>
      </c>
      <c r="M696" s="8" t="s">
        <v>208</v>
      </c>
      <c r="N696" s="8" t="s">
        <v>221</v>
      </c>
      <c r="O696" s="8" t="s">
        <v>208</v>
      </c>
      <c r="Q696" t="s">
        <v>688</v>
      </c>
      <c r="R696" t="s">
        <v>689</v>
      </c>
      <c r="U696" t="s">
        <v>690</v>
      </c>
      <c r="V696" t="s">
        <v>662</v>
      </c>
      <c r="W696" t="s">
        <v>232</v>
      </c>
      <c r="X696" t="s">
        <v>232</v>
      </c>
      <c r="Y696" t="s">
        <v>233</v>
      </c>
      <c r="Z696" t="s">
        <v>233</v>
      </c>
      <c r="AA696" t="s">
        <v>663</v>
      </c>
      <c r="AB696" t="s">
        <v>2553</v>
      </c>
      <c r="AC696" t="s">
        <v>2553</v>
      </c>
      <c r="AD696" t="s">
        <v>216</v>
      </c>
      <c r="AE696" t="s">
        <v>217</v>
      </c>
      <c r="AG696" s="8" t="s">
        <v>218</v>
      </c>
      <c r="AH696" t="s">
        <v>219</v>
      </c>
      <c r="AI696" s="9" t="s">
        <v>218</v>
      </c>
      <c r="AJ696" s="9" t="s">
        <v>218</v>
      </c>
      <c r="AK696" t="s">
        <v>234</v>
      </c>
      <c r="AL696" s="9" t="s">
        <v>218</v>
      </c>
      <c r="AM696" s="8" t="s">
        <v>221</v>
      </c>
      <c r="AN696" s="8" t="s">
        <v>221</v>
      </c>
      <c r="AO696" s="8" t="s">
        <v>222</v>
      </c>
      <c r="AP696" s="8">
        <v>0</v>
      </c>
      <c r="AQ696" s="8">
        <v>0</v>
      </c>
      <c r="AR696" s="9">
        <v>687</v>
      </c>
      <c r="AS696" s="8">
        <v>0</v>
      </c>
      <c r="AT696" s="8">
        <v>0</v>
      </c>
      <c r="AU696" s="8">
        <v>0</v>
      </c>
      <c r="AV696" s="8">
        <v>0</v>
      </c>
      <c r="AW696" s="9">
        <v>687</v>
      </c>
      <c r="AX696" s="9" t="s">
        <v>692</v>
      </c>
      <c r="AY696" s="8"/>
      <c r="AZ696">
        <v>0</v>
      </c>
      <c r="BB696" t="s">
        <v>694</v>
      </c>
    </row>
    <row r="697" spans="1:54">
      <c r="A697" s="6">
        <v>45849</v>
      </c>
      <c r="B697" s="7" t="s">
        <v>3138</v>
      </c>
      <c r="C697" t="s">
        <v>387</v>
      </c>
      <c r="D697" t="s">
        <v>3139</v>
      </c>
      <c r="E697" t="s">
        <v>1275</v>
      </c>
      <c r="F697" t="s">
        <v>1275</v>
      </c>
      <c r="G697" t="s">
        <v>2781</v>
      </c>
      <c r="H697" s="8" t="s">
        <v>221</v>
      </c>
      <c r="I697" s="8" t="s">
        <v>221</v>
      </c>
      <c r="J697" s="8" t="s">
        <v>221</v>
      </c>
      <c r="K697" s="8" t="s">
        <v>221</v>
      </c>
      <c r="L697" s="8" t="s">
        <v>221</v>
      </c>
      <c r="M697" s="8" t="s">
        <v>221</v>
      </c>
      <c r="N697" s="8" t="s">
        <v>208</v>
      </c>
      <c r="O697" s="8" t="s">
        <v>208</v>
      </c>
      <c r="Q697" t="s">
        <v>3140</v>
      </c>
      <c r="R697" t="s">
        <v>3141</v>
      </c>
      <c r="U697" t="s">
        <v>3142</v>
      </c>
      <c r="V697" t="s">
        <v>2909</v>
      </c>
      <c r="W697" t="s">
        <v>298</v>
      </c>
      <c r="X697" t="s">
        <v>298</v>
      </c>
      <c r="Y697" t="s">
        <v>1103</v>
      </c>
      <c r="Z697" t="s">
        <v>299</v>
      </c>
      <c r="AA697" t="s">
        <v>3143</v>
      </c>
      <c r="AB697" t="s">
        <v>465</v>
      </c>
      <c r="AC697" t="s">
        <v>301</v>
      </c>
      <c r="AD697" t="s">
        <v>3144</v>
      </c>
      <c r="AE697" t="s">
        <v>3143</v>
      </c>
      <c r="AG697" s="8" t="s">
        <v>218</v>
      </c>
      <c r="AH697" t="s">
        <v>2283</v>
      </c>
      <c r="AI697" s="8" t="s">
        <v>221</v>
      </c>
      <c r="AJ697" s="8" t="s">
        <v>221</v>
      </c>
      <c r="AK697" t="s">
        <v>234</v>
      </c>
      <c r="AL697" s="8" t="s">
        <v>221</v>
      </c>
      <c r="AM697" s="9" t="s">
        <v>218</v>
      </c>
      <c r="AN697" s="8" t="s">
        <v>221</v>
      </c>
      <c r="AO697" s="8" t="s">
        <v>222</v>
      </c>
      <c r="AP697" s="8">
        <v>0</v>
      </c>
      <c r="AQ697" s="8">
        <v>0</v>
      </c>
      <c r="AR697" s="9">
        <v>3</v>
      </c>
      <c r="AS697" s="8">
        <v>0</v>
      </c>
      <c r="AT697" s="8">
        <v>0</v>
      </c>
      <c r="AU697" s="8">
        <v>0</v>
      </c>
      <c r="AV697" s="8">
        <v>0</v>
      </c>
      <c r="AW697" s="9">
        <v>3</v>
      </c>
      <c r="AX697" s="8"/>
      <c r="AY697" s="9" t="s">
        <v>3145</v>
      </c>
      <c r="AZ697">
        <v>2</v>
      </c>
      <c r="BA697" t="s">
        <v>3146</v>
      </c>
      <c r="BB697" t="s">
        <v>3147</v>
      </c>
    </row>
    <row r="698" spans="1:54">
      <c r="A698" s="6">
        <v>45849</v>
      </c>
      <c r="B698" s="7" t="s">
        <v>3148</v>
      </c>
      <c r="C698" t="s">
        <v>387</v>
      </c>
      <c r="D698" t="s">
        <v>3139</v>
      </c>
      <c r="E698" t="s">
        <v>1275</v>
      </c>
      <c r="F698" t="s">
        <v>1275</v>
      </c>
      <c r="G698" t="s">
        <v>2781</v>
      </c>
      <c r="H698" s="8" t="s">
        <v>221</v>
      </c>
      <c r="I698" s="8" t="s">
        <v>221</v>
      </c>
      <c r="J698" s="8" t="s">
        <v>221</v>
      </c>
      <c r="K698" s="8" t="s">
        <v>221</v>
      </c>
      <c r="L698" s="8" t="s">
        <v>221</v>
      </c>
      <c r="M698" s="8" t="s">
        <v>221</v>
      </c>
      <c r="N698" s="8" t="s">
        <v>208</v>
      </c>
      <c r="O698" s="8" t="s">
        <v>208</v>
      </c>
      <c r="Q698" t="s">
        <v>3149</v>
      </c>
      <c r="R698" t="s">
        <v>3150</v>
      </c>
      <c r="U698" t="s">
        <v>3151</v>
      </c>
      <c r="V698" t="s">
        <v>2909</v>
      </c>
      <c r="W698" t="s">
        <v>298</v>
      </c>
      <c r="X698" t="s">
        <v>298</v>
      </c>
      <c r="Y698" t="s">
        <v>1103</v>
      </c>
      <c r="Z698" t="s">
        <v>299</v>
      </c>
      <c r="AA698" t="s">
        <v>3143</v>
      </c>
      <c r="AB698" t="s">
        <v>465</v>
      </c>
      <c r="AC698" t="s">
        <v>301</v>
      </c>
      <c r="AD698" t="s">
        <v>3144</v>
      </c>
      <c r="AE698" t="s">
        <v>3143</v>
      </c>
      <c r="AG698" s="8" t="s">
        <v>218</v>
      </c>
      <c r="AH698" t="s">
        <v>2283</v>
      </c>
      <c r="AI698" s="8" t="s">
        <v>221</v>
      </c>
      <c r="AJ698" s="8" t="s">
        <v>221</v>
      </c>
      <c r="AK698" t="s">
        <v>3152</v>
      </c>
      <c r="AL698" s="8" t="s">
        <v>221</v>
      </c>
      <c r="AM698" s="9" t="s">
        <v>218</v>
      </c>
      <c r="AN698" s="8" t="s">
        <v>221</v>
      </c>
      <c r="AO698" s="8" t="s">
        <v>222</v>
      </c>
      <c r="AP698" s="8">
        <v>0</v>
      </c>
      <c r="AQ698" s="8">
        <v>0</v>
      </c>
      <c r="AR698" s="9">
        <v>2</v>
      </c>
      <c r="AS698" s="8">
        <v>0</v>
      </c>
      <c r="AT698" s="8">
        <v>0</v>
      </c>
      <c r="AU698" s="8">
        <v>0</v>
      </c>
      <c r="AV698" s="8">
        <v>0</v>
      </c>
      <c r="AW698" s="9">
        <v>2</v>
      </c>
      <c r="AX698" s="8"/>
      <c r="AY698" s="8"/>
      <c r="AZ698">
        <v>4</v>
      </c>
      <c r="BA698" t="s">
        <v>3153</v>
      </c>
      <c r="BB698" t="s">
        <v>3154</v>
      </c>
    </row>
    <row r="699" spans="1:54">
      <c r="A699" s="6">
        <v>45849</v>
      </c>
      <c r="B699" s="7" t="s">
        <v>3155</v>
      </c>
      <c r="C699" t="s">
        <v>387</v>
      </c>
      <c r="D699" t="s">
        <v>3139</v>
      </c>
      <c r="E699" t="s">
        <v>1275</v>
      </c>
      <c r="F699" t="s">
        <v>1275</v>
      </c>
      <c r="G699" t="s">
        <v>2781</v>
      </c>
      <c r="H699" s="8" t="s">
        <v>221</v>
      </c>
      <c r="I699" s="8" t="s">
        <v>221</v>
      </c>
      <c r="J699" s="8" t="s">
        <v>221</v>
      </c>
      <c r="K699" s="8" t="s">
        <v>221</v>
      </c>
      <c r="L699" s="8" t="s">
        <v>221</v>
      </c>
      <c r="M699" s="8" t="s">
        <v>221</v>
      </c>
      <c r="N699" s="8" t="s">
        <v>208</v>
      </c>
      <c r="O699" s="8" t="s">
        <v>208</v>
      </c>
      <c r="Q699" t="s">
        <v>3156</v>
      </c>
      <c r="R699" t="s">
        <v>3157</v>
      </c>
      <c r="U699" t="s">
        <v>3158</v>
      </c>
      <c r="V699" t="s">
        <v>3058</v>
      </c>
      <c r="W699" t="s">
        <v>298</v>
      </c>
      <c r="X699" t="s">
        <v>298</v>
      </c>
      <c r="Y699" t="s">
        <v>1103</v>
      </c>
      <c r="Z699" t="s">
        <v>299</v>
      </c>
      <c r="AA699" t="s">
        <v>2817</v>
      </c>
      <c r="AB699" t="s">
        <v>1480</v>
      </c>
      <c r="AC699" t="s">
        <v>538</v>
      </c>
      <c r="AD699" t="s">
        <v>3144</v>
      </c>
      <c r="AE699" t="s">
        <v>2817</v>
      </c>
      <c r="AG699" s="8" t="s">
        <v>218</v>
      </c>
      <c r="AH699" t="s">
        <v>2283</v>
      </c>
      <c r="AI699" s="8" t="s">
        <v>221</v>
      </c>
      <c r="AJ699" s="8" t="s">
        <v>221</v>
      </c>
      <c r="AK699" t="s">
        <v>234</v>
      </c>
      <c r="AL699" s="8" t="s">
        <v>221</v>
      </c>
      <c r="AM699" s="9" t="s">
        <v>218</v>
      </c>
      <c r="AN699" s="8" t="s">
        <v>221</v>
      </c>
      <c r="AO699" s="8" t="s">
        <v>222</v>
      </c>
      <c r="AP699" s="8">
        <v>0</v>
      </c>
      <c r="AQ699" s="8">
        <v>0</v>
      </c>
      <c r="AR699" s="9">
        <v>32</v>
      </c>
      <c r="AS699" s="8">
        <v>0</v>
      </c>
      <c r="AT699" s="8">
        <v>0</v>
      </c>
      <c r="AU699" s="8">
        <v>0</v>
      </c>
      <c r="AV699" s="8">
        <v>0</v>
      </c>
      <c r="AW699" s="9">
        <v>32</v>
      </c>
      <c r="AX699" s="9" t="s">
        <v>3159</v>
      </c>
      <c r="AY699" s="8"/>
      <c r="AZ699">
        <v>3</v>
      </c>
      <c r="BA699" t="s">
        <v>3160</v>
      </c>
      <c r="BB699" t="s">
        <v>3161</v>
      </c>
    </row>
    <row r="700" spans="1:54">
      <c r="A700" s="6">
        <v>45849</v>
      </c>
      <c r="B700" s="7" t="s">
        <v>3162</v>
      </c>
      <c r="C700" t="s">
        <v>387</v>
      </c>
      <c r="D700" t="s">
        <v>3139</v>
      </c>
      <c r="E700" t="s">
        <v>1275</v>
      </c>
      <c r="F700" t="s">
        <v>1275</v>
      </c>
      <c r="G700" t="s">
        <v>2781</v>
      </c>
      <c r="H700" s="8" t="s">
        <v>221</v>
      </c>
      <c r="I700" s="8" t="s">
        <v>221</v>
      </c>
      <c r="J700" s="8" t="s">
        <v>221</v>
      </c>
      <c r="K700" s="8" t="s">
        <v>221</v>
      </c>
      <c r="L700" s="8" t="s">
        <v>221</v>
      </c>
      <c r="M700" s="8" t="s">
        <v>221</v>
      </c>
      <c r="N700" s="8" t="s">
        <v>208</v>
      </c>
      <c r="O700" s="8" t="s">
        <v>208</v>
      </c>
      <c r="Q700" t="s">
        <v>3163</v>
      </c>
      <c r="R700" t="s">
        <v>3164</v>
      </c>
      <c r="U700" t="s">
        <v>3165</v>
      </c>
      <c r="V700" t="s">
        <v>2834</v>
      </c>
      <c r="W700" t="s">
        <v>298</v>
      </c>
      <c r="X700" t="s">
        <v>298</v>
      </c>
      <c r="Y700" t="s">
        <v>1103</v>
      </c>
      <c r="Z700" t="s">
        <v>299</v>
      </c>
      <c r="AA700" t="s">
        <v>2817</v>
      </c>
      <c r="AB700" t="s">
        <v>465</v>
      </c>
      <c r="AC700" t="s">
        <v>301</v>
      </c>
      <c r="AD700" t="s">
        <v>3144</v>
      </c>
      <c r="AE700" t="s">
        <v>2817</v>
      </c>
      <c r="AG700" s="8" t="s">
        <v>218</v>
      </c>
      <c r="AH700" t="s">
        <v>2283</v>
      </c>
      <c r="AI700" s="8" t="s">
        <v>221</v>
      </c>
      <c r="AJ700" s="8" t="s">
        <v>221</v>
      </c>
      <c r="AK700" t="s">
        <v>3166</v>
      </c>
      <c r="AL700" s="8" t="s">
        <v>221</v>
      </c>
      <c r="AM700" s="9" t="s">
        <v>218</v>
      </c>
      <c r="AN700" s="8" t="s">
        <v>221</v>
      </c>
      <c r="AO700" s="8" t="s">
        <v>222</v>
      </c>
      <c r="AP700" s="8">
        <v>0</v>
      </c>
      <c r="AQ700" s="8">
        <v>0</v>
      </c>
      <c r="AR700" s="8">
        <v>0</v>
      </c>
      <c r="AS700" s="8">
        <v>0</v>
      </c>
      <c r="AT700" s="8">
        <v>0</v>
      </c>
      <c r="AU700" s="8">
        <v>0</v>
      </c>
      <c r="AV700" s="8">
        <v>0</v>
      </c>
      <c r="AW700" s="8">
        <v>0</v>
      </c>
      <c r="AX700" s="8"/>
      <c r="AY700" s="8"/>
      <c r="AZ700">
        <v>2</v>
      </c>
      <c r="BA700" t="s">
        <v>3167</v>
      </c>
      <c r="BB700" t="s">
        <v>3168</v>
      </c>
    </row>
    <row r="701" spans="1:54">
      <c r="A701" s="6">
        <v>45849</v>
      </c>
      <c r="B701" s="7" t="s">
        <v>3169</v>
      </c>
      <c r="C701" t="s">
        <v>387</v>
      </c>
      <c r="D701" t="s">
        <v>3139</v>
      </c>
      <c r="E701" t="s">
        <v>1275</v>
      </c>
      <c r="F701" t="s">
        <v>1275</v>
      </c>
      <c r="G701" t="s">
        <v>2781</v>
      </c>
      <c r="H701" s="8" t="s">
        <v>221</v>
      </c>
      <c r="I701" s="8" t="s">
        <v>221</v>
      </c>
      <c r="J701" s="8" t="s">
        <v>221</v>
      </c>
      <c r="K701" s="8" t="s">
        <v>221</v>
      </c>
      <c r="L701" s="8" t="s">
        <v>221</v>
      </c>
      <c r="M701" s="8" t="s">
        <v>221</v>
      </c>
      <c r="N701" s="8" t="s">
        <v>208</v>
      </c>
      <c r="O701" s="8" t="s">
        <v>208</v>
      </c>
      <c r="Q701" t="s">
        <v>3170</v>
      </c>
      <c r="R701" t="s">
        <v>3171</v>
      </c>
      <c r="U701" t="s">
        <v>3172</v>
      </c>
      <c r="V701" t="s">
        <v>2826</v>
      </c>
      <c r="W701" t="s">
        <v>298</v>
      </c>
      <c r="X701" t="s">
        <v>298</v>
      </c>
      <c r="Y701" t="s">
        <v>1103</v>
      </c>
      <c r="Z701" t="s">
        <v>299</v>
      </c>
      <c r="AA701" t="s">
        <v>2817</v>
      </c>
      <c r="AB701" t="s">
        <v>408</v>
      </c>
      <c r="AC701" t="s">
        <v>391</v>
      </c>
      <c r="AD701" t="s">
        <v>3144</v>
      </c>
      <c r="AE701" t="s">
        <v>2817</v>
      </c>
      <c r="AG701" s="8" t="s">
        <v>218</v>
      </c>
      <c r="AH701" t="s">
        <v>2283</v>
      </c>
      <c r="AI701" s="8" t="s">
        <v>221</v>
      </c>
      <c r="AJ701" s="8" t="s">
        <v>221</v>
      </c>
      <c r="AK701" t="s">
        <v>3173</v>
      </c>
      <c r="AL701" s="8" t="s">
        <v>221</v>
      </c>
      <c r="AM701" s="9" t="s">
        <v>218</v>
      </c>
      <c r="AN701" s="8" t="s">
        <v>221</v>
      </c>
      <c r="AO701" s="8" t="s">
        <v>222</v>
      </c>
      <c r="AP701" s="8">
        <v>0</v>
      </c>
      <c r="AQ701" s="8">
        <v>0</v>
      </c>
      <c r="AR701" s="9">
        <v>8</v>
      </c>
      <c r="AS701" s="8">
        <v>0</v>
      </c>
      <c r="AT701" s="8">
        <v>0</v>
      </c>
      <c r="AU701" s="8">
        <v>0</v>
      </c>
      <c r="AV701" s="8">
        <v>0</v>
      </c>
      <c r="AW701" s="9">
        <v>8</v>
      </c>
      <c r="AX701" s="9" t="s">
        <v>3174</v>
      </c>
      <c r="AY701" s="8"/>
      <c r="AZ701">
        <v>2</v>
      </c>
      <c r="BA701" t="s">
        <v>3175</v>
      </c>
      <c r="BB701" t="s">
        <v>3176</v>
      </c>
    </row>
    <row r="702" spans="1:54">
      <c r="A702" s="6">
        <v>45849</v>
      </c>
      <c r="B702" s="7" t="s">
        <v>3177</v>
      </c>
      <c r="C702" t="s">
        <v>387</v>
      </c>
      <c r="D702" t="s">
        <v>3139</v>
      </c>
      <c r="E702" t="s">
        <v>1275</v>
      </c>
      <c r="F702" t="s">
        <v>1275</v>
      </c>
      <c r="G702" t="s">
        <v>2781</v>
      </c>
      <c r="H702" s="8" t="s">
        <v>221</v>
      </c>
      <c r="I702" s="8" t="s">
        <v>221</v>
      </c>
      <c r="J702" s="8" t="s">
        <v>221</v>
      </c>
      <c r="K702" s="8" t="s">
        <v>221</v>
      </c>
      <c r="L702" s="8" t="s">
        <v>221</v>
      </c>
      <c r="M702" s="8" t="s">
        <v>221</v>
      </c>
      <c r="N702" s="8" t="s">
        <v>208</v>
      </c>
      <c r="O702" s="8" t="s">
        <v>208</v>
      </c>
      <c r="Q702" t="s">
        <v>3178</v>
      </c>
      <c r="R702" t="s">
        <v>3179</v>
      </c>
      <c r="U702" t="s">
        <v>3180</v>
      </c>
      <c r="V702" t="s">
        <v>2826</v>
      </c>
      <c r="W702" t="s">
        <v>298</v>
      </c>
      <c r="X702" t="s">
        <v>298</v>
      </c>
      <c r="Y702" t="s">
        <v>1103</v>
      </c>
      <c r="Z702" t="s">
        <v>299</v>
      </c>
      <c r="AA702" t="s">
        <v>2817</v>
      </c>
      <c r="AB702" t="s">
        <v>301</v>
      </c>
      <c r="AC702" t="s">
        <v>312</v>
      </c>
      <c r="AD702" t="s">
        <v>3144</v>
      </c>
      <c r="AE702" t="s">
        <v>2817</v>
      </c>
      <c r="AG702" s="8" t="s">
        <v>218</v>
      </c>
      <c r="AH702" t="s">
        <v>2283</v>
      </c>
      <c r="AI702" s="8" t="s">
        <v>221</v>
      </c>
      <c r="AJ702" s="8" t="s">
        <v>221</v>
      </c>
      <c r="AK702" t="s">
        <v>3181</v>
      </c>
      <c r="AL702" s="8" t="s">
        <v>221</v>
      </c>
      <c r="AM702" s="9" t="s">
        <v>218</v>
      </c>
      <c r="AN702" s="8" t="s">
        <v>221</v>
      </c>
      <c r="AO702" s="8" t="s">
        <v>222</v>
      </c>
      <c r="AP702" s="8">
        <v>0</v>
      </c>
      <c r="AQ702" s="8">
        <v>0</v>
      </c>
      <c r="AR702" s="8">
        <v>0</v>
      </c>
      <c r="AS702" s="8">
        <v>0</v>
      </c>
      <c r="AT702" s="8">
        <v>0</v>
      </c>
      <c r="AU702" s="8">
        <v>0</v>
      </c>
      <c r="AV702" s="8">
        <v>0</v>
      </c>
      <c r="AW702" s="8">
        <v>0</v>
      </c>
      <c r="AX702" s="8"/>
      <c r="AY702" s="8"/>
      <c r="AZ702">
        <v>2</v>
      </c>
      <c r="BA702" t="s">
        <v>3182</v>
      </c>
      <c r="BB702" t="s">
        <v>3183</v>
      </c>
    </row>
    <row r="703" spans="1:54">
      <c r="A703" s="6">
        <v>45849</v>
      </c>
      <c r="B703" s="7" t="s">
        <v>3184</v>
      </c>
      <c r="C703" t="s">
        <v>387</v>
      </c>
      <c r="D703" t="s">
        <v>3139</v>
      </c>
      <c r="E703" t="s">
        <v>1275</v>
      </c>
      <c r="F703" t="s">
        <v>1275</v>
      </c>
      <c r="G703" t="s">
        <v>2781</v>
      </c>
      <c r="H703" s="8" t="s">
        <v>221</v>
      </c>
      <c r="I703" s="8" t="s">
        <v>221</v>
      </c>
      <c r="J703" s="8" t="s">
        <v>221</v>
      </c>
      <c r="K703" s="8" t="s">
        <v>221</v>
      </c>
      <c r="L703" s="8" t="s">
        <v>221</v>
      </c>
      <c r="M703" s="8" t="s">
        <v>221</v>
      </c>
      <c r="N703" s="8" t="s">
        <v>208</v>
      </c>
      <c r="O703" s="8" t="s">
        <v>208</v>
      </c>
      <c r="Q703" t="s">
        <v>3185</v>
      </c>
      <c r="R703" t="s">
        <v>3186</v>
      </c>
      <c r="U703" t="s">
        <v>3187</v>
      </c>
      <c r="V703" t="s">
        <v>2826</v>
      </c>
      <c r="W703" t="s">
        <v>298</v>
      </c>
      <c r="X703" t="s">
        <v>298</v>
      </c>
      <c r="Y703" t="s">
        <v>1103</v>
      </c>
      <c r="Z703" t="s">
        <v>299</v>
      </c>
      <c r="AA703" t="s">
        <v>2817</v>
      </c>
      <c r="AB703" t="s">
        <v>425</v>
      </c>
      <c r="AC703" t="s">
        <v>465</v>
      </c>
      <c r="AD703" t="s">
        <v>3144</v>
      </c>
      <c r="AE703" t="s">
        <v>2817</v>
      </c>
      <c r="AG703" s="8" t="s">
        <v>218</v>
      </c>
      <c r="AH703" t="s">
        <v>2283</v>
      </c>
      <c r="AI703" s="8" t="s">
        <v>221</v>
      </c>
      <c r="AJ703" s="8" t="s">
        <v>221</v>
      </c>
      <c r="AK703" t="s">
        <v>234</v>
      </c>
      <c r="AL703" s="8" t="s">
        <v>221</v>
      </c>
      <c r="AM703" s="9" t="s">
        <v>218</v>
      </c>
      <c r="AN703" s="8" t="s">
        <v>221</v>
      </c>
      <c r="AO703" s="8" t="s">
        <v>222</v>
      </c>
      <c r="AP703" s="8">
        <v>0</v>
      </c>
      <c r="AQ703" s="8">
        <v>0</v>
      </c>
      <c r="AR703" s="8">
        <v>0</v>
      </c>
      <c r="AS703" s="8">
        <v>0</v>
      </c>
      <c r="AT703" s="8">
        <v>0</v>
      </c>
      <c r="AU703" s="8">
        <v>0</v>
      </c>
      <c r="AV703" s="8">
        <v>0</v>
      </c>
      <c r="AW703" s="8">
        <v>0</v>
      </c>
      <c r="AX703" s="8"/>
      <c r="AY703" s="8"/>
      <c r="AZ703">
        <v>3</v>
      </c>
      <c r="BA703" t="s">
        <v>3188</v>
      </c>
      <c r="BB703" t="s">
        <v>3189</v>
      </c>
    </row>
    <row r="704" spans="1:54">
      <c r="A704" s="6">
        <v>45849</v>
      </c>
      <c r="B704" s="7" t="s">
        <v>3190</v>
      </c>
      <c r="C704" t="s">
        <v>387</v>
      </c>
      <c r="D704" t="s">
        <v>3139</v>
      </c>
      <c r="E704" t="s">
        <v>1275</v>
      </c>
      <c r="F704" t="s">
        <v>1275</v>
      </c>
      <c r="G704" t="s">
        <v>2781</v>
      </c>
      <c r="H704" s="8" t="s">
        <v>221</v>
      </c>
      <c r="I704" s="8" t="s">
        <v>221</v>
      </c>
      <c r="J704" s="8" t="s">
        <v>221</v>
      </c>
      <c r="K704" s="8" t="s">
        <v>221</v>
      </c>
      <c r="L704" s="8" t="s">
        <v>221</v>
      </c>
      <c r="M704" s="8" t="s">
        <v>221</v>
      </c>
      <c r="N704" s="8" t="s">
        <v>208</v>
      </c>
      <c r="O704" s="8" t="s">
        <v>208</v>
      </c>
      <c r="Q704" t="s">
        <v>3191</v>
      </c>
      <c r="R704" t="s">
        <v>3192</v>
      </c>
      <c r="U704" t="s">
        <v>3193</v>
      </c>
      <c r="V704" t="s">
        <v>134</v>
      </c>
      <c r="W704" t="s">
        <v>298</v>
      </c>
      <c r="X704" t="s">
        <v>298</v>
      </c>
      <c r="Y704" t="s">
        <v>1103</v>
      </c>
      <c r="Z704" t="s">
        <v>299</v>
      </c>
      <c r="AA704" t="s">
        <v>1711</v>
      </c>
      <c r="AB704" t="s">
        <v>465</v>
      </c>
      <c r="AC704" t="s">
        <v>301</v>
      </c>
      <c r="AD704" t="s">
        <v>3144</v>
      </c>
      <c r="AE704" t="s">
        <v>3194</v>
      </c>
      <c r="AG704" s="8" t="s">
        <v>218</v>
      </c>
      <c r="AH704" t="s">
        <v>2283</v>
      </c>
      <c r="AI704" s="8" t="s">
        <v>221</v>
      </c>
      <c r="AJ704" s="8" t="s">
        <v>221</v>
      </c>
      <c r="AK704" t="s">
        <v>234</v>
      </c>
      <c r="AL704" s="8" t="s">
        <v>221</v>
      </c>
      <c r="AM704" s="9" t="s">
        <v>218</v>
      </c>
      <c r="AN704" s="8" t="s">
        <v>221</v>
      </c>
      <c r="AO704" s="8" t="s">
        <v>222</v>
      </c>
      <c r="AP704" s="8">
        <v>0</v>
      </c>
      <c r="AQ704" s="8">
        <v>0</v>
      </c>
      <c r="AR704" s="8">
        <v>0</v>
      </c>
      <c r="AS704" s="8">
        <v>0</v>
      </c>
      <c r="AT704" s="8">
        <v>0</v>
      </c>
      <c r="AU704" s="8">
        <v>0</v>
      </c>
      <c r="AV704" s="8">
        <v>0</v>
      </c>
      <c r="AW704" s="8">
        <v>0</v>
      </c>
      <c r="AX704" s="8"/>
      <c r="AY704" s="8"/>
      <c r="AZ704">
        <v>2</v>
      </c>
      <c r="BA704" t="s">
        <v>3195</v>
      </c>
      <c r="BB704" t="s">
        <v>3196</v>
      </c>
    </row>
    <row r="705" spans="1:54">
      <c r="A705" s="6">
        <v>45849</v>
      </c>
      <c r="B705" s="7" t="s">
        <v>3197</v>
      </c>
      <c r="C705" t="s">
        <v>387</v>
      </c>
      <c r="D705" t="s">
        <v>3139</v>
      </c>
      <c r="E705" t="s">
        <v>1275</v>
      </c>
      <c r="F705" t="s">
        <v>1275</v>
      </c>
      <c r="G705" t="s">
        <v>2781</v>
      </c>
      <c r="H705" s="8" t="s">
        <v>221</v>
      </c>
      <c r="I705" s="8" t="s">
        <v>221</v>
      </c>
      <c r="J705" s="8" t="s">
        <v>221</v>
      </c>
      <c r="K705" s="8" t="s">
        <v>221</v>
      </c>
      <c r="L705" s="8" t="s">
        <v>221</v>
      </c>
      <c r="M705" s="8" t="s">
        <v>221</v>
      </c>
      <c r="N705" s="8" t="s">
        <v>208</v>
      </c>
      <c r="O705" s="8" t="s">
        <v>208</v>
      </c>
      <c r="Q705" t="s">
        <v>3198</v>
      </c>
      <c r="R705" t="s">
        <v>3199</v>
      </c>
      <c r="U705" t="s">
        <v>3200</v>
      </c>
      <c r="V705" t="s">
        <v>2903</v>
      </c>
      <c r="W705" t="s">
        <v>298</v>
      </c>
      <c r="X705" t="s">
        <v>298</v>
      </c>
      <c r="Y705" t="s">
        <v>1103</v>
      </c>
      <c r="Z705" t="s">
        <v>299</v>
      </c>
      <c r="AA705" t="s">
        <v>3201</v>
      </c>
      <c r="AB705" t="s">
        <v>425</v>
      </c>
      <c r="AC705" t="s">
        <v>465</v>
      </c>
      <c r="AD705" t="s">
        <v>3144</v>
      </c>
      <c r="AE705" t="s">
        <v>3201</v>
      </c>
      <c r="AG705" s="8" t="s">
        <v>218</v>
      </c>
      <c r="AH705" t="s">
        <v>2283</v>
      </c>
      <c r="AI705" s="8" t="s">
        <v>221</v>
      </c>
      <c r="AJ705" s="8" t="s">
        <v>221</v>
      </c>
      <c r="AK705" t="s">
        <v>1540</v>
      </c>
      <c r="AL705" s="8" t="s">
        <v>221</v>
      </c>
      <c r="AM705" s="9" t="s">
        <v>218</v>
      </c>
      <c r="AN705" s="8" t="s">
        <v>221</v>
      </c>
      <c r="AO705" s="8" t="s">
        <v>222</v>
      </c>
      <c r="AP705" s="8">
        <v>0</v>
      </c>
      <c r="AQ705" s="8">
        <v>0</v>
      </c>
      <c r="AR705" s="9">
        <v>4</v>
      </c>
      <c r="AS705" s="8">
        <v>0</v>
      </c>
      <c r="AT705" s="8">
        <v>0</v>
      </c>
      <c r="AU705" s="8">
        <v>0</v>
      </c>
      <c r="AV705" s="8">
        <v>0</v>
      </c>
      <c r="AW705" s="9">
        <v>4</v>
      </c>
      <c r="AX705" s="9" t="s">
        <v>3202</v>
      </c>
      <c r="AY705" s="8"/>
      <c r="AZ705">
        <v>3</v>
      </c>
      <c r="BA705" t="s">
        <v>3203</v>
      </c>
      <c r="BB705" t="s">
        <v>3204</v>
      </c>
    </row>
    <row r="706" spans="1:54">
      <c r="A706" s="6">
        <v>45849</v>
      </c>
      <c r="B706" s="7" t="s">
        <v>3205</v>
      </c>
      <c r="C706" t="s">
        <v>387</v>
      </c>
      <c r="D706" t="s">
        <v>3139</v>
      </c>
      <c r="E706" t="s">
        <v>1275</v>
      </c>
      <c r="F706" t="s">
        <v>1275</v>
      </c>
      <c r="G706" t="s">
        <v>2781</v>
      </c>
      <c r="H706" s="8" t="s">
        <v>221</v>
      </c>
      <c r="I706" s="8" t="s">
        <v>221</v>
      </c>
      <c r="J706" s="8" t="s">
        <v>221</v>
      </c>
      <c r="K706" s="8" t="s">
        <v>221</v>
      </c>
      <c r="L706" s="8" t="s">
        <v>221</v>
      </c>
      <c r="M706" s="8" t="s">
        <v>221</v>
      </c>
      <c r="N706" s="8" t="s">
        <v>208</v>
      </c>
      <c r="O706" s="8" t="s">
        <v>208</v>
      </c>
      <c r="Q706" t="s">
        <v>3206</v>
      </c>
      <c r="R706" t="s">
        <v>3207</v>
      </c>
      <c r="U706" t="s">
        <v>3208</v>
      </c>
      <c r="V706" t="s">
        <v>644</v>
      </c>
      <c r="W706" t="s">
        <v>298</v>
      </c>
      <c r="X706" t="s">
        <v>298</v>
      </c>
      <c r="Y706" t="s">
        <v>1103</v>
      </c>
      <c r="Z706" t="s">
        <v>299</v>
      </c>
      <c r="AA706" t="s">
        <v>645</v>
      </c>
      <c r="AB706" t="s">
        <v>425</v>
      </c>
      <c r="AC706" t="s">
        <v>301</v>
      </c>
      <c r="AD706" t="s">
        <v>3144</v>
      </c>
      <c r="AE706" t="s">
        <v>645</v>
      </c>
      <c r="AG706" s="8" t="s">
        <v>218</v>
      </c>
      <c r="AH706" t="s">
        <v>2283</v>
      </c>
      <c r="AI706" s="8" t="s">
        <v>221</v>
      </c>
      <c r="AJ706" s="8" t="s">
        <v>221</v>
      </c>
      <c r="AK706" t="s">
        <v>234</v>
      </c>
      <c r="AL706" s="8" t="s">
        <v>221</v>
      </c>
      <c r="AM706" s="9" t="s">
        <v>218</v>
      </c>
      <c r="AN706" s="8" t="s">
        <v>221</v>
      </c>
      <c r="AO706" s="8" t="s">
        <v>222</v>
      </c>
      <c r="AP706" s="8">
        <v>0</v>
      </c>
      <c r="AQ706" s="8">
        <v>0</v>
      </c>
      <c r="AR706" s="8">
        <v>0</v>
      </c>
      <c r="AS706" s="8">
        <v>0</v>
      </c>
      <c r="AT706" s="8">
        <v>0</v>
      </c>
      <c r="AU706" s="8">
        <v>0</v>
      </c>
      <c r="AV706" s="8">
        <v>0</v>
      </c>
      <c r="AW706" s="8">
        <v>0</v>
      </c>
      <c r="AX706" s="8"/>
      <c r="AY706" s="8"/>
      <c r="AZ706">
        <v>2</v>
      </c>
      <c r="BA706" t="s">
        <v>3209</v>
      </c>
      <c r="BB706" t="s">
        <v>3210</v>
      </c>
    </row>
    <row r="707" spans="1:54">
      <c r="A707" s="6">
        <v>45849</v>
      </c>
      <c r="B707" s="7" t="s">
        <v>3211</v>
      </c>
      <c r="C707" t="s">
        <v>387</v>
      </c>
      <c r="D707" t="s">
        <v>3139</v>
      </c>
      <c r="E707" t="s">
        <v>1275</v>
      </c>
      <c r="F707" t="s">
        <v>1275</v>
      </c>
      <c r="G707" t="s">
        <v>2781</v>
      </c>
      <c r="H707" s="8" t="s">
        <v>221</v>
      </c>
      <c r="I707" s="8" t="s">
        <v>221</v>
      </c>
      <c r="J707" s="8" t="s">
        <v>221</v>
      </c>
      <c r="K707" s="8" t="s">
        <v>221</v>
      </c>
      <c r="L707" s="8" t="s">
        <v>221</v>
      </c>
      <c r="M707" s="8" t="s">
        <v>221</v>
      </c>
      <c r="N707" s="8" t="s">
        <v>208</v>
      </c>
      <c r="O707" s="8" t="s">
        <v>208</v>
      </c>
      <c r="Q707" t="s">
        <v>3212</v>
      </c>
      <c r="R707" t="s">
        <v>3213</v>
      </c>
      <c r="U707" t="s">
        <v>3214</v>
      </c>
      <c r="V707" t="s">
        <v>2834</v>
      </c>
      <c r="W707" t="s">
        <v>298</v>
      </c>
      <c r="X707" t="s">
        <v>298</v>
      </c>
      <c r="Y707" t="s">
        <v>1103</v>
      </c>
      <c r="Z707" t="s">
        <v>299</v>
      </c>
      <c r="AA707" t="s">
        <v>3215</v>
      </c>
      <c r="AB707" t="s">
        <v>391</v>
      </c>
      <c r="AC707" t="s">
        <v>425</v>
      </c>
      <c r="AD707" t="s">
        <v>3144</v>
      </c>
      <c r="AE707" t="s">
        <v>3215</v>
      </c>
      <c r="AG707" s="9" t="s">
        <v>221</v>
      </c>
      <c r="AH707" t="s">
        <v>2283</v>
      </c>
      <c r="AI707" s="8" t="s">
        <v>221</v>
      </c>
      <c r="AJ707" s="8" t="s">
        <v>221</v>
      </c>
      <c r="AK707" t="s">
        <v>3216</v>
      </c>
      <c r="AL707" s="8" t="s">
        <v>221</v>
      </c>
      <c r="AM707" s="9" t="s">
        <v>218</v>
      </c>
      <c r="AN707" s="8" t="s">
        <v>221</v>
      </c>
      <c r="AO707" s="8" t="s">
        <v>222</v>
      </c>
      <c r="AP707" s="8">
        <v>0</v>
      </c>
      <c r="AQ707" s="8">
        <v>0</v>
      </c>
      <c r="AR707" s="9">
        <v>5</v>
      </c>
      <c r="AS707" s="8">
        <v>0</v>
      </c>
      <c r="AT707" s="8">
        <v>0</v>
      </c>
      <c r="AU707" s="8">
        <v>0</v>
      </c>
      <c r="AV707" s="8">
        <v>0</v>
      </c>
      <c r="AW707" s="9">
        <v>5</v>
      </c>
      <c r="AX707" s="8"/>
      <c r="AY707" s="8"/>
      <c r="AZ707">
        <v>4</v>
      </c>
      <c r="BA707" t="s">
        <v>3217</v>
      </c>
      <c r="BB707" t="s">
        <v>3218</v>
      </c>
    </row>
    <row r="708" spans="1:54">
      <c r="A708" s="6">
        <v>45849</v>
      </c>
      <c r="B708" s="7" t="s">
        <v>3219</v>
      </c>
      <c r="C708" t="s">
        <v>205</v>
      </c>
      <c r="D708" t="s">
        <v>3220</v>
      </c>
      <c r="G708" t="s">
        <v>754</v>
      </c>
      <c r="H708" s="8" t="s">
        <v>208</v>
      </c>
      <c r="I708" s="8" t="s">
        <v>208</v>
      </c>
      <c r="J708" s="8" t="s">
        <v>208</v>
      </c>
      <c r="K708" s="8" t="s">
        <v>208</v>
      </c>
      <c r="L708" s="8" t="s">
        <v>208</v>
      </c>
      <c r="M708" s="8" t="s">
        <v>208</v>
      </c>
      <c r="N708" s="8" t="s">
        <v>221</v>
      </c>
      <c r="O708" s="8" t="s">
        <v>208</v>
      </c>
      <c r="Q708" t="s">
        <v>3221</v>
      </c>
      <c r="R708" t="s">
        <v>3222</v>
      </c>
      <c r="U708" t="s">
        <v>130</v>
      </c>
      <c r="V708" t="s">
        <v>14</v>
      </c>
      <c r="W708" t="s">
        <v>232</v>
      </c>
      <c r="X708" t="s">
        <v>232</v>
      </c>
      <c r="Y708" t="s">
        <v>3223</v>
      </c>
      <c r="Z708" t="s">
        <v>233</v>
      </c>
      <c r="AA708" t="s">
        <v>214</v>
      </c>
      <c r="AB708" t="s">
        <v>701</v>
      </c>
      <c r="AC708" t="s">
        <v>242</v>
      </c>
      <c r="AD708" t="s">
        <v>3224</v>
      </c>
      <c r="AE708" t="s">
        <v>11</v>
      </c>
      <c r="AG708" s="8" t="s">
        <v>218</v>
      </c>
      <c r="AH708" t="s">
        <v>2256</v>
      </c>
      <c r="AI708" s="8" t="s">
        <v>221</v>
      </c>
      <c r="AJ708" s="9" t="s">
        <v>218</v>
      </c>
      <c r="AK708" t="s">
        <v>3225</v>
      </c>
      <c r="AL708" s="8" t="s">
        <v>221</v>
      </c>
      <c r="AM708" s="9" t="s">
        <v>218</v>
      </c>
      <c r="AN708" s="8" t="s">
        <v>221</v>
      </c>
      <c r="AO708" s="8" t="s">
        <v>222</v>
      </c>
      <c r="AP708" s="8">
        <v>0</v>
      </c>
      <c r="AQ708" s="8">
        <v>0</v>
      </c>
      <c r="AR708" s="8">
        <v>0</v>
      </c>
      <c r="AS708" s="8">
        <v>0</v>
      </c>
      <c r="AT708" s="8">
        <v>0</v>
      </c>
      <c r="AU708" s="8">
        <v>0</v>
      </c>
      <c r="AV708" s="8">
        <v>0</v>
      </c>
      <c r="AW708" s="8">
        <v>0</v>
      </c>
      <c r="AX708" s="8"/>
      <c r="AY708" s="8"/>
      <c r="AZ708">
        <v>2</v>
      </c>
      <c r="BA708" t="s">
        <v>3226</v>
      </c>
      <c r="BB708" t="s">
        <v>1028</v>
      </c>
    </row>
    <row r="709" spans="1:54">
      <c r="A709" s="6">
        <v>45849</v>
      </c>
      <c r="B709" s="7" t="s">
        <v>3227</v>
      </c>
      <c r="C709" t="s">
        <v>205</v>
      </c>
      <c r="D709" t="s">
        <v>3220</v>
      </c>
      <c r="G709" t="s">
        <v>754</v>
      </c>
      <c r="H709" s="8" t="s">
        <v>208</v>
      </c>
      <c r="I709" s="8" t="s">
        <v>208</v>
      </c>
      <c r="J709" s="8" t="s">
        <v>208</v>
      </c>
      <c r="K709" s="8" t="s">
        <v>208</v>
      </c>
      <c r="L709" s="8" t="s">
        <v>208</v>
      </c>
      <c r="M709" s="8" t="s">
        <v>208</v>
      </c>
      <c r="N709" s="8" t="s">
        <v>221</v>
      </c>
      <c r="O709" s="8" t="s">
        <v>208</v>
      </c>
      <c r="Q709" t="s">
        <v>3228</v>
      </c>
      <c r="R709" t="s">
        <v>3229</v>
      </c>
      <c r="U709" t="s">
        <v>3230</v>
      </c>
      <c r="V709" t="s">
        <v>130</v>
      </c>
      <c r="W709" t="s">
        <v>232</v>
      </c>
      <c r="Y709" t="s">
        <v>765</v>
      </c>
      <c r="AA709" t="s">
        <v>1050</v>
      </c>
      <c r="AB709" t="s">
        <v>242</v>
      </c>
      <c r="AD709" t="s">
        <v>3224</v>
      </c>
      <c r="AE709" t="s">
        <v>11</v>
      </c>
      <c r="AG709" s="8" t="s">
        <v>218</v>
      </c>
      <c r="AH709" t="s">
        <v>2256</v>
      </c>
      <c r="AI709" s="8" t="s">
        <v>221</v>
      </c>
      <c r="AJ709" s="9" t="s">
        <v>218</v>
      </c>
      <c r="AK709" t="s">
        <v>3231</v>
      </c>
      <c r="AL709" s="9" t="s">
        <v>218</v>
      </c>
      <c r="AM709" s="8" t="s">
        <v>221</v>
      </c>
      <c r="AN709" s="8" t="s">
        <v>221</v>
      </c>
      <c r="AO709" s="8" t="s">
        <v>222</v>
      </c>
      <c r="AP709" s="8">
        <v>0</v>
      </c>
      <c r="AQ709" s="8">
        <v>0</v>
      </c>
      <c r="AR709" s="8">
        <v>0</v>
      </c>
      <c r="AS709" s="8">
        <v>0</v>
      </c>
      <c r="AT709" s="8">
        <v>0</v>
      </c>
      <c r="AU709" s="8">
        <v>0</v>
      </c>
      <c r="AV709" s="8">
        <v>0</v>
      </c>
      <c r="AW709" s="8">
        <v>0</v>
      </c>
      <c r="AX709" s="8"/>
      <c r="AY709" s="8"/>
      <c r="AZ709">
        <v>0</v>
      </c>
    </row>
    <row r="710" spans="1:54">
      <c r="A710" s="6">
        <v>45849</v>
      </c>
      <c r="B710" s="7" t="s">
        <v>3232</v>
      </c>
      <c r="C710" t="s">
        <v>205</v>
      </c>
      <c r="D710" t="s">
        <v>3220</v>
      </c>
      <c r="G710" t="s">
        <v>754</v>
      </c>
      <c r="H710" s="8" t="s">
        <v>208</v>
      </c>
      <c r="I710" s="8" t="s">
        <v>208</v>
      </c>
      <c r="J710" s="8" t="s">
        <v>208</v>
      </c>
      <c r="K710" s="8" t="s">
        <v>208</v>
      </c>
      <c r="L710" s="8" t="s">
        <v>208</v>
      </c>
      <c r="M710" s="8" t="s">
        <v>208</v>
      </c>
      <c r="N710" s="8" t="s">
        <v>221</v>
      </c>
      <c r="O710" s="8" t="s">
        <v>208</v>
      </c>
      <c r="Q710" t="s">
        <v>3233</v>
      </c>
      <c r="R710" t="s">
        <v>3234</v>
      </c>
      <c r="U710" t="s">
        <v>3235</v>
      </c>
      <c r="V710" t="s">
        <v>130</v>
      </c>
      <c r="W710" t="s">
        <v>232</v>
      </c>
      <c r="Y710" t="s">
        <v>765</v>
      </c>
      <c r="AA710" t="s">
        <v>1050</v>
      </c>
      <c r="AB710" t="s">
        <v>242</v>
      </c>
      <c r="AD710" t="s">
        <v>3224</v>
      </c>
      <c r="AE710" t="s">
        <v>11</v>
      </c>
      <c r="AG710" s="8" t="s">
        <v>218</v>
      </c>
      <c r="AH710" t="s">
        <v>2256</v>
      </c>
      <c r="AI710" s="8" t="s">
        <v>221</v>
      </c>
      <c r="AJ710" s="9" t="s">
        <v>218</v>
      </c>
      <c r="AK710" t="s">
        <v>3236</v>
      </c>
      <c r="AL710" s="9" t="s">
        <v>218</v>
      </c>
      <c r="AM710" s="8" t="s">
        <v>221</v>
      </c>
      <c r="AN710" s="8" t="s">
        <v>221</v>
      </c>
      <c r="AO710" s="8" t="s">
        <v>222</v>
      </c>
      <c r="AP710" s="8">
        <v>0</v>
      </c>
      <c r="AQ710" s="8">
        <v>0</v>
      </c>
      <c r="AR710" s="8">
        <v>0</v>
      </c>
      <c r="AS710" s="8">
        <v>0</v>
      </c>
      <c r="AT710" s="8">
        <v>0</v>
      </c>
      <c r="AU710" s="8">
        <v>0</v>
      </c>
      <c r="AV710" s="8">
        <v>0</v>
      </c>
      <c r="AW710" s="8">
        <v>0</v>
      </c>
      <c r="AX710" s="8"/>
      <c r="AY710" s="8"/>
      <c r="AZ710">
        <v>0</v>
      </c>
    </row>
    <row r="711" spans="1:54">
      <c r="A711" s="6">
        <v>45849</v>
      </c>
      <c r="B711" s="7" t="s">
        <v>1571</v>
      </c>
      <c r="C711" t="s">
        <v>668</v>
      </c>
      <c r="D711" t="s">
        <v>3237</v>
      </c>
      <c r="G711" t="s">
        <v>754</v>
      </c>
      <c r="H711" s="8" t="s">
        <v>208</v>
      </c>
      <c r="I711" s="8" t="s">
        <v>208</v>
      </c>
      <c r="J711" s="8" t="s">
        <v>221</v>
      </c>
      <c r="K711" s="8" t="s">
        <v>221</v>
      </c>
      <c r="L711" s="8" t="s">
        <v>221</v>
      </c>
      <c r="M711" s="8" t="s">
        <v>221</v>
      </c>
      <c r="N711" s="8" t="s">
        <v>221</v>
      </c>
      <c r="O711" s="8" t="s">
        <v>208</v>
      </c>
      <c r="Q711" t="s">
        <v>1572</v>
      </c>
      <c r="R711" t="s">
        <v>1573</v>
      </c>
      <c r="U711" t="s">
        <v>1574</v>
      </c>
      <c r="V711" t="s">
        <v>138</v>
      </c>
      <c r="W711" t="s">
        <v>212</v>
      </c>
      <c r="X711" t="s">
        <v>212</v>
      </c>
      <c r="Y711" t="s">
        <v>275</v>
      </c>
      <c r="Z711" t="s">
        <v>213</v>
      </c>
      <c r="AA711" t="s">
        <v>214</v>
      </c>
      <c r="AB711" t="s">
        <v>758</v>
      </c>
      <c r="AC711" t="s">
        <v>701</v>
      </c>
      <c r="AD711" t="s">
        <v>3224</v>
      </c>
      <c r="AE711" t="s">
        <v>11</v>
      </c>
      <c r="AG711" s="8" t="s">
        <v>218</v>
      </c>
      <c r="AH711" t="s">
        <v>2256</v>
      </c>
      <c r="AI711" s="8" t="s">
        <v>221</v>
      </c>
      <c r="AJ711" s="9" t="s">
        <v>218</v>
      </c>
      <c r="AK711" t="s">
        <v>234</v>
      </c>
      <c r="AL711" s="8" t="s">
        <v>221</v>
      </c>
      <c r="AM711" s="9" t="s">
        <v>218</v>
      </c>
      <c r="AN711" s="8" t="s">
        <v>221</v>
      </c>
      <c r="AO711" s="8" t="s">
        <v>222</v>
      </c>
      <c r="AP711" s="8">
        <v>0</v>
      </c>
      <c r="AQ711" s="8">
        <v>0</v>
      </c>
      <c r="AR711" s="9">
        <v>11</v>
      </c>
      <c r="AS711" s="8">
        <v>0</v>
      </c>
      <c r="AT711" s="8">
        <v>0</v>
      </c>
      <c r="AU711" s="8">
        <v>0</v>
      </c>
      <c r="AV711" s="8">
        <v>0</v>
      </c>
      <c r="AW711" s="9">
        <v>11</v>
      </c>
      <c r="AX711" s="8"/>
      <c r="AY711" s="8"/>
      <c r="AZ711">
        <v>2</v>
      </c>
      <c r="BA711" t="s">
        <v>3238</v>
      </c>
      <c r="BB711" t="s">
        <v>1576</v>
      </c>
    </row>
    <row r="712" spans="1:54">
      <c r="A712" s="6">
        <v>45849</v>
      </c>
      <c r="B712" s="7" t="s">
        <v>3239</v>
      </c>
      <c r="C712" t="s">
        <v>387</v>
      </c>
      <c r="D712" t="s">
        <v>3139</v>
      </c>
      <c r="E712" t="s">
        <v>1275</v>
      </c>
      <c r="F712" t="s">
        <v>1275</v>
      </c>
      <c r="G712" t="s">
        <v>2781</v>
      </c>
      <c r="H712" s="8" t="s">
        <v>221</v>
      </c>
      <c r="I712" s="8" t="s">
        <v>221</v>
      </c>
      <c r="J712" s="8" t="s">
        <v>221</v>
      </c>
      <c r="K712" s="8" t="s">
        <v>221</v>
      </c>
      <c r="L712" s="8" t="s">
        <v>221</v>
      </c>
      <c r="M712" s="8" t="s">
        <v>221</v>
      </c>
      <c r="N712" s="8" t="s">
        <v>208</v>
      </c>
      <c r="O712" s="8" t="s">
        <v>208</v>
      </c>
      <c r="Q712" t="s">
        <v>3240</v>
      </c>
      <c r="R712" t="s">
        <v>3241</v>
      </c>
      <c r="U712" t="s">
        <v>3242</v>
      </c>
      <c r="V712" t="s">
        <v>1835</v>
      </c>
      <c r="W712" t="s">
        <v>298</v>
      </c>
      <c r="X712" t="s">
        <v>298</v>
      </c>
      <c r="Y712" t="s">
        <v>1103</v>
      </c>
      <c r="Z712" t="s">
        <v>299</v>
      </c>
      <c r="AA712" t="s">
        <v>1836</v>
      </c>
      <c r="AB712" t="s">
        <v>301</v>
      </c>
      <c r="AC712" t="s">
        <v>312</v>
      </c>
      <c r="AD712" t="s">
        <v>3144</v>
      </c>
      <c r="AE712" t="s">
        <v>1836</v>
      </c>
      <c r="AG712" s="8" t="s">
        <v>218</v>
      </c>
      <c r="AH712" t="s">
        <v>2283</v>
      </c>
      <c r="AI712" s="8" t="s">
        <v>221</v>
      </c>
      <c r="AJ712" s="8" t="s">
        <v>221</v>
      </c>
      <c r="AK712" t="s">
        <v>3243</v>
      </c>
      <c r="AL712" s="8" t="s">
        <v>221</v>
      </c>
      <c r="AM712" s="9" t="s">
        <v>218</v>
      </c>
      <c r="AN712" s="8" t="s">
        <v>221</v>
      </c>
      <c r="AO712" s="8" t="s">
        <v>222</v>
      </c>
      <c r="AP712" s="8">
        <v>0</v>
      </c>
      <c r="AQ712" s="8">
        <v>0</v>
      </c>
      <c r="AR712" s="8">
        <v>0</v>
      </c>
      <c r="AS712" s="8">
        <v>0</v>
      </c>
      <c r="AT712" s="8">
        <v>0</v>
      </c>
      <c r="AU712" s="8">
        <v>0</v>
      </c>
      <c r="AV712" s="8">
        <v>0</v>
      </c>
      <c r="AW712" s="8">
        <v>0</v>
      </c>
      <c r="AX712" s="8"/>
      <c r="AY712" s="8"/>
      <c r="AZ712">
        <v>2</v>
      </c>
      <c r="BA712" t="s">
        <v>3244</v>
      </c>
      <c r="BB712" t="s">
        <v>3245</v>
      </c>
    </row>
    <row r="713" spans="1:54">
      <c r="A713" s="6">
        <v>45849</v>
      </c>
      <c r="B713" s="7" t="s">
        <v>3246</v>
      </c>
      <c r="C713" t="s">
        <v>668</v>
      </c>
      <c r="D713" t="s">
        <v>3139</v>
      </c>
      <c r="E713" t="s">
        <v>1275</v>
      </c>
      <c r="F713" t="s">
        <v>1275</v>
      </c>
      <c r="G713" t="s">
        <v>2781</v>
      </c>
      <c r="H713" s="8" t="s">
        <v>221</v>
      </c>
      <c r="I713" s="8" t="s">
        <v>221</v>
      </c>
      <c r="J713" s="8" t="s">
        <v>221</v>
      </c>
      <c r="K713" s="8" t="s">
        <v>221</v>
      </c>
      <c r="L713" s="8" t="s">
        <v>221</v>
      </c>
      <c r="M713" s="8" t="s">
        <v>221</v>
      </c>
      <c r="N713" s="8" t="s">
        <v>208</v>
      </c>
      <c r="O713" s="8" t="s">
        <v>208</v>
      </c>
      <c r="Q713" t="s">
        <v>3247</v>
      </c>
      <c r="R713" t="s">
        <v>3248</v>
      </c>
      <c r="U713" t="s">
        <v>3249</v>
      </c>
      <c r="V713" t="s">
        <v>138</v>
      </c>
      <c r="W713" t="s">
        <v>212</v>
      </c>
      <c r="X713" t="s">
        <v>212</v>
      </c>
      <c r="Y713" t="s">
        <v>275</v>
      </c>
      <c r="Z713" t="s">
        <v>213</v>
      </c>
      <c r="AA713" t="s">
        <v>214</v>
      </c>
      <c r="AB713" t="s">
        <v>701</v>
      </c>
      <c r="AC713" t="s">
        <v>242</v>
      </c>
      <c r="AD713" t="s">
        <v>3250</v>
      </c>
      <c r="AE713" t="s">
        <v>2121</v>
      </c>
      <c r="AG713" s="8" t="s">
        <v>218</v>
      </c>
      <c r="AH713" t="s">
        <v>2256</v>
      </c>
      <c r="AI713" s="8" t="s">
        <v>221</v>
      </c>
      <c r="AJ713" s="9" t="s">
        <v>218</v>
      </c>
      <c r="AK713" t="s">
        <v>234</v>
      </c>
      <c r="AL713" s="8" t="s">
        <v>221</v>
      </c>
      <c r="AM713" s="9" t="s">
        <v>218</v>
      </c>
      <c r="AN713" s="8" t="s">
        <v>221</v>
      </c>
      <c r="AO713" s="8" t="s">
        <v>222</v>
      </c>
      <c r="AP713" s="8">
        <v>0</v>
      </c>
      <c r="AQ713" s="8">
        <v>0</v>
      </c>
      <c r="AR713" s="8">
        <v>0</v>
      </c>
      <c r="AS713" s="8">
        <v>0</v>
      </c>
      <c r="AT713" s="8">
        <v>0</v>
      </c>
      <c r="AU713" s="8">
        <v>0</v>
      </c>
      <c r="AV713" s="8">
        <v>0</v>
      </c>
      <c r="AW713" s="8">
        <v>0</v>
      </c>
      <c r="AX713" s="8"/>
      <c r="AY713" s="8"/>
      <c r="AZ713">
        <v>2</v>
      </c>
      <c r="BA713" t="s">
        <v>3251</v>
      </c>
      <c r="BB713" t="s">
        <v>3252</v>
      </c>
    </row>
    <row r="714" spans="1:54">
      <c r="A714" s="6">
        <v>45849</v>
      </c>
      <c r="B714" s="7" t="s">
        <v>3253</v>
      </c>
      <c r="C714" t="s">
        <v>205</v>
      </c>
      <c r="D714" t="s">
        <v>3254</v>
      </c>
      <c r="G714" t="s">
        <v>207</v>
      </c>
      <c r="H714" s="8" t="s">
        <v>208</v>
      </c>
      <c r="I714" s="8" t="s">
        <v>208</v>
      </c>
      <c r="J714" s="8" t="s">
        <v>208</v>
      </c>
      <c r="K714" s="8" t="s">
        <v>208</v>
      </c>
      <c r="L714" s="8" t="s">
        <v>208</v>
      </c>
      <c r="M714" s="8" t="s">
        <v>208</v>
      </c>
      <c r="N714" s="8" t="s">
        <v>208</v>
      </c>
      <c r="O714" s="8" t="s">
        <v>208</v>
      </c>
      <c r="Q714" t="s">
        <v>3255</v>
      </c>
      <c r="R714" t="s">
        <v>3256</v>
      </c>
      <c r="U714" t="s">
        <v>3257</v>
      </c>
      <c r="V714" t="s">
        <v>140</v>
      </c>
      <c r="W714" t="s">
        <v>232</v>
      </c>
      <c r="X714" t="s">
        <v>232</v>
      </c>
      <c r="Y714" t="s">
        <v>275</v>
      </c>
      <c r="Z714" t="s">
        <v>233</v>
      </c>
      <c r="AA714" t="s">
        <v>214</v>
      </c>
      <c r="AB714" t="s">
        <v>215</v>
      </c>
      <c r="AC714" t="s">
        <v>701</v>
      </c>
      <c r="AD714" t="s">
        <v>3258</v>
      </c>
      <c r="AE714" t="s">
        <v>217</v>
      </c>
      <c r="AG714" s="8" t="s">
        <v>218</v>
      </c>
      <c r="AH714" t="s">
        <v>2256</v>
      </c>
      <c r="AI714" s="8" t="s">
        <v>221</v>
      </c>
      <c r="AJ714" s="9" t="s">
        <v>218</v>
      </c>
      <c r="AK714" t="s">
        <v>3259</v>
      </c>
      <c r="AL714" s="8" t="s">
        <v>221</v>
      </c>
      <c r="AM714" s="9" t="s">
        <v>218</v>
      </c>
      <c r="AN714" s="8" t="s">
        <v>221</v>
      </c>
      <c r="AO714" s="8" t="s">
        <v>222</v>
      </c>
      <c r="AP714" s="8">
        <v>0</v>
      </c>
      <c r="AQ714" s="8">
        <v>0</v>
      </c>
      <c r="AR714" s="8">
        <v>0</v>
      </c>
      <c r="AS714" s="8">
        <v>0</v>
      </c>
      <c r="AT714" s="8">
        <v>0</v>
      </c>
      <c r="AU714" s="8">
        <v>0</v>
      </c>
      <c r="AV714" s="8">
        <v>0</v>
      </c>
      <c r="AW714" s="8">
        <v>0</v>
      </c>
      <c r="AX714" s="8"/>
      <c r="AY714" s="8"/>
      <c r="AZ714">
        <v>3</v>
      </c>
      <c r="BA714" t="s">
        <v>3260</v>
      </c>
      <c r="BB714" t="s">
        <v>3261</v>
      </c>
    </row>
    <row r="715" spans="1:54">
      <c r="A715" s="6">
        <v>45849</v>
      </c>
      <c r="B715" s="7" t="s">
        <v>3262</v>
      </c>
      <c r="C715" t="s">
        <v>205</v>
      </c>
      <c r="D715" t="s">
        <v>3254</v>
      </c>
      <c r="G715" t="s">
        <v>207</v>
      </c>
      <c r="H715" s="8" t="s">
        <v>208</v>
      </c>
      <c r="I715" s="8" t="s">
        <v>208</v>
      </c>
      <c r="J715" s="8" t="s">
        <v>208</v>
      </c>
      <c r="K715" s="8" t="s">
        <v>208</v>
      </c>
      <c r="L715" s="8" t="s">
        <v>208</v>
      </c>
      <c r="M715" s="8" t="s">
        <v>208</v>
      </c>
      <c r="N715" s="8" t="s">
        <v>208</v>
      </c>
      <c r="O715" s="8" t="s">
        <v>208</v>
      </c>
      <c r="Q715" t="s">
        <v>3263</v>
      </c>
      <c r="R715" t="s">
        <v>3264</v>
      </c>
      <c r="U715" t="s">
        <v>2467</v>
      </c>
      <c r="V715" t="s">
        <v>140</v>
      </c>
      <c r="W715" t="s">
        <v>774</v>
      </c>
      <c r="Y715" t="s">
        <v>1082</v>
      </c>
      <c r="AA715" t="s">
        <v>214</v>
      </c>
      <c r="AB715" t="s">
        <v>425</v>
      </c>
      <c r="AD715" t="s">
        <v>3258</v>
      </c>
      <c r="AE715" t="s">
        <v>217</v>
      </c>
      <c r="AG715" s="8" t="s">
        <v>218</v>
      </c>
      <c r="AH715" t="s">
        <v>2256</v>
      </c>
      <c r="AI715" s="8" t="s">
        <v>221</v>
      </c>
      <c r="AJ715" s="9" t="s">
        <v>218</v>
      </c>
      <c r="AK715" t="s">
        <v>234</v>
      </c>
      <c r="AL715" s="8" t="s">
        <v>221</v>
      </c>
      <c r="AM715" s="9" t="s">
        <v>218</v>
      </c>
      <c r="AN715" s="8" t="s">
        <v>221</v>
      </c>
      <c r="AO715" s="8" t="s">
        <v>222</v>
      </c>
      <c r="AP715" s="8">
        <v>0</v>
      </c>
      <c r="AQ715" s="8">
        <v>0</v>
      </c>
      <c r="AR715" s="8">
        <v>0</v>
      </c>
      <c r="AS715" s="8">
        <v>0</v>
      </c>
      <c r="AT715" s="8">
        <v>0</v>
      </c>
      <c r="AU715" s="8">
        <v>0</v>
      </c>
      <c r="AV715" s="8">
        <v>0</v>
      </c>
      <c r="AW715" s="8">
        <v>0</v>
      </c>
      <c r="AX715" s="8"/>
      <c r="AY715" s="8"/>
      <c r="AZ715">
        <v>2</v>
      </c>
      <c r="BA715" t="s">
        <v>3265</v>
      </c>
    </row>
    <row r="716" spans="1:54">
      <c r="A716" s="6">
        <v>45849</v>
      </c>
      <c r="B716" s="7" t="s">
        <v>3266</v>
      </c>
      <c r="C716" t="s">
        <v>205</v>
      </c>
      <c r="D716" t="s">
        <v>3254</v>
      </c>
      <c r="G716" t="s">
        <v>207</v>
      </c>
      <c r="H716" s="8" t="s">
        <v>208</v>
      </c>
      <c r="I716" s="8" t="s">
        <v>208</v>
      </c>
      <c r="J716" s="8" t="s">
        <v>208</v>
      </c>
      <c r="K716" s="8" t="s">
        <v>208</v>
      </c>
      <c r="L716" s="8" t="s">
        <v>208</v>
      </c>
      <c r="M716" s="8" t="s">
        <v>208</v>
      </c>
      <c r="N716" s="8" t="s">
        <v>208</v>
      </c>
      <c r="O716" s="8" t="s">
        <v>208</v>
      </c>
      <c r="Q716" t="s">
        <v>3267</v>
      </c>
      <c r="R716" t="s">
        <v>3268</v>
      </c>
      <c r="U716" t="s">
        <v>2475</v>
      </c>
      <c r="V716" t="s">
        <v>140</v>
      </c>
      <c r="W716" t="s">
        <v>212</v>
      </c>
      <c r="Y716" t="s">
        <v>275</v>
      </c>
      <c r="AA716" t="s">
        <v>214</v>
      </c>
      <c r="AB716" t="s">
        <v>1336</v>
      </c>
      <c r="AD716" t="s">
        <v>3258</v>
      </c>
      <c r="AE716" t="s">
        <v>217</v>
      </c>
      <c r="AG716" s="8" t="s">
        <v>218</v>
      </c>
      <c r="AH716" t="s">
        <v>2256</v>
      </c>
      <c r="AI716" s="8" t="s">
        <v>221</v>
      </c>
      <c r="AJ716" s="9" t="s">
        <v>218</v>
      </c>
      <c r="AK716" t="s">
        <v>234</v>
      </c>
      <c r="AL716" s="8" t="s">
        <v>221</v>
      </c>
      <c r="AM716" s="9" t="s">
        <v>218</v>
      </c>
      <c r="AN716" s="8" t="s">
        <v>221</v>
      </c>
      <c r="AO716" s="8" t="s">
        <v>222</v>
      </c>
      <c r="AP716" s="8">
        <v>0</v>
      </c>
      <c r="AQ716" s="8">
        <v>0</v>
      </c>
      <c r="AR716" s="8">
        <v>0</v>
      </c>
      <c r="AS716" s="8">
        <v>0</v>
      </c>
      <c r="AT716" s="8">
        <v>0</v>
      </c>
      <c r="AU716" s="8">
        <v>0</v>
      </c>
      <c r="AV716" s="8">
        <v>0</v>
      </c>
      <c r="AW716" s="8">
        <v>0</v>
      </c>
      <c r="AX716" s="8"/>
      <c r="AY716" s="8"/>
      <c r="AZ716">
        <v>2</v>
      </c>
      <c r="BA716" t="s">
        <v>3269</v>
      </c>
    </row>
    <row r="717" spans="1:54">
      <c r="A717" s="6">
        <v>45849</v>
      </c>
      <c r="B717" s="7" t="s">
        <v>3270</v>
      </c>
      <c r="C717" t="s">
        <v>205</v>
      </c>
      <c r="D717" t="s">
        <v>3254</v>
      </c>
      <c r="G717" t="s">
        <v>207</v>
      </c>
      <c r="H717" s="8" t="s">
        <v>208</v>
      </c>
      <c r="I717" s="8" t="s">
        <v>208</v>
      </c>
      <c r="J717" s="8" t="s">
        <v>208</v>
      </c>
      <c r="K717" s="8" t="s">
        <v>208</v>
      </c>
      <c r="L717" s="8" t="s">
        <v>208</v>
      </c>
      <c r="M717" s="8" t="s">
        <v>208</v>
      </c>
      <c r="N717" s="8" t="s">
        <v>208</v>
      </c>
      <c r="O717" s="8" t="s">
        <v>208</v>
      </c>
      <c r="Q717" t="s">
        <v>3271</v>
      </c>
      <c r="R717" t="s">
        <v>3272</v>
      </c>
      <c r="U717" t="s">
        <v>3273</v>
      </c>
      <c r="V717" t="s">
        <v>14</v>
      </c>
      <c r="W717" t="s">
        <v>774</v>
      </c>
      <c r="Y717" t="s">
        <v>1082</v>
      </c>
      <c r="AA717" t="s">
        <v>214</v>
      </c>
      <c r="AB717" t="s">
        <v>465</v>
      </c>
      <c r="AD717" t="s">
        <v>3258</v>
      </c>
      <c r="AE717" t="s">
        <v>217</v>
      </c>
      <c r="AG717" s="8" t="s">
        <v>218</v>
      </c>
      <c r="AH717" t="s">
        <v>2256</v>
      </c>
      <c r="AI717" s="8" t="s">
        <v>221</v>
      </c>
      <c r="AJ717" s="9" t="s">
        <v>218</v>
      </c>
      <c r="AK717" t="s">
        <v>2480</v>
      </c>
      <c r="AL717" s="8" t="s">
        <v>221</v>
      </c>
      <c r="AM717" s="9" t="s">
        <v>218</v>
      </c>
      <c r="AN717" s="8" t="s">
        <v>221</v>
      </c>
      <c r="AO717" s="8" t="s">
        <v>222</v>
      </c>
      <c r="AP717" s="8">
        <v>0</v>
      </c>
      <c r="AQ717" s="8">
        <v>0</v>
      </c>
      <c r="AR717" s="8">
        <v>0</v>
      </c>
      <c r="AS717" s="8">
        <v>0</v>
      </c>
      <c r="AT717" s="8">
        <v>0</v>
      </c>
      <c r="AU717" s="8">
        <v>0</v>
      </c>
      <c r="AV717" s="8">
        <v>0</v>
      </c>
      <c r="AW717" s="8">
        <v>0</v>
      </c>
      <c r="AX717" s="8"/>
      <c r="AY717" s="8"/>
      <c r="AZ717">
        <v>2</v>
      </c>
      <c r="BA717" t="s">
        <v>3274</v>
      </c>
    </row>
    <row r="718" spans="1:54">
      <c r="A718" s="6">
        <v>45849</v>
      </c>
      <c r="B718" s="7" t="s">
        <v>3275</v>
      </c>
      <c r="C718" t="s">
        <v>205</v>
      </c>
      <c r="D718" t="s">
        <v>3254</v>
      </c>
      <c r="G718" t="s">
        <v>207</v>
      </c>
      <c r="H718" s="8" t="s">
        <v>208</v>
      </c>
      <c r="I718" s="8" t="s">
        <v>208</v>
      </c>
      <c r="J718" s="8" t="s">
        <v>208</v>
      </c>
      <c r="K718" s="8" t="s">
        <v>208</v>
      </c>
      <c r="L718" s="8" t="s">
        <v>208</v>
      </c>
      <c r="M718" s="8" t="s">
        <v>208</v>
      </c>
      <c r="N718" s="8" t="s">
        <v>208</v>
      </c>
      <c r="O718" s="8" t="s">
        <v>208</v>
      </c>
      <c r="Q718" t="s">
        <v>3276</v>
      </c>
      <c r="R718" t="s">
        <v>3277</v>
      </c>
      <c r="U718" t="s">
        <v>2484</v>
      </c>
      <c r="V718" t="s">
        <v>14</v>
      </c>
      <c r="W718" t="s">
        <v>774</v>
      </c>
      <c r="Y718" t="s">
        <v>1082</v>
      </c>
      <c r="AA718" t="s">
        <v>214</v>
      </c>
      <c r="AB718" t="s">
        <v>465</v>
      </c>
      <c r="AD718" t="s">
        <v>3258</v>
      </c>
      <c r="AE718" t="s">
        <v>217</v>
      </c>
      <c r="AG718" s="8" t="s">
        <v>218</v>
      </c>
      <c r="AH718" t="s">
        <v>2256</v>
      </c>
      <c r="AI718" s="8" t="s">
        <v>221</v>
      </c>
      <c r="AJ718" s="9" t="s">
        <v>218</v>
      </c>
      <c r="AK718" t="s">
        <v>2480</v>
      </c>
      <c r="AL718" s="8" t="s">
        <v>221</v>
      </c>
      <c r="AM718" s="9" t="s">
        <v>218</v>
      </c>
      <c r="AN718" s="8" t="s">
        <v>221</v>
      </c>
      <c r="AO718" s="8" t="s">
        <v>222</v>
      </c>
      <c r="AP718" s="8">
        <v>0</v>
      </c>
      <c r="AQ718" s="8">
        <v>0</v>
      </c>
      <c r="AR718" s="8">
        <v>0</v>
      </c>
      <c r="AS718" s="8">
        <v>0</v>
      </c>
      <c r="AT718" s="8">
        <v>0</v>
      </c>
      <c r="AU718" s="8">
        <v>0</v>
      </c>
      <c r="AV718" s="8">
        <v>0</v>
      </c>
      <c r="AW718" s="8">
        <v>0</v>
      </c>
      <c r="AX718" s="8"/>
      <c r="AY718" s="8"/>
      <c r="AZ718">
        <v>2</v>
      </c>
      <c r="BA718" t="s">
        <v>3274</v>
      </c>
    </row>
    <row r="719" spans="1:54">
      <c r="A719" s="6">
        <v>45849</v>
      </c>
      <c r="B719" s="7" t="s">
        <v>3278</v>
      </c>
      <c r="C719" t="s">
        <v>205</v>
      </c>
      <c r="D719" t="s">
        <v>3254</v>
      </c>
      <c r="G719" t="s">
        <v>207</v>
      </c>
      <c r="H719" s="8" t="s">
        <v>208</v>
      </c>
      <c r="I719" s="8" t="s">
        <v>208</v>
      </c>
      <c r="J719" s="8" t="s">
        <v>208</v>
      </c>
      <c r="K719" s="8" t="s">
        <v>208</v>
      </c>
      <c r="L719" s="8" t="s">
        <v>208</v>
      </c>
      <c r="M719" s="8" t="s">
        <v>208</v>
      </c>
      <c r="N719" s="8" t="s">
        <v>208</v>
      </c>
      <c r="O719" s="8" t="s">
        <v>208</v>
      </c>
      <c r="Q719" t="s">
        <v>3279</v>
      </c>
      <c r="R719" t="s">
        <v>3280</v>
      </c>
      <c r="U719" t="s">
        <v>2471</v>
      </c>
      <c r="V719" t="s">
        <v>140</v>
      </c>
      <c r="W719" t="s">
        <v>212</v>
      </c>
      <c r="Y719" t="s">
        <v>275</v>
      </c>
      <c r="AA719" t="s">
        <v>214</v>
      </c>
      <c r="AB719" t="s">
        <v>215</v>
      </c>
      <c r="AD719" t="s">
        <v>3258</v>
      </c>
      <c r="AE719" t="s">
        <v>217</v>
      </c>
      <c r="AG719" s="8" t="s">
        <v>218</v>
      </c>
      <c r="AH719" t="s">
        <v>2256</v>
      </c>
      <c r="AI719" s="8" t="s">
        <v>221</v>
      </c>
      <c r="AJ719" s="9" t="s">
        <v>218</v>
      </c>
      <c r="AK719" t="s">
        <v>234</v>
      </c>
      <c r="AL719" s="8" t="s">
        <v>221</v>
      </c>
      <c r="AM719" s="9" t="s">
        <v>218</v>
      </c>
      <c r="AN719" s="8" t="s">
        <v>221</v>
      </c>
      <c r="AO719" s="8" t="s">
        <v>222</v>
      </c>
      <c r="AP719" s="8">
        <v>0</v>
      </c>
      <c r="AQ719" s="8">
        <v>0</v>
      </c>
      <c r="AR719" s="8">
        <v>0</v>
      </c>
      <c r="AS719" s="8">
        <v>0</v>
      </c>
      <c r="AT719" s="8">
        <v>0</v>
      </c>
      <c r="AU719" s="8">
        <v>0</v>
      </c>
      <c r="AV719" s="8">
        <v>0</v>
      </c>
      <c r="AW719" s="8">
        <v>0</v>
      </c>
      <c r="AX719" s="8"/>
      <c r="AY719" s="8"/>
      <c r="AZ719">
        <v>2</v>
      </c>
      <c r="BA719" t="s">
        <v>3281</v>
      </c>
    </row>
    <row r="720" spans="1:54">
      <c r="A720" s="6">
        <v>45849</v>
      </c>
      <c r="B720" s="7" t="s">
        <v>3282</v>
      </c>
      <c r="C720" t="s">
        <v>205</v>
      </c>
      <c r="D720" t="s">
        <v>3254</v>
      </c>
      <c r="G720" t="s">
        <v>207</v>
      </c>
      <c r="H720" s="8" t="s">
        <v>208</v>
      </c>
      <c r="I720" s="8" t="s">
        <v>208</v>
      </c>
      <c r="J720" s="8" t="s">
        <v>208</v>
      </c>
      <c r="K720" s="8" t="s">
        <v>208</v>
      </c>
      <c r="L720" s="8" t="s">
        <v>208</v>
      </c>
      <c r="M720" s="8" t="s">
        <v>208</v>
      </c>
      <c r="N720" s="8" t="s">
        <v>208</v>
      </c>
      <c r="O720" s="8" t="s">
        <v>208</v>
      </c>
      <c r="Q720" t="s">
        <v>3283</v>
      </c>
      <c r="R720" t="s">
        <v>3284</v>
      </c>
      <c r="U720" t="s">
        <v>2488</v>
      </c>
      <c r="V720" t="s">
        <v>140</v>
      </c>
      <c r="W720" t="s">
        <v>212</v>
      </c>
      <c r="Y720" t="s">
        <v>275</v>
      </c>
      <c r="AA720" t="s">
        <v>214</v>
      </c>
      <c r="AB720" t="s">
        <v>215</v>
      </c>
      <c r="AD720" t="s">
        <v>3258</v>
      </c>
      <c r="AE720" t="s">
        <v>217</v>
      </c>
      <c r="AG720" s="8" t="s">
        <v>218</v>
      </c>
      <c r="AH720" t="s">
        <v>2256</v>
      </c>
      <c r="AI720" s="8" t="s">
        <v>221</v>
      </c>
      <c r="AJ720" s="9" t="s">
        <v>218</v>
      </c>
      <c r="AK720" t="s">
        <v>234</v>
      </c>
      <c r="AL720" s="8" t="s">
        <v>221</v>
      </c>
      <c r="AM720" s="9" t="s">
        <v>218</v>
      </c>
      <c r="AN720" s="8" t="s">
        <v>221</v>
      </c>
      <c r="AO720" s="8" t="s">
        <v>222</v>
      </c>
      <c r="AP720" s="8">
        <v>0</v>
      </c>
      <c r="AQ720" s="8">
        <v>0</v>
      </c>
      <c r="AR720" s="8">
        <v>0</v>
      </c>
      <c r="AS720" s="8">
        <v>0</v>
      </c>
      <c r="AT720" s="8">
        <v>0</v>
      </c>
      <c r="AU720" s="8">
        <v>0</v>
      </c>
      <c r="AV720" s="8">
        <v>0</v>
      </c>
      <c r="AW720" s="8">
        <v>0</v>
      </c>
      <c r="AX720" s="8"/>
      <c r="AY720" s="8"/>
      <c r="AZ720">
        <v>2</v>
      </c>
      <c r="BA720" t="s">
        <v>3281</v>
      </c>
    </row>
    <row r="721" spans="1:54">
      <c r="A721" s="6">
        <v>45849</v>
      </c>
      <c r="B721" s="7" t="s">
        <v>3285</v>
      </c>
      <c r="C721" t="s">
        <v>205</v>
      </c>
      <c r="D721" t="s">
        <v>3254</v>
      </c>
      <c r="G721" t="s">
        <v>207</v>
      </c>
      <c r="H721" s="8" t="s">
        <v>208</v>
      </c>
      <c r="I721" s="8" t="s">
        <v>208</v>
      </c>
      <c r="J721" s="8" t="s">
        <v>208</v>
      </c>
      <c r="K721" s="8" t="s">
        <v>208</v>
      </c>
      <c r="L721" s="8" t="s">
        <v>208</v>
      </c>
      <c r="M721" s="8" t="s">
        <v>208</v>
      </c>
      <c r="N721" s="8" t="s">
        <v>208</v>
      </c>
      <c r="O721" s="8" t="s">
        <v>208</v>
      </c>
      <c r="Q721" t="s">
        <v>3286</v>
      </c>
      <c r="R721" t="s">
        <v>3287</v>
      </c>
      <c r="U721" t="s">
        <v>2496</v>
      </c>
      <c r="V721" t="s">
        <v>140</v>
      </c>
      <c r="W721" t="s">
        <v>212</v>
      </c>
      <c r="Y721" t="s">
        <v>275</v>
      </c>
      <c r="AA721" t="s">
        <v>214</v>
      </c>
      <c r="AB721" t="s">
        <v>215</v>
      </c>
      <c r="AD721" t="s">
        <v>3258</v>
      </c>
      <c r="AE721" t="s">
        <v>217</v>
      </c>
      <c r="AG721" s="8" t="s">
        <v>218</v>
      </c>
      <c r="AH721" t="s">
        <v>2256</v>
      </c>
      <c r="AI721" s="8" t="s">
        <v>221</v>
      </c>
      <c r="AJ721" s="9" t="s">
        <v>218</v>
      </c>
      <c r="AK721" t="s">
        <v>234</v>
      </c>
      <c r="AL721" s="8" t="s">
        <v>221</v>
      </c>
      <c r="AM721" s="9" t="s">
        <v>218</v>
      </c>
      <c r="AN721" s="8" t="s">
        <v>221</v>
      </c>
      <c r="AO721" s="8" t="s">
        <v>222</v>
      </c>
      <c r="AP721" s="8">
        <v>0</v>
      </c>
      <c r="AQ721" s="8">
        <v>0</v>
      </c>
      <c r="AR721" s="8">
        <v>0</v>
      </c>
      <c r="AS721" s="8">
        <v>0</v>
      </c>
      <c r="AT721" s="8">
        <v>0</v>
      </c>
      <c r="AU721" s="8">
        <v>0</v>
      </c>
      <c r="AV721" s="8">
        <v>0</v>
      </c>
      <c r="AW721" s="8">
        <v>0</v>
      </c>
      <c r="AX721" s="8"/>
      <c r="AY721" s="8"/>
      <c r="AZ721">
        <v>2</v>
      </c>
      <c r="BA721" t="s">
        <v>3269</v>
      </c>
    </row>
    <row r="722" spans="1:54">
      <c r="A722" s="6">
        <v>45849</v>
      </c>
      <c r="B722" s="7" t="s">
        <v>3288</v>
      </c>
      <c r="C722" t="s">
        <v>205</v>
      </c>
      <c r="D722" t="s">
        <v>3254</v>
      </c>
      <c r="G722" t="s">
        <v>207</v>
      </c>
      <c r="H722" s="8" t="s">
        <v>208</v>
      </c>
      <c r="I722" s="8" t="s">
        <v>208</v>
      </c>
      <c r="J722" s="8" t="s">
        <v>208</v>
      </c>
      <c r="K722" s="8" t="s">
        <v>208</v>
      </c>
      <c r="L722" s="8" t="s">
        <v>208</v>
      </c>
      <c r="M722" s="8" t="s">
        <v>208</v>
      </c>
      <c r="N722" s="8" t="s">
        <v>208</v>
      </c>
      <c r="O722" s="8" t="s">
        <v>208</v>
      </c>
      <c r="Q722" t="s">
        <v>3289</v>
      </c>
      <c r="R722" t="s">
        <v>3290</v>
      </c>
      <c r="U722" t="s">
        <v>2492</v>
      </c>
      <c r="V722" t="s">
        <v>140</v>
      </c>
      <c r="W722" t="s">
        <v>212</v>
      </c>
      <c r="Y722" t="s">
        <v>275</v>
      </c>
      <c r="AA722" t="s">
        <v>214</v>
      </c>
      <c r="AB722" t="s">
        <v>215</v>
      </c>
      <c r="AD722" t="s">
        <v>3258</v>
      </c>
      <c r="AE722" t="s">
        <v>217</v>
      </c>
      <c r="AG722" s="8" t="s">
        <v>218</v>
      </c>
      <c r="AH722" t="s">
        <v>2256</v>
      </c>
      <c r="AI722" s="8" t="s">
        <v>221</v>
      </c>
      <c r="AJ722" s="9" t="s">
        <v>218</v>
      </c>
      <c r="AK722" t="s">
        <v>234</v>
      </c>
      <c r="AL722" s="8" t="s">
        <v>221</v>
      </c>
      <c r="AM722" s="9" t="s">
        <v>218</v>
      </c>
      <c r="AN722" s="8" t="s">
        <v>221</v>
      </c>
      <c r="AO722" s="8" t="s">
        <v>222</v>
      </c>
      <c r="AP722" s="8">
        <v>0</v>
      </c>
      <c r="AQ722" s="8">
        <v>0</v>
      </c>
      <c r="AR722" s="8">
        <v>0</v>
      </c>
      <c r="AS722" s="8">
        <v>0</v>
      </c>
      <c r="AT722" s="8">
        <v>0</v>
      </c>
      <c r="AU722" s="8">
        <v>0</v>
      </c>
      <c r="AV722" s="8">
        <v>0</v>
      </c>
      <c r="AW722" s="8">
        <v>0</v>
      </c>
      <c r="AX722" s="8"/>
      <c r="AY722" s="8"/>
      <c r="AZ722">
        <v>2</v>
      </c>
      <c r="BA722" t="s">
        <v>3281</v>
      </c>
    </row>
    <row r="723" spans="1:54">
      <c r="A723" s="6">
        <v>45849</v>
      </c>
      <c r="B723" s="7" t="s">
        <v>2600</v>
      </c>
      <c r="C723" t="s">
        <v>714</v>
      </c>
      <c r="D723" t="s">
        <v>3254</v>
      </c>
      <c r="G723" t="s">
        <v>207</v>
      </c>
      <c r="H723" s="8" t="s">
        <v>208</v>
      </c>
      <c r="I723" s="8" t="s">
        <v>208</v>
      </c>
      <c r="J723" s="8" t="s">
        <v>208</v>
      </c>
      <c r="K723" s="8" t="s">
        <v>208</v>
      </c>
      <c r="L723" s="8" t="s">
        <v>208</v>
      </c>
      <c r="M723" s="8" t="s">
        <v>208</v>
      </c>
      <c r="N723" s="8" t="s">
        <v>208</v>
      </c>
      <c r="O723" s="8" t="s">
        <v>208</v>
      </c>
      <c r="Q723" t="s">
        <v>2601</v>
      </c>
      <c r="R723" t="s">
        <v>2602</v>
      </c>
      <c r="U723" t="s">
        <v>2603</v>
      </c>
      <c r="V723" t="s">
        <v>14</v>
      </c>
      <c r="W723" t="s">
        <v>774</v>
      </c>
      <c r="X723" t="s">
        <v>774</v>
      </c>
      <c r="Y723" t="s">
        <v>775</v>
      </c>
      <c r="Z723" t="s">
        <v>775</v>
      </c>
      <c r="AA723" t="s">
        <v>214</v>
      </c>
      <c r="AB723" t="s">
        <v>425</v>
      </c>
      <c r="AC723" t="s">
        <v>425</v>
      </c>
      <c r="AD723" t="s">
        <v>216</v>
      </c>
      <c r="AE723" t="s">
        <v>11</v>
      </c>
      <c r="AG723" s="8" t="s">
        <v>218</v>
      </c>
      <c r="AH723" t="s">
        <v>219</v>
      </c>
      <c r="AI723" s="9" t="s">
        <v>218</v>
      </c>
      <c r="AJ723" s="9" t="s">
        <v>218</v>
      </c>
      <c r="AK723" t="s">
        <v>234</v>
      </c>
      <c r="AL723" s="9" t="s">
        <v>218</v>
      </c>
      <c r="AM723" s="8" t="s">
        <v>221</v>
      </c>
      <c r="AN723" s="8" t="s">
        <v>221</v>
      </c>
      <c r="AO723" s="8" t="s">
        <v>222</v>
      </c>
      <c r="AP723" s="8">
        <v>0</v>
      </c>
      <c r="AQ723" s="8">
        <v>0</v>
      </c>
      <c r="AR723" s="8">
        <v>0</v>
      </c>
      <c r="AS723" s="8">
        <v>0</v>
      </c>
      <c r="AT723" s="8">
        <v>0</v>
      </c>
      <c r="AU723" s="8">
        <v>0</v>
      </c>
      <c r="AV723" s="8">
        <v>0</v>
      </c>
      <c r="AW723" s="8">
        <v>0</v>
      </c>
      <c r="AX723" s="8"/>
      <c r="AY723" s="8"/>
      <c r="AZ723">
        <v>0</v>
      </c>
      <c r="BB723" t="s">
        <v>2604</v>
      </c>
    </row>
    <row r="724" spans="1:54">
      <c r="A724" s="6">
        <v>45849</v>
      </c>
      <c r="B724" s="7" t="s">
        <v>2610</v>
      </c>
      <c r="C724" t="s">
        <v>714</v>
      </c>
      <c r="D724" t="s">
        <v>3254</v>
      </c>
      <c r="G724" t="s">
        <v>207</v>
      </c>
      <c r="H724" s="8" t="s">
        <v>208</v>
      </c>
      <c r="I724" s="8" t="s">
        <v>208</v>
      </c>
      <c r="J724" s="8" t="s">
        <v>208</v>
      </c>
      <c r="K724" s="8" t="s">
        <v>208</v>
      </c>
      <c r="L724" s="8" t="s">
        <v>208</v>
      </c>
      <c r="M724" s="8" t="s">
        <v>208</v>
      </c>
      <c r="N724" s="8" t="s">
        <v>208</v>
      </c>
      <c r="O724" s="8" t="s">
        <v>208</v>
      </c>
      <c r="Q724" t="s">
        <v>2611</v>
      </c>
      <c r="R724" t="s">
        <v>2612</v>
      </c>
      <c r="U724" t="s">
        <v>2613</v>
      </c>
      <c r="V724" t="s">
        <v>140</v>
      </c>
      <c r="W724" t="s">
        <v>212</v>
      </c>
      <c r="X724" t="s">
        <v>212</v>
      </c>
      <c r="Y724" t="s">
        <v>213</v>
      </c>
      <c r="Z724" t="s">
        <v>213</v>
      </c>
      <c r="AA724" t="s">
        <v>214</v>
      </c>
      <c r="AB724" t="s">
        <v>1336</v>
      </c>
      <c r="AC724" t="s">
        <v>215</v>
      </c>
      <c r="AD724" t="s">
        <v>216</v>
      </c>
      <c r="AE724" t="s">
        <v>217</v>
      </c>
      <c r="AG724" s="8" t="s">
        <v>218</v>
      </c>
      <c r="AH724" t="s">
        <v>219</v>
      </c>
      <c r="AI724" s="9" t="s">
        <v>218</v>
      </c>
      <c r="AJ724" s="9" t="s">
        <v>218</v>
      </c>
      <c r="AK724" t="s">
        <v>2614</v>
      </c>
      <c r="AL724" s="9" t="s">
        <v>218</v>
      </c>
      <c r="AM724" s="8" t="s">
        <v>221</v>
      </c>
      <c r="AN724" s="8" t="s">
        <v>221</v>
      </c>
      <c r="AO724" s="8" t="s">
        <v>222</v>
      </c>
      <c r="AP724" s="8">
        <v>0</v>
      </c>
      <c r="AQ724" s="8">
        <v>0</v>
      </c>
      <c r="AR724" s="9">
        <v>7</v>
      </c>
      <c r="AS724" s="8">
        <v>0</v>
      </c>
      <c r="AT724" s="8">
        <v>0</v>
      </c>
      <c r="AU724" s="8">
        <v>0</v>
      </c>
      <c r="AV724" s="8">
        <v>0</v>
      </c>
      <c r="AW724" s="9">
        <v>7</v>
      </c>
      <c r="AX724" s="8"/>
      <c r="AY724" s="8"/>
      <c r="AZ724">
        <v>0</v>
      </c>
      <c r="BB724" t="s">
        <v>2615</v>
      </c>
    </row>
    <row r="725" spans="1:54">
      <c r="A725" s="6">
        <v>45849</v>
      </c>
      <c r="B725" s="7" t="s">
        <v>2627</v>
      </c>
      <c r="C725" t="s">
        <v>714</v>
      </c>
      <c r="D725" t="s">
        <v>3254</v>
      </c>
      <c r="G725" t="s">
        <v>207</v>
      </c>
      <c r="H725" s="8" t="s">
        <v>208</v>
      </c>
      <c r="I725" s="8" t="s">
        <v>208</v>
      </c>
      <c r="J725" s="8" t="s">
        <v>208</v>
      </c>
      <c r="K725" s="8" t="s">
        <v>208</v>
      </c>
      <c r="L725" s="8" t="s">
        <v>208</v>
      </c>
      <c r="M725" s="8" t="s">
        <v>208</v>
      </c>
      <c r="N725" s="8" t="s">
        <v>208</v>
      </c>
      <c r="O725" s="8" t="s">
        <v>208</v>
      </c>
      <c r="Q725" t="s">
        <v>2628</v>
      </c>
      <c r="R725" t="s">
        <v>2629</v>
      </c>
      <c r="U725" t="s">
        <v>2630</v>
      </c>
      <c r="V725" t="s">
        <v>140</v>
      </c>
      <c r="W725" t="s">
        <v>212</v>
      </c>
      <c r="X725" t="s">
        <v>212</v>
      </c>
      <c r="Y725" t="s">
        <v>213</v>
      </c>
      <c r="Z725" t="s">
        <v>213</v>
      </c>
      <c r="AA725" t="s">
        <v>214</v>
      </c>
      <c r="AB725" t="s">
        <v>242</v>
      </c>
      <c r="AC725" t="s">
        <v>242</v>
      </c>
      <c r="AD725" t="s">
        <v>216</v>
      </c>
      <c r="AE725" t="s">
        <v>217</v>
      </c>
      <c r="AG725" s="8" t="s">
        <v>218</v>
      </c>
      <c r="AH725" t="s">
        <v>219</v>
      </c>
      <c r="AI725" s="9" t="s">
        <v>218</v>
      </c>
      <c r="AJ725" s="9" t="s">
        <v>218</v>
      </c>
      <c r="AK725" t="s">
        <v>234</v>
      </c>
      <c r="AL725" s="9" t="s">
        <v>218</v>
      </c>
      <c r="AM725" s="8" t="s">
        <v>221</v>
      </c>
      <c r="AN725" s="8" t="s">
        <v>221</v>
      </c>
      <c r="AO725" s="8" t="s">
        <v>222</v>
      </c>
      <c r="AP725" s="8">
        <v>0</v>
      </c>
      <c r="AQ725" s="8">
        <v>0</v>
      </c>
      <c r="AR725" s="9">
        <v>2</v>
      </c>
      <c r="AS725" s="8">
        <v>0</v>
      </c>
      <c r="AT725" s="8">
        <v>0</v>
      </c>
      <c r="AU725" s="8">
        <v>0</v>
      </c>
      <c r="AV725" s="8">
        <v>0</v>
      </c>
      <c r="AW725" s="9">
        <v>2</v>
      </c>
      <c r="AX725" s="8"/>
      <c r="AY725" s="8"/>
      <c r="AZ725">
        <v>0</v>
      </c>
      <c r="BB725" t="s">
        <v>2631</v>
      </c>
    </row>
    <row r="726" spans="1:54">
      <c r="A726" s="6">
        <v>45849</v>
      </c>
      <c r="B726" s="7" t="s">
        <v>2621</v>
      </c>
      <c r="C726" t="s">
        <v>714</v>
      </c>
      <c r="D726" t="s">
        <v>3254</v>
      </c>
      <c r="G726" t="s">
        <v>207</v>
      </c>
      <c r="H726" s="8" t="s">
        <v>208</v>
      </c>
      <c r="I726" s="8" t="s">
        <v>208</v>
      </c>
      <c r="J726" s="8" t="s">
        <v>208</v>
      </c>
      <c r="K726" s="8" t="s">
        <v>208</v>
      </c>
      <c r="L726" s="8" t="s">
        <v>208</v>
      </c>
      <c r="M726" s="8" t="s">
        <v>208</v>
      </c>
      <c r="N726" s="8" t="s">
        <v>208</v>
      </c>
      <c r="O726" s="8" t="s">
        <v>208</v>
      </c>
      <c r="Q726" t="s">
        <v>2622</v>
      </c>
      <c r="R726" t="s">
        <v>2623</v>
      </c>
      <c r="U726" t="s">
        <v>2624</v>
      </c>
      <c r="V726" t="s">
        <v>89</v>
      </c>
      <c r="W726" t="s">
        <v>298</v>
      </c>
      <c r="X726" t="s">
        <v>298</v>
      </c>
      <c r="Y726" t="s">
        <v>299</v>
      </c>
      <c r="Z726" t="s">
        <v>299</v>
      </c>
      <c r="AA726" t="s">
        <v>2561</v>
      </c>
      <c r="AB726" t="s">
        <v>312</v>
      </c>
      <c r="AC726" t="s">
        <v>312</v>
      </c>
      <c r="AD726" t="s">
        <v>216</v>
      </c>
      <c r="AE726" t="s">
        <v>2562</v>
      </c>
      <c r="AG726" s="8" t="s">
        <v>218</v>
      </c>
      <c r="AH726" t="s">
        <v>302</v>
      </c>
      <c r="AI726" s="9" t="s">
        <v>218</v>
      </c>
      <c r="AJ726" s="8" t="s">
        <v>221</v>
      </c>
      <c r="AK726" t="s">
        <v>2625</v>
      </c>
      <c r="AL726" s="9" t="s">
        <v>218</v>
      </c>
      <c r="AM726" s="8" t="s">
        <v>221</v>
      </c>
      <c r="AN726" s="8" t="s">
        <v>221</v>
      </c>
      <c r="AO726" s="8" t="s">
        <v>222</v>
      </c>
      <c r="AP726" s="8">
        <v>0</v>
      </c>
      <c r="AQ726" s="8">
        <v>0</v>
      </c>
      <c r="AR726" s="8">
        <v>0</v>
      </c>
      <c r="AS726" s="8">
        <v>0</v>
      </c>
      <c r="AT726" s="8">
        <v>0</v>
      </c>
      <c r="AU726" s="8">
        <v>0</v>
      </c>
      <c r="AV726" s="8">
        <v>0</v>
      </c>
      <c r="AW726" s="8">
        <v>0</v>
      </c>
      <c r="AX726" s="8"/>
      <c r="AY726" s="8"/>
      <c r="AZ726">
        <v>0</v>
      </c>
      <c r="BB726" t="s">
        <v>2626</v>
      </c>
    </row>
    <row r="727" spans="1:54">
      <c r="A727" s="6">
        <v>45849</v>
      </c>
      <c r="B727" s="7" t="s">
        <v>2590</v>
      </c>
      <c r="C727" t="s">
        <v>714</v>
      </c>
      <c r="D727" t="s">
        <v>3254</v>
      </c>
      <c r="G727" t="s">
        <v>207</v>
      </c>
      <c r="H727" s="8" t="s">
        <v>208</v>
      </c>
      <c r="I727" s="8" t="s">
        <v>208</v>
      </c>
      <c r="J727" s="8" t="s">
        <v>208</v>
      </c>
      <c r="K727" s="8" t="s">
        <v>208</v>
      </c>
      <c r="L727" s="8" t="s">
        <v>208</v>
      </c>
      <c r="M727" s="8" t="s">
        <v>208</v>
      </c>
      <c r="N727" s="8" t="s">
        <v>208</v>
      </c>
      <c r="O727" s="8" t="s">
        <v>208</v>
      </c>
      <c r="Q727" t="s">
        <v>2591</v>
      </c>
      <c r="R727" t="s">
        <v>2592</v>
      </c>
      <c r="U727" t="s">
        <v>2593</v>
      </c>
      <c r="V727" t="s">
        <v>14</v>
      </c>
      <c r="W727" t="s">
        <v>774</v>
      </c>
      <c r="X727" t="s">
        <v>774</v>
      </c>
      <c r="Y727" t="s">
        <v>775</v>
      </c>
      <c r="Z727" t="s">
        <v>775</v>
      </c>
      <c r="AA727" t="s">
        <v>214</v>
      </c>
      <c r="AB727" t="s">
        <v>391</v>
      </c>
      <c r="AC727" t="s">
        <v>391</v>
      </c>
      <c r="AD727" t="s">
        <v>216</v>
      </c>
      <c r="AE727" t="s">
        <v>11</v>
      </c>
      <c r="AG727" s="8" t="s">
        <v>218</v>
      </c>
      <c r="AH727" t="s">
        <v>219</v>
      </c>
      <c r="AI727" s="9" t="s">
        <v>218</v>
      </c>
      <c r="AJ727" s="9" t="s">
        <v>218</v>
      </c>
      <c r="AK727" t="s">
        <v>234</v>
      </c>
      <c r="AL727" s="9" t="s">
        <v>218</v>
      </c>
      <c r="AM727" s="8" t="s">
        <v>221</v>
      </c>
      <c r="AN727" s="8" t="s">
        <v>221</v>
      </c>
      <c r="AO727" s="8" t="s">
        <v>222</v>
      </c>
      <c r="AP727" s="8">
        <v>0</v>
      </c>
      <c r="AQ727" s="8">
        <v>0</v>
      </c>
      <c r="AR727" s="8">
        <v>0</v>
      </c>
      <c r="AS727" s="8">
        <v>0</v>
      </c>
      <c r="AT727" s="8">
        <v>0</v>
      </c>
      <c r="AU727" s="8">
        <v>0</v>
      </c>
      <c r="AV727" s="8">
        <v>0</v>
      </c>
      <c r="AW727" s="8">
        <v>0</v>
      </c>
      <c r="AX727" s="8"/>
      <c r="AY727" s="8"/>
      <c r="AZ727">
        <v>0</v>
      </c>
      <c r="BB727" t="s">
        <v>2594</v>
      </c>
    </row>
    <row r="728" spans="1:54">
      <c r="A728" s="6">
        <v>45849</v>
      </c>
      <c r="B728" s="7" t="s">
        <v>2575</v>
      </c>
      <c r="C728" t="s">
        <v>714</v>
      </c>
      <c r="D728" t="s">
        <v>3254</v>
      </c>
      <c r="G728" t="s">
        <v>207</v>
      </c>
      <c r="H728" s="8" t="s">
        <v>208</v>
      </c>
      <c r="I728" s="8" t="s">
        <v>208</v>
      </c>
      <c r="J728" s="8" t="s">
        <v>208</v>
      </c>
      <c r="K728" s="8" t="s">
        <v>208</v>
      </c>
      <c r="L728" s="8" t="s">
        <v>208</v>
      </c>
      <c r="M728" s="8" t="s">
        <v>208</v>
      </c>
      <c r="N728" s="8" t="s">
        <v>208</v>
      </c>
      <c r="O728" s="8" t="s">
        <v>208</v>
      </c>
      <c r="Q728" t="s">
        <v>2576</v>
      </c>
      <c r="R728" t="s">
        <v>2577</v>
      </c>
      <c r="U728" t="s">
        <v>2578</v>
      </c>
      <c r="V728" t="s">
        <v>136</v>
      </c>
      <c r="W728" t="s">
        <v>212</v>
      </c>
      <c r="X728" t="s">
        <v>212</v>
      </c>
      <c r="Y728" t="s">
        <v>213</v>
      </c>
      <c r="Z728" t="s">
        <v>213</v>
      </c>
      <c r="AA728" t="s">
        <v>214</v>
      </c>
      <c r="AB728" t="s">
        <v>242</v>
      </c>
      <c r="AC728" t="s">
        <v>242</v>
      </c>
      <c r="AD728" t="s">
        <v>216</v>
      </c>
      <c r="AE728" t="s">
        <v>11</v>
      </c>
      <c r="AG728" s="8" t="s">
        <v>218</v>
      </c>
      <c r="AH728" t="s">
        <v>219</v>
      </c>
      <c r="AI728" s="9" t="s">
        <v>218</v>
      </c>
      <c r="AJ728" s="9" t="s">
        <v>218</v>
      </c>
      <c r="AK728" t="s">
        <v>234</v>
      </c>
      <c r="AL728" s="9" t="s">
        <v>218</v>
      </c>
      <c r="AM728" s="8" t="s">
        <v>221</v>
      </c>
      <c r="AN728" s="8" t="s">
        <v>221</v>
      </c>
      <c r="AO728" s="8" t="s">
        <v>222</v>
      </c>
      <c r="AP728" s="8">
        <v>0</v>
      </c>
      <c r="AQ728" s="8">
        <v>0</v>
      </c>
      <c r="AR728" s="8">
        <v>0</v>
      </c>
      <c r="AS728" s="8">
        <v>0</v>
      </c>
      <c r="AT728" s="8">
        <v>0</v>
      </c>
      <c r="AU728" s="8">
        <v>0</v>
      </c>
      <c r="AV728" s="8">
        <v>0</v>
      </c>
      <c r="AW728" s="8">
        <v>0</v>
      </c>
      <c r="AX728" s="8"/>
      <c r="AY728" s="8"/>
      <c r="AZ728">
        <v>0</v>
      </c>
      <c r="BB728" t="s">
        <v>2579</v>
      </c>
    </row>
    <row r="729" spans="1:54">
      <c r="A729" s="6">
        <v>45849</v>
      </c>
      <c r="B729" s="7" t="s">
        <v>2565</v>
      </c>
      <c r="C729" t="s">
        <v>714</v>
      </c>
      <c r="D729" t="s">
        <v>3254</v>
      </c>
      <c r="G729" t="s">
        <v>207</v>
      </c>
      <c r="H729" s="8" t="s">
        <v>208</v>
      </c>
      <c r="I729" s="8" t="s">
        <v>208</v>
      </c>
      <c r="J729" s="8" t="s">
        <v>208</v>
      </c>
      <c r="K729" s="8" t="s">
        <v>208</v>
      </c>
      <c r="L729" s="8" t="s">
        <v>208</v>
      </c>
      <c r="M729" s="8" t="s">
        <v>208</v>
      </c>
      <c r="N729" s="8" t="s">
        <v>208</v>
      </c>
      <c r="O729" s="8" t="s">
        <v>208</v>
      </c>
      <c r="Q729" t="s">
        <v>2566</v>
      </c>
      <c r="R729" t="s">
        <v>2567</v>
      </c>
      <c r="U729" t="s">
        <v>2568</v>
      </c>
      <c r="V729" t="s">
        <v>136</v>
      </c>
      <c r="W729" t="s">
        <v>212</v>
      </c>
      <c r="X729" t="s">
        <v>212</v>
      </c>
      <c r="Y729" t="s">
        <v>213</v>
      </c>
      <c r="Z729" t="s">
        <v>213</v>
      </c>
      <c r="AA729" t="s">
        <v>214</v>
      </c>
      <c r="AB729" t="s">
        <v>242</v>
      </c>
      <c r="AC729" t="s">
        <v>242</v>
      </c>
      <c r="AD729" t="s">
        <v>216</v>
      </c>
      <c r="AE729" t="s">
        <v>11</v>
      </c>
      <c r="AG729" s="8" t="s">
        <v>218</v>
      </c>
      <c r="AH729" t="s">
        <v>219</v>
      </c>
      <c r="AI729" s="9" t="s">
        <v>218</v>
      </c>
      <c r="AJ729" s="9" t="s">
        <v>218</v>
      </c>
      <c r="AK729" t="s">
        <v>234</v>
      </c>
      <c r="AL729" s="9" t="s">
        <v>218</v>
      </c>
      <c r="AM729" s="8" t="s">
        <v>221</v>
      </c>
      <c r="AN729" s="8" t="s">
        <v>221</v>
      </c>
      <c r="AO729" s="8" t="s">
        <v>222</v>
      </c>
      <c r="AP729" s="8">
        <v>0</v>
      </c>
      <c r="AQ729" s="8">
        <v>0</v>
      </c>
      <c r="AR729" s="8">
        <v>0</v>
      </c>
      <c r="AS729" s="8">
        <v>0</v>
      </c>
      <c r="AT729" s="8">
        <v>0</v>
      </c>
      <c r="AU729" s="8">
        <v>0</v>
      </c>
      <c r="AV729" s="8">
        <v>0</v>
      </c>
      <c r="AW729" s="8">
        <v>0</v>
      </c>
      <c r="AX729" s="8"/>
      <c r="AY729" s="8"/>
      <c r="AZ729">
        <v>0</v>
      </c>
      <c r="BB729" t="s">
        <v>2569</v>
      </c>
    </row>
    <row r="730" spans="1:54">
      <c r="A730" s="6">
        <v>45849</v>
      </c>
      <c r="B730" s="7" t="s">
        <v>2570</v>
      </c>
      <c r="C730" t="s">
        <v>714</v>
      </c>
      <c r="D730" t="s">
        <v>3254</v>
      </c>
      <c r="G730" t="s">
        <v>207</v>
      </c>
      <c r="H730" s="8" t="s">
        <v>208</v>
      </c>
      <c r="I730" s="8" t="s">
        <v>208</v>
      </c>
      <c r="J730" s="8" t="s">
        <v>208</v>
      </c>
      <c r="K730" s="8" t="s">
        <v>208</v>
      </c>
      <c r="L730" s="8" t="s">
        <v>208</v>
      </c>
      <c r="M730" s="8" t="s">
        <v>208</v>
      </c>
      <c r="N730" s="8" t="s">
        <v>208</v>
      </c>
      <c r="O730" s="8" t="s">
        <v>208</v>
      </c>
      <c r="Q730" t="s">
        <v>2571</v>
      </c>
      <c r="R730" t="s">
        <v>2572</v>
      </c>
      <c r="U730" t="s">
        <v>2573</v>
      </c>
      <c r="V730" t="s">
        <v>136</v>
      </c>
      <c r="W730" t="s">
        <v>212</v>
      </c>
      <c r="X730" t="s">
        <v>212</v>
      </c>
      <c r="Y730" t="s">
        <v>213</v>
      </c>
      <c r="Z730" t="s">
        <v>213</v>
      </c>
      <c r="AA730" t="s">
        <v>214</v>
      </c>
      <c r="AB730" t="s">
        <v>242</v>
      </c>
      <c r="AC730" t="s">
        <v>242</v>
      </c>
      <c r="AD730" t="s">
        <v>216</v>
      </c>
      <c r="AE730" t="s">
        <v>11</v>
      </c>
      <c r="AG730" s="8" t="s">
        <v>218</v>
      </c>
      <c r="AH730" t="s">
        <v>219</v>
      </c>
      <c r="AI730" s="9" t="s">
        <v>218</v>
      </c>
      <c r="AJ730" s="9" t="s">
        <v>218</v>
      </c>
      <c r="AK730" t="s">
        <v>234</v>
      </c>
      <c r="AL730" s="9" t="s">
        <v>218</v>
      </c>
      <c r="AM730" s="8" t="s">
        <v>221</v>
      </c>
      <c r="AN730" s="8" t="s">
        <v>221</v>
      </c>
      <c r="AO730" s="8" t="s">
        <v>222</v>
      </c>
      <c r="AP730" s="8">
        <v>0</v>
      </c>
      <c r="AQ730" s="8">
        <v>0</v>
      </c>
      <c r="AR730" s="8">
        <v>0</v>
      </c>
      <c r="AS730" s="8">
        <v>0</v>
      </c>
      <c r="AT730" s="8">
        <v>0</v>
      </c>
      <c r="AU730" s="8">
        <v>0</v>
      </c>
      <c r="AV730" s="8">
        <v>0</v>
      </c>
      <c r="AW730" s="8">
        <v>0</v>
      </c>
      <c r="AX730" s="8"/>
      <c r="AY730" s="8"/>
      <c r="AZ730">
        <v>0</v>
      </c>
      <c r="BB730" t="s">
        <v>2574</v>
      </c>
    </row>
    <row r="731" spans="1:54">
      <c r="A731" s="6">
        <v>45849</v>
      </c>
      <c r="B731" s="7" t="s">
        <v>2557</v>
      </c>
      <c r="C731" t="s">
        <v>714</v>
      </c>
      <c r="D731" t="s">
        <v>3254</v>
      </c>
      <c r="G731" t="s">
        <v>207</v>
      </c>
      <c r="H731" s="8" t="s">
        <v>208</v>
      </c>
      <c r="I731" s="8" t="s">
        <v>208</v>
      </c>
      <c r="J731" s="8" t="s">
        <v>208</v>
      </c>
      <c r="K731" s="8" t="s">
        <v>208</v>
      </c>
      <c r="L731" s="8" t="s">
        <v>208</v>
      </c>
      <c r="M731" s="8" t="s">
        <v>208</v>
      </c>
      <c r="N731" s="8" t="s">
        <v>208</v>
      </c>
      <c r="O731" s="8" t="s">
        <v>208</v>
      </c>
      <c r="Q731" t="s">
        <v>2558</v>
      </c>
      <c r="R731" t="s">
        <v>2559</v>
      </c>
      <c r="U731" t="s">
        <v>2560</v>
      </c>
      <c r="V731" t="s">
        <v>89</v>
      </c>
      <c r="W731" t="s">
        <v>298</v>
      </c>
      <c r="X731" t="s">
        <v>298</v>
      </c>
      <c r="Y731" t="s">
        <v>299</v>
      </c>
      <c r="Z731" t="s">
        <v>299</v>
      </c>
      <c r="AA731" t="s">
        <v>2561</v>
      </c>
      <c r="AB731" t="s">
        <v>301</v>
      </c>
      <c r="AC731" t="s">
        <v>301</v>
      </c>
      <c r="AD731" t="s">
        <v>216</v>
      </c>
      <c r="AE731" t="s">
        <v>2562</v>
      </c>
      <c r="AG731" s="8" t="s">
        <v>218</v>
      </c>
      <c r="AH731" t="s">
        <v>302</v>
      </c>
      <c r="AI731" s="9" t="s">
        <v>218</v>
      </c>
      <c r="AJ731" s="8" t="s">
        <v>221</v>
      </c>
      <c r="AK731" t="s">
        <v>2563</v>
      </c>
      <c r="AL731" s="9" t="s">
        <v>218</v>
      </c>
      <c r="AM731" s="8" t="s">
        <v>221</v>
      </c>
      <c r="AN731" s="8" t="s">
        <v>221</v>
      </c>
      <c r="AO731" s="8" t="s">
        <v>222</v>
      </c>
      <c r="AP731" s="8">
        <v>0</v>
      </c>
      <c r="AQ731" s="8">
        <v>0</v>
      </c>
      <c r="AR731" s="8">
        <v>0</v>
      </c>
      <c r="AS731" s="8">
        <v>0</v>
      </c>
      <c r="AT731" s="8">
        <v>0</v>
      </c>
      <c r="AU731" s="8">
        <v>0</v>
      </c>
      <c r="AV731" s="8">
        <v>0</v>
      </c>
      <c r="AW731" s="8">
        <v>0</v>
      </c>
      <c r="AX731" s="8"/>
      <c r="AY731" s="8"/>
      <c r="AZ731">
        <v>0</v>
      </c>
      <c r="BB731" t="s">
        <v>2564</v>
      </c>
    </row>
    <row r="732" spans="1:54">
      <c r="A732" s="6">
        <v>45849</v>
      </c>
      <c r="B732" s="7" t="s">
        <v>2580</v>
      </c>
      <c r="C732" t="s">
        <v>714</v>
      </c>
      <c r="D732" t="s">
        <v>3254</v>
      </c>
      <c r="G732" t="s">
        <v>207</v>
      </c>
      <c r="H732" s="8" t="s">
        <v>208</v>
      </c>
      <c r="I732" s="8" t="s">
        <v>208</v>
      </c>
      <c r="J732" s="8" t="s">
        <v>208</v>
      </c>
      <c r="K732" s="8" t="s">
        <v>208</v>
      </c>
      <c r="L732" s="8" t="s">
        <v>208</v>
      </c>
      <c r="M732" s="8" t="s">
        <v>208</v>
      </c>
      <c r="N732" s="8" t="s">
        <v>208</v>
      </c>
      <c r="O732" s="8" t="s">
        <v>208</v>
      </c>
      <c r="Q732" t="s">
        <v>2581</v>
      </c>
      <c r="R732" t="s">
        <v>2582</v>
      </c>
      <c r="U732" t="s">
        <v>2583</v>
      </c>
      <c r="V732" t="s">
        <v>644</v>
      </c>
      <c r="W732" t="s">
        <v>774</v>
      </c>
      <c r="Y732" t="s">
        <v>775</v>
      </c>
      <c r="AA732" t="s">
        <v>645</v>
      </c>
      <c r="AB732" t="s">
        <v>312</v>
      </c>
      <c r="AD732" t="s">
        <v>216</v>
      </c>
      <c r="AE732" t="s">
        <v>645</v>
      </c>
      <c r="AG732" s="8" t="s">
        <v>218</v>
      </c>
      <c r="AH732" t="s">
        <v>219</v>
      </c>
      <c r="AI732" s="9" t="s">
        <v>218</v>
      </c>
      <c r="AJ732" s="9" t="s">
        <v>218</v>
      </c>
      <c r="AK732" t="s">
        <v>2584</v>
      </c>
      <c r="AL732" s="9" t="s">
        <v>218</v>
      </c>
      <c r="AM732" s="8" t="s">
        <v>221</v>
      </c>
      <c r="AN732" s="8" t="s">
        <v>221</v>
      </c>
      <c r="AO732" s="8" t="s">
        <v>222</v>
      </c>
      <c r="AP732" s="8">
        <v>0</v>
      </c>
      <c r="AQ732" s="8">
        <v>0</v>
      </c>
      <c r="AR732" s="8">
        <v>0</v>
      </c>
      <c r="AS732" s="8">
        <v>0</v>
      </c>
      <c r="AT732" s="8">
        <v>0</v>
      </c>
      <c r="AU732" s="8">
        <v>0</v>
      </c>
      <c r="AV732" s="8">
        <v>0</v>
      </c>
      <c r="AW732" s="8">
        <v>0</v>
      </c>
      <c r="AX732" s="8"/>
      <c r="AY732" s="8"/>
      <c r="AZ732">
        <v>0</v>
      </c>
    </row>
    <row r="733" spans="1:54">
      <c r="A733" s="6">
        <v>45849</v>
      </c>
      <c r="B733" s="7" t="s">
        <v>2017</v>
      </c>
      <c r="C733" t="s">
        <v>714</v>
      </c>
      <c r="D733" t="s">
        <v>3254</v>
      </c>
      <c r="G733" t="s">
        <v>207</v>
      </c>
      <c r="H733" s="8" t="s">
        <v>208</v>
      </c>
      <c r="I733" s="8" t="s">
        <v>208</v>
      </c>
      <c r="J733" s="8" t="s">
        <v>208</v>
      </c>
      <c r="K733" s="8" t="s">
        <v>208</v>
      </c>
      <c r="L733" s="8" t="s">
        <v>208</v>
      </c>
      <c r="M733" s="8" t="s">
        <v>208</v>
      </c>
      <c r="N733" s="8" t="s">
        <v>208</v>
      </c>
      <c r="O733" s="8" t="s">
        <v>208</v>
      </c>
      <c r="Q733" t="s">
        <v>2019</v>
      </c>
      <c r="R733" t="s">
        <v>2020</v>
      </c>
      <c r="U733" t="s">
        <v>2021</v>
      </c>
      <c r="V733" t="s">
        <v>140</v>
      </c>
      <c r="W733" t="s">
        <v>212</v>
      </c>
      <c r="X733" t="s">
        <v>212</v>
      </c>
      <c r="Y733" t="s">
        <v>213</v>
      </c>
      <c r="Z733" t="s">
        <v>213</v>
      </c>
      <c r="AA733" t="s">
        <v>214</v>
      </c>
      <c r="AB733" t="s">
        <v>758</v>
      </c>
      <c r="AC733" t="s">
        <v>701</v>
      </c>
      <c r="AD733" t="s">
        <v>216</v>
      </c>
      <c r="AE733" t="s">
        <v>217</v>
      </c>
      <c r="AG733" s="8" t="s">
        <v>218</v>
      </c>
      <c r="AH733" t="s">
        <v>219</v>
      </c>
      <c r="AI733" s="9" t="s">
        <v>218</v>
      </c>
      <c r="AJ733" s="9" t="s">
        <v>218</v>
      </c>
      <c r="AK733" t="s">
        <v>234</v>
      </c>
      <c r="AL733" s="9" t="s">
        <v>218</v>
      </c>
      <c r="AM733" s="8" t="s">
        <v>221</v>
      </c>
      <c r="AN733" s="8" t="s">
        <v>221</v>
      </c>
      <c r="AO733" s="8" t="s">
        <v>222</v>
      </c>
      <c r="AP733" s="8">
        <v>0</v>
      </c>
      <c r="AQ733" s="8">
        <v>0</v>
      </c>
      <c r="AR733" s="9">
        <v>40</v>
      </c>
      <c r="AS733" s="8">
        <v>0</v>
      </c>
      <c r="AT733" s="8">
        <v>0</v>
      </c>
      <c r="AU733" s="8">
        <v>0</v>
      </c>
      <c r="AV733" s="8">
        <v>0</v>
      </c>
      <c r="AW733" s="9">
        <v>40</v>
      </c>
      <c r="AX733" s="8"/>
      <c r="AY733" s="8"/>
      <c r="AZ733">
        <v>0</v>
      </c>
      <c r="BB733" t="s">
        <v>2022</v>
      </c>
    </row>
    <row r="734" spans="1:54">
      <c r="A734" s="6">
        <v>45849</v>
      </c>
      <c r="B734" s="7" t="s">
        <v>2595</v>
      </c>
      <c r="C734" t="s">
        <v>714</v>
      </c>
      <c r="D734" t="s">
        <v>3254</v>
      </c>
      <c r="G734" t="s">
        <v>207</v>
      </c>
      <c r="H734" s="8" t="s">
        <v>208</v>
      </c>
      <c r="I734" s="8" t="s">
        <v>208</v>
      </c>
      <c r="J734" s="8" t="s">
        <v>208</v>
      </c>
      <c r="K734" s="8" t="s">
        <v>208</v>
      </c>
      <c r="L734" s="8" t="s">
        <v>208</v>
      </c>
      <c r="M734" s="8" t="s">
        <v>208</v>
      </c>
      <c r="N734" s="8" t="s">
        <v>208</v>
      </c>
      <c r="O734" s="8" t="s">
        <v>208</v>
      </c>
      <c r="Q734" t="s">
        <v>2596</v>
      </c>
      <c r="R734" t="s">
        <v>2597</v>
      </c>
      <c r="U734" t="s">
        <v>2598</v>
      </c>
      <c r="V734" t="s">
        <v>140</v>
      </c>
      <c r="W734" t="s">
        <v>212</v>
      </c>
      <c r="X734" t="s">
        <v>212</v>
      </c>
      <c r="Y734" t="s">
        <v>213</v>
      </c>
      <c r="Z734" t="s">
        <v>213</v>
      </c>
      <c r="AA734" t="s">
        <v>214</v>
      </c>
      <c r="AB734" t="s">
        <v>242</v>
      </c>
      <c r="AC734" t="s">
        <v>242</v>
      </c>
      <c r="AD734" t="s">
        <v>216</v>
      </c>
      <c r="AE734" t="s">
        <v>217</v>
      </c>
      <c r="AG734" s="8" t="s">
        <v>218</v>
      </c>
      <c r="AH734" t="s">
        <v>219</v>
      </c>
      <c r="AI734" s="9" t="s">
        <v>218</v>
      </c>
      <c r="AJ734" s="9" t="s">
        <v>218</v>
      </c>
      <c r="AK734" t="s">
        <v>234</v>
      </c>
      <c r="AL734" s="9" t="s">
        <v>218</v>
      </c>
      <c r="AM734" s="8" t="s">
        <v>221</v>
      </c>
      <c r="AN734" s="8" t="s">
        <v>221</v>
      </c>
      <c r="AO734" s="8" t="s">
        <v>222</v>
      </c>
      <c r="AP734" s="8">
        <v>0</v>
      </c>
      <c r="AQ734" s="8">
        <v>0</v>
      </c>
      <c r="AR734" s="8">
        <v>0</v>
      </c>
      <c r="AS734" s="8">
        <v>0</v>
      </c>
      <c r="AT734" s="8">
        <v>0</v>
      </c>
      <c r="AU734" s="8">
        <v>0</v>
      </c>
      <c r="AV734" s="8">
        <v>0</v>
      </c>
      <c r="AW734" s="8">
        <v>0</v>
      </c>
      <c r="AX734" s="8"/>
      <c r="AY734" s="8"/>
      <c r="AZ734">
        <v>0</v>
      </c>
      <c r="BB734" t="s">
        <v>2599</v>
      </c>
    </row>
    <row r="735" spans="1:54">
      <c r="A735" s="6">
        <v>45849</v>
      </c>
      <c r="B735" s="7" t="s">
        <v>2605</v>
      </c>
      <c r="C735" t="s">
        <v>714</v>
      </c>
      <c r="D735" t="s">
        <v>3254</v>
      </c>
      <c r="G735" t="s">
        <v>207</v>
      </c>
      <c r="H735" s="8" t="s">
        <v>208</v>
      </c>
      <c r="I735" s="8" t="s">
        <v>208</v>
      </c>
      <c r="J735" s="8" t="s">
        <v>208</v>
      </c>
      <c r="K735" s="8" t="s">
        <v>208</v>
      </c>
      <c r="L735" s="8" t="s">
        <v>208</v>
      </c>
      <c r="M735" s="8" t="s">
        <v>208</v>
      </c>
      <c r="N735" s="8" t="s">
        <v>208</v>
      </c>
      <c r="O735" s="8" t="s">
        <v>208</v>
      </c>
      <c r="Q735" t="s">
        <v>2606</v>
      </c>
      <c r="R735" t="s">
        <v>2607</v>
      </c>
      <c r="U735" t="s">
        <v>2608</v>
      </c>
      <c r="V735" t="s">
        <v>140</v>
      </c>
      <c r="W735" t="s">
        <v>212</v>
      </c>
      <c r="X735" t="s">
        <v>212</v>
      </c>
      <c r="Y735" t="s">
        <v>213</v>
      </c>
      <c r="Z735" t="s">
        <v>213</v>
      </c>
      <c r="AA735" t="s">
        <v>214</v>
      </c>
      <c r="AB735" t="s">
        <v>215</v>
      </c>
      <c r="AC735" t="s">
        <v>242</v>
      </c>
      <c r="AD735" t="s">
        <v>216</v>
      </c>
      <c r="AE735" t="s">
        <v>217</v>
      </c>
      <c r="AG735" s="8" t="s">
        <v>218</v>
      </c>
      <c r="AH735" t="s">
        <v>219</v>
      </c>
      <c r="AI735" s="9" t="s">
        <v>218</v>
      </c>
      <c r="AJ735" s="9" t="s">
        <v>218</v>
      </c>
      <c r="AK735" t="s">
        <v>234</v>
      </c>
      <c r="AL735" s="9" t="s">
        <v>218</v>
      </c>
      <c r="AM735" s="8" t="s">
        <v>221</v>
      </c>
      <c r="AN735" s="8" t="s">
        <v>221</v>
      </c>
      <c r="AO735" s="8" t="s">
        <v>222</v>
      </c>
      <c r="AP735" s="8">
        <v>0</v>
      </c>
      <c r="AQ735" s="8">
        <v>0</v>
      </c>
      <c r="AR735" s="8">
        <v>0</v>
      </c>
      <c r="AS735" s="8">
        <v>0</v>
      </c>
      <c r="AT735" s="8">
        <v>0</v>
      </c>
      <c r="AU735" s="8">
        <v>0</v>
      </c>
      <c r="AV735" s="8">
        <v>0</v>
      </c>
      <c r="AW735" s="8">
        <v>0</v>
      </c>
      <c r="AX735" s="8"/>
      <c r="AY735" s="8"/>
      <c r="AZ735">
        <v>0</v>
      </c>
      <c r="BB735" t="s">
        <v>2609</v>
      </c>
    </row>
    <row r="736" spans="1:54">
      <c r="A736" s="6">
        <v>45849</v>
      </c>
      <c r="B736" s="7" t="s">
        <v>2642</v>
      </c>
      <c r="C736" t="s">
        <v>714</v>
      </c>
      <c r="D736" t="s">
        <v>3254</v>
      </c>
      <c r="G736" t="s">
        <v>207</v>
      </c>
      <c r="H736" s="8" t="s">
        <v>208</v>
      </c>
      <c r="I736" s="8" t="s">
        <v>208</v>
      </c>
      <c r="J736" s="8" t="s">
        <v>208</v>
      </c>
      <c r="K736" s="8" t="s">
        <v>208</v>
      </c>
      <c r="L736" s="8" t="s">
        <v>208</v>
      </c>
      <c r="M736" s="8" t="s">
        <v>208</v>
      </c>
      <c r="N736" s="8" t="s">
        <v>208</v>
      </c>
      <c r="O736" s="8" t="s">
        <v>208</v>
      </c>
      <c r="Q736" t="s">
        <v>2643</v>
      </c>
      <c r="R736" t="s">
        <v>2644</v>
      </c>
      <c r="U736" t="s">
        <v>2645</v>
      </c>
      <c r="V736" t="s">
        <v>14</v>
      </c>
      <c r="W736" t="s">
        <v>774</v>
      </c>
      <c r="X736" t="s">
        <v>774</v>
      </c>
      <c r="Y736" t="s">
        <v>775</v>
      </c>
      <c r="Z736" t="s">
        <v>775</v>
      </c>
      <c r="AA736" t="s">
        <v>214</v>
      </c>
      <c r="AB736" t="s">
        <v>603</v>
      </c>
      <c r="AC736" t="s">
        <v>408</v>
      </c>
      <c r="AD736" t="s">
        <v>216</v>
      </c>
      <c r="AE736" t="s">
        <v>11</v>
      </c>
      <c r="AG736" s="8" t="s">
        <v>218</v>
      </c>
      <c r="AH736" t="s">
        <v>219</v>
      </c>
      <c r="AI736" s="9" t="s">
        <v>218</v>
      </c>
      <c r="AJ736" s="9" t="s">
        <v>218</v>
      </c>
      <c r="AK736" t="s">
        <v>234</v>
      </c>
      <c r="AL736" s="9" t="s">
        <v>218</v>
      </c>
      <c r="AM736" s="8" t="s">
        <v>221</v>
      </c>
      <c r="AN736" s="8" t="s">
        <v>221</v>
      </c>
      <c r="AO736" s="8" t="s">
        <v>222</v>
      </c>
      <c r="AP736" s="8">
        <v>0</v>
      </c>
      <c r="AQ736" s="8">
        <v>0</v>
      </c>
      <c r="AR736" s="9">
        <v>7</v>
      </c>
      <c r="AS736" s="8">
        <v>0</v>
      </c>
      <c r="AT736" s="8">
        <v>0</v>
      </c>
      <c r="AU736" s="8">
        <v>0</v>
      </c>
      <c r="AV736" s="8">
        <v>0</v>
      </c>
      <c r="AW736" s="9">
        <v>7</v>
      </c>
      <c r="AX736" s="8"/>
      <c r="AY736" s="8"/>
      <c r="AZ736">
        <v>0</v>
      </c>
      <c r="BB736" t="s">
        <v>2646</v>
      </c>
    </row>
    <row r="737" spans="1:54">
      <c r="A737" s="6">
        <v>45849</v>
      </c>
      <c r="B737" s="7" t="s">
        <v>2357</v>
      </c>
      <c r="C737" t="s">
        <v>714</v>
      </c>
      <c r="D737" t="s">
        <v>3254</v>
      </c>
      <c r="G737" t="s">
        <v>207</v>
      </c>
      <c r="H737" s="8" t="s">
        <v>208</v>
      </c>
      <c r="I737" s="8" t="s">
        <v>208</v>
      </c>
      <c r="J737" s="8" t="s">
        <v>208</v>
      </c>
      <c r="K737" s="8" t="s">
        <v>208</v>
      </c>
      <c r="L737" s="8" t="s">
        <v>208</v>
      </c>
      <c r="M737" s="8" t="s">
        <v>208</v>
      </c>
      <c r="N737" s="8" t="s">
        <v>208</v>
      </c>
      <c r="O737" s="8" t="s">
        <v>208</v>
      </c>
      <c r="Q737" t="s">
        <v>2358</v>
      </c>
      <c r="R737" t="s">
        <v>2359</v>
      </c>
      <c r="U737" t="s">
        <v>2360</v>
      </c>
      <c r="V737" t="s">
        <v>140</v>
      </c>
      <c r="W737" t="s">
        <v>774</v>
      </c>
      <c r="X737" t="s">
        <v>212</v>
      </c>
      <c r="Y737" t="s">
        <v>1082</v>
      </c>
      <c r="Z737" t="s">
        <v>213</v>
      </c>
      <c r="AA737" t="s">
        <v>1164</v>
      </c>
      <c r="AB737" t="s">
        <v>312</v>
      </c>
      <c r="AC737" t="s">
        <v>215</v>
      </c>
      <c r="AD737" t="s">
        <v>3224</v>
      </c>
      <c r="AE737" t="s">
        <v>2259</v>
      </c>
      <c r="AG737" s="9" t="s">
        <v>221</v>
      </c>
      <c r="AH737" t="s">
        <v>2256</v>
      </c>
      <c r="AI737" s="8" t="s">
        <v>221</v>
      </c>
      <c r="AJ737" s="9" t="s">
        <v>218</v>
      </c>
      <c r="AK737" t="s">
        <v>234</v>
      </c>
      <c r="AL737" s="8" t="s">
        <v>221</v>
      </c>
      <c r="AM737" s="9" t="s">
        <v>218</v>
      </c>
      <c r="AN737" s="8" t="s">
        <v>221</v>
      </c>
      <c r="AO737" s="8" t="s">
        <v>222</v>
      </c>
      <c r="AP737" s="8">
        <v>0</v>
      </c>
      <c r="AQ737" s="8">
        <v>0</v>
      </c>
      <c r="AR737" s="9">
        <v>46</v>
      </c>
      <c r="AS737" s="8">
        <v>0</v>
      </c>
      <c r="AT737" s="8">
        <v>0</v>
      </c>
      <c r="AU737" s="8">
        <v>0</v>
      </c>
      <c r="AV737" s="8">
        <v>0</v>
      </c>
      <c r="AW737" s="9">
        <v>46</v>
      </c>
      <c r="AX737" s="8"/>
      <c r="AY737" s="8"/>
      <c r="AZ737">
        <v>1</v>
      </c>
      <c r="BA737" t="s">
        <v>3291</v>
      </c>
      <c r="BB737" t="s">
        <v>2362</v>
      </c>
    </row>
    <row r="738" spans="1:54">
      <c r="A738" s="6">
        <v>45849</v>
      </c>
      <c r="B738" s="7" t="s">
        <v>2637</v>
      </c>
      <c r="C738" t="s">
        <v>714</v>
      </c>
      <c r="D738" t="s">
        <v>3254</v>
      </c>
      <c r="G738" t="s">
        <v>207</v>
      </c>
      <c r="H738" s="8" t="s">
        <v>208</v>
      </c>
      <c r="I738" s="8" t="s">
        <v>208</v>
      </c>
      <c r="J738" s="8" t="s">
        <v>208</v>
      </c>
      <c r="K738" s="8" t="s">
        <v>208</v>
      </c>
      <c r="L738" s="8" t="s">
        <v>208</v>
      </c>
      <c r="M738" s="8" t="s">
        <v>208</v>
      </c>
      <c r="N738" s="8" t="s">
        <v>208</v>
      </c>
      <c r="O738" s="8" t="s">
        <v>208</v>
      </c>
      <c r="Q738" t="s">
        <v>2638</v>
      </c>
      <c r="R738" t="s">
        <v>2639</v>
      </c>
      <c r="U738" t="s">
        <v>2640</v>
      </c>
      <c r="V738" t="s">
        <v>14</v>
      </c>
      <c r="W738" t="s">
        <v>774</v>
      </c>
      <c r="X738" t="s">
        <v>774</v>
      </c>
      <c r="Y738" t="s">
        <v>775</v>
      </c>
      <c r="Z738" t="s">
        <v>775</v>
      </c>
      <c r="AA738" t="s">
        <v>214</v>
      </c>
      <c r="AB738" t="s">
        <v>391</v>
      </c>
      <c r="AC738" t="s">
        <v>425</v>
      </c>
      <c r="AD738" t="s">
        <v>216</v>
      </c>
      <c r="AE738" t="s">
        <v>11</v>
      </c>
      <c r="AG738" s="8" t="s">
        <v>218</v>
      </c>
      <c r="AH738" t="s">
        <v>219</v>
      </c>
      <c r="AI738" s="9" t="s">
        <v>218</v>
      </c>
      <c r="AJ738" s="9" t="s">
        <v>218</v>
      </c>
      <c r="AK738" t="s">
        <v>234</v>
      </c>
      <c r="AL738" s="9" t="s">
        <v>218</v>
      </c>
      <c r="AM738" s="8" t="s">
        <v>221</v>
      </c>
      <c r="AN738" s="8" t="s">
        <v>221</v>
      </c>
      <c r="AO738" s="8" t="s">
        <v>222</v>
      </c>
      <c r="AP738" s="8">
        <v>0</v>
      </c>
      <c r="AQ738" s="8">
        <v>0</v>
      </c>
      <c r="AR738" s="8">
        <v>0</v>
      </c>
      <c r="AS738" s="8">
        <v>0</v>
      </c>
      <c r="AT738" s="8">
        <v>0</v>
      </c>
      <c r="AU738" s="8">
        <v>0</v>
      </c>
      <c r="AV738" s="8">
        <v>0</v>
      </c>
      <c r="AW738" s="8">
        <v>0</v>
      </c>
      <c r="AX738" s="8"/>
      <c r="AY738" s="8"/>
      <c r="AZ738">
        <v>0</v>
      </c>
      <c r="BB738" t="s">
        <v>2641</v>
      </c>
    </row>
    <row r="739" spans="1:54">
      <c r="A739" s="6">
        <v>45849</v>
      </c>
      <c r="B739" s="7" t="s">
        <v>2632</v>
      </c>
      <c r="C739" t="s">
        <v>714</v>
      </c>
      <c r="D739" t="s">
        <v>3254</v>
      </c>
      <c r="G739" t="s">
        <v>207</v>
      </c>
      <c r="H739" s="8" t="s">
        <v>208</v>
      </c>
      <c r="I739" s="8" t="s">
        <v>208</v>
      </c>
      <c r="J739" s="8" t="s">
        <v>208</v>
      </c>
      <c r="K739" s="8" t="s">
        <v>208</v>
      </c>
      <c r="L739" s="8" t="s">
        <v>208</v>
      </c>
      <c r="M739" s="8" t="s">
        <v>208</v>
      </c>
      <c r="N739" s="8" t="s">
        <v>208</v>
      </c>
      <c r="O739" s="8" t="s">
        <v>208</v>
      </c>
      <c r="Q739" t="s">
        <v>2633</v>
      </c>
      <c r="R739" t="s">
        <v>2634</v>
      </c>
      <c r="U739" t="s">
        <v>2635</v>
      </c>
      <c r="V739" t="s">
        <v>14</v>
      </c>
      <c r="W739" t="s">
        <v>774</v>
      </c>
      <c r="X739" t="s">
        <v>774</v>
      </c>
      <c r="Y739" t="s">
        <v>775</v>
      </c>
      <c r="Z739" t="s">
        <v>775</v>
      </c>
      <c r="AA739" t="s">
        <v>214</v>
      </c>
      <c r="AB739" t="s">
        <v>391</v>
      </c>
      <c r="AC739" t="s">
        <v>425</v>
      </c>
      <c r="AD739" t="s">
        <v>216</v>
      </c>
      <c r="AE739" t="s">
        <v>11</v>
      </c>
      <c r="AG739" s="8" t="s">
        <v>218</v>
      </c>
      <c r="AH739" t="s">
        <v>219</v>
      </c>
      <c r="AI739" s="9" t="s">
        <v>218</v>
      </c>
      <c r="AJ739" s="9" t="s">
        <v>218</v>
      </c>
      <c r="AK739" t="s">
        <v>2636</v>
      </c>
      <c r="AL739" s="9" t="s">
        <v>218</v>
      </c>
      <c r="AM739" s="8" t="s">
        <v>221</v>
      </c>
      <c r="AN739" s="8" t="s">
        <v>221</v>
      </c>
      <c r="AO739" s="8" t="s">
        <v>222</v>
      </c>
      <c r="AP739" s="8">
        <v>0</v>
      </c>
      <c r="AQ739" s="8">
        <v>0</v>
      </c>
      <c r="AR739" s="8">
        <v>0</v>
      </c>
      <c r="AS739" s="8">
        <v>0</v>
      </c>
      <c r="AT739" s="8">
        <v>0</v>
      </c>
      <c r="AU739" s="8">
        <v>0</v>
      </c>
      <c r="AV739" s="8">
        <v>0</v>
      </c>
      <c r="AW739" s="8">
        <v>0</v>
      </c>
      <c r="AX739" s="8"/>
      <c r="AY739" s="8"/>
      <c r="AZ739">
        <v>0</v>
      </c>
    </row>
    <row r="740" spans="1:54">
      <c r="A740" s="6">
        <v>45849</v>
      </c>
      <c r="B740" s="7" t="s">
        <v>1253</v>
      </c>
      <c r="C740" t="s">
        <v>714</v>
      </c>
      <c r="D740" t="s">
        <v>3254</v>
      </c>
      <c r="G740" t="s">
        <v>207</v>
      </c>
      <c r="H740" s="8" t="s">
        <v>208</v>
      </c>
      <c r="I740" s="8" t="s">
        <v>208</v>
      </c>
      <c r="J740" s="8" t="s">
        <v>208</v>
      </c>
      <c r="K740" s="8" t="s">
        <v>208</v>
      </c>
      <c r="L740" s="8" t="s">
        <v>208</v>
      </c>
      <c r="M740" s="8" t="s">
        <v>208</v>
      </c>
      <c r="N740" s="8" t="s">
        <v>208</v>
      </c>
      <c r="O740" s="8" t="s">
        <v>208</v>
      </c>
      <c r="Q740" t="s">
        <v>1254</v>
      </c>
      <c r="R740" t="s">
        <v>1255</v>
      </c>
      <c r="U740" t="s">
        <v>1256</v>
      </c>
      <c r="V740" t="s">
        <v>138</v>
      </c>
      <c r="W740" t="s">
        <v>212</v>
      </c>
      <c r="X740" t="s">
        <v>212</v>
      </c>
      <c r="Y740" t="s">
        <v>213</v>
      </c>
      <c r="Z740" t="s">
        <v>213</v>
      </c>
      <c r="AA740" t="s">
        <v>214</v>
      </c>
      <c r="AB740" t="s">
        <v>215</v>
      </c>
      <c r="AC740" t="s">
        <v>701</v>
      </c>
      <c r="AD740" t="s">
        <v>216</v>
      </c>
      <c r="AE740" t="s">
        <v>217</v>
      </c>
      <c r="AG740" s="8" t="s">
        <v>218</v>
      </c>
      <c r="AH740" t="s">
        <v>219</v>
      </c>
      <c r="AI740" s="9" t="s">
        <v>218</v>
      </c>
      <c r="AJ740" s="9" t="s">
        <v>218</v>
      </c>
      <c r="AK740" t="s">
        <v>234</v>
      </c>
      <c r="AL740" s="9" t="s">
        <v>218</v>
      </c>
      <c r="AM740" s="8" t="s">
        <v>221</v>
      </c>
      <c r="AN740" s="8" t="s">
        <v>221</v>
      </c>
      <c r="AO740" s="8" t="s">
        <v>222</v>
      </c>
      <c r="AP740" s="8">
        <v>0</v>
      </c>
      <c r="AQ740" s="8">
        <v>0</v>
      </c>
      <c r="AR740" s="9">
        <v>10</v>
      </c>
      <c r="AS740" s="8">
        <v>0</v>
      </c>
      <c r="AT740" s="8">
        <v>0</v>
      </c>
      <c r="AU740" s="8">
        <v>0</v>
      </c>
      <c r="AV740" s="8">
        <v>0</v>
      </c>
      <c r="AW740" s="9">
        <v>10</v>
      </c>
      <c r="AX740" s="8"/>
      <c r="AY740" s="8"/>
      <c r="AZ740">
        <v>0</v>
      </c>
      <c r="BB740" t="s">
        <v>1258</v>
      </c>
    </row>
    <row r="741" spans="1:54">
      <c r="A741" s="6">
        <v>45849</v>
      </c>
      <c r="B741" s="7" t="s">
        <v>2585</v>
      </c>
      <c r="C741" t="s">
        <v>714</v>
      </c>
      <c r="D741" t="s">
        <v>3254</v>
      </c>
      <c r="G741" t="s">
        <v>207</v>
      </c>
      <c r="H741" s="8" t="s">
        <v>208</v>
      </c>
      <c r="I741" s="8" t="s">
        <v>208</v>
      </c>
      <c r="J741" s="8" t="s">
        <v>208</v>
      </c>
      <c r="K741" s="8" t="s">
        <v>208</v>
      </c>
      <c r="L741" s="8" t="s">
        <v>208</v>
      </c>
      <c r="M741" s="8" t="s">
        <v>208</v>
      </c>
      <c r="N741" s="8" t="s">
        <v>208</v>
      </c>
      <c r="O741" s="8" t="s">
        <v>208</v>
      </c>
      <c r="Q741" t="s">
        <v>2586</v>
      </c>
      <c r="R741" t="s">
        <v>2587</v>
      </c>
      <c r="U741" t="s">
        <v>2588</v>
      </c>
      <c r="V741" t="s">
        <v>14</v>
      </c>
      <c r="W741" t="s">
        <v>774</v>
      </c>
      <c r="X741" t="s">
        <v>774</v>
      </c>
      <c r="Y741" t="s">
        <v>775</v>
      </c>
      <c r="Z741" t="s">
        <v>775</v>
      </c>
      <c r="AA741" t="s">
        <v>214</v>
      </c>
      <c r="AB741" t="s">
        <v>425</v>
      </c>
      <c r="AC741" t="s">
        <v>425</v>
      </c>
      <c r="AD741" t="s">
        <v>216</v>
      </c>
      <c r="AE741" t="s">
        <v>11</v>
      </c>
      <c r="AG741" s="8" t="s">
        <v>218</v>
      </c>
      <c r="AH741" t="s">
        <v>219</v>
      </c>
      <c r="AI741" s="9" t="s">
        <v>218</v>
      </c>
      <c r="AJ741" s="9" t="s">
        <v>218</v>
      </c>
      <c r="AK741" t="s">
        <v>234</v>
      </c>
      <c r="AL741" s="9" t="s">
        <v>218</v>
      </c>
      <c r="AM741" s="8" t="s">
        <v>221</v>
      </c>
      <c r="AN741" s="8" t="s">
        <v>221</v>
      </c>
      <c r="AO741" s="8" t="s">
        <v>222</v>
      </c>
      <c r="AP741" s="8">
        <v>0</v>
      </c>
      <c r="AQ741" s="8">
        <v>0</v>
      </c>
      <c r="AR741" s="8">
        <v>0</v>
      </c>
      <c r="AS741" s="8">
        <v>0</v>
      </c>
      <c r="AT741" s="8">
        <v>0</v>
      </c>
      <c r="AU741" s="8">
        <v>0</v>
      </c>
      <c r="AV741" s="8">
        <v>0</v>
      </c>
      <c r="AW741" s="8">
        <v>0</v>
      </c>
      <c r="AX741" s="8"/>
      <c r="AY741" s="8"/>
      <c r="AZ741">
        <v>0</v>
      </c>
      <c r="BB741" t="s">
        <v>2589</v>
      </c>
    </row>
    <row r="742" spans="1:54">
      <c r="A742" s="6">
        <v>45849</v>
      </c>
      <c r="B742" s="7" t="s">
        <v>2439</v>
      </c>
      <c r="C742" t="s">
        <v>714</v>
      </c>
      <c r="D742" t="s">
        <v>3254</v>
      </c>
      <c r="G742" t="s">
        <v>207</v>
      </c>
      <c r="H742" s="8" t="s">
        <v>208</v>
      </c>
      <c r="I742" s="8" t="s">
        <v>208</v>
      </c>
      <c r="J742" s="8" t="s">
        <v>208</v>
      </c>
      <c r="K742" s="8" t="s">
        <v>208</v>
      </c>
      <c r="L742" s="8" t="s">
        <v>208</v>
      </c>
      <c r="M742" s="8" t="s">
        <v>208</v>
      </c>
      <c r="N742" s="8" t="s">
        <v>208</v>
      </c>
      <c r="O742" s="8" t="s">
        <v>208</v>
      </c>
      <c r="Q742" t="s">
        <v>2440</v>
      </c>
      <c r="R742" t="s">
        <v>2441</v>
      </c>
      <c r="U742" t="s">
        <v>2442</v>
      </c>
      <c r="V742" t="s">
        <v>662</v>
      </c>
      <c r="W742" t="s">
        <v>298</v>
      </c>
      <c r="X742" t="s">
        <v>298</v>
      </c>
      <c r="Y742" t="s">
        <v>299</v>
      </c>
      <c r="Z742" t="s">
        <v>299</v>
      </c>
      <c r="AA742" t="s">
        <v>663</v>
      </c>
      <c r="AB742" t="s">
        <v>827</v>
      </c>
      <c r="AC742" t="s">
        <v>538</v>
      </c>
      <c r="AD742" t="s">
        <v>216</v>
      </c>
      <c r="AE742" t="s">
        <v>663</v>
      </c>
      <c r="AG742" s="8" t="s">
        <v>218</v>
      </c>
      <c r="AH742" t="s">
        <v>302</v>
      </c>
      <c r="AI742" s="9" t="s">
        <v>218</v>
      </c>
      <c r="AJ742" s="8" t="s">
        <v>221</v>
      </c>
      <c r="AK742" t="s">
        <v>234</v>
      </c>
      <c r="AL742" s="9" t="s">
        <v>218</v>
      </c>
      <c r="AM742" s="8" t="s">
        <v>221</v>
      </c>
      <c r="AN742" s="8" t="s">
        <v>221</v>
      </c>
      <c r="AO742" s="8" t="s">
        <v>222</v>
      </c>
      <c r="AP742" s="8">
        <v>0</v>
      </c>
      <c r="AQ742" s="8">
        <v>0</v>
      </c>
      <c r="AR742" s="9">
        <v>26</v>
      </c>
      <c r="AS742" s="8">
        <v>0</v>
      </c>
      <c r="AT742" s="8">
        <v>0</v>
      </c>
      <c r="AU742" s="8">
        <v>0</v>
      </c>
      <c r="AV742" s="8">
        <v>0</v>
      </c>
      <c r="AW742" s="9">
        <v>26</v>
      </c>
      <c r="AX742" s="9" t="s">
        <v>2443</v>
      </c>
      <c r="AY742" s="8"/>
      <c r="AZ742">
        <v>0</v>
      </c>
      <c r="BB742" t="s">
        <v>2445</v>
      </c>
    </row>
    <row r="743" spans="1:54">
      <c r="A743" s="6">
        <v>45849</v>
      </c>
      <c r="B743" s="7" t="s">
        <v>2616</v>
      </c>
      <c r="C743" t="s">
        <v>714</v>
      </c>
      <c r="D743" t="s">
        <v>3254</v>
      </c>
      <c r="G743" t="s">
        <v>207</v>
      </c>
      <c r="H743" s="8" t="s">
        <v>208</v>
      </c>
      <c r="I743" s="8" t="s">
        <v>208</v>
      </c>
      <c r="J743" s="8" t="s">
        <v>208</v>
      </c>
      <c r="K743" s="8" t="s">
        <v>208</v>
      </c>
      <c r="L743" s="8" t="s">
        <v>208</v>
      </c>
      <c r="M743" s="8" t="s">
        <v>208</v>
      </c>
      <c r="N743" s="8" t="s">
        <v>208</v>
      </c>
      <c r="O743" s="8" t="s">
        <v>208</v>
      </c>
      <c r="Q743" t="s">
        <v>2617</v>
      </c>
      <c r="R743" t="s">
        <v>2618</v>
      </c>
      <c r="U743" t="s">
        <v>2619</v>
      </c>
      <c r="V743" t="s">
        <v>14</v>
      </c>
      <c r="W743" t="s">
        <v>774</v>
      </c>
      <c r="X743" t="s">
        <v>774</v>
      </c>
      <c r="Y743" t="s">
        <v>775</v>
      </c>
      <c r="Z743" t="s">
        <v>775</v>
      </c>
      <c r="AA743" t="s">
        <v>214</v>
      </c>
      <c r="AB743" t="s">
        <v>408</v>
      </c>
      <c r="AC743" t="s">
        <v>391</v>
      </c>
      <c r="AD743" t="s">
        <v>216</v>
      </c>
      <c r="AE743" t="s">
        <v>11</v>
      </c>
      <c r="AG743" s="8" t="s">
        <v>218</v>
      </c>
      <c r="AH743" t="s">
        <v>219</v>
      </c>
      <c r="AI743" s="9" t="s">
        <v>218</v>
      </c>
      <c r="AJ743" s="9" t="s">
        <v>218</v>
      </c>
      <c r="AK743" t="s">
        <v>234</v>
      </c>
      <c r="AL743" s="9" t="s">
        <v>218</v>
      </c>
      <c r="AM743" s="8" t="s">
        <v>221</v>
      </c>
      <c r="AN743" s="8" t="s">
        <v>221</v>
      </c>
      <c r="AO743" s="8" t="s">
        <v>222</v>
      </c>
      <c r="AP743" s="8">
        <v>0</v>
      </c>
      <c r="AQ743" s="8">
        <v>0</v>
      </c>
      <c r="AR743" s="9">
        <v>14</v>
      </c>
      <c r="AS743" s="8">
        <v>0</v>
      </c>
      <c r="AT743" s="8">
        <v>0</v>
      </c>
      <c r="AU743" s="8">
        <v>0</v>
      </c>
      <c r="AV743" s="8">
        <v>0</v>
      </c>
      <c r="AW743" s="9">
        <v>14</v>
      </c>
      <c r="AX743" s="8"/>
      <c r="AY743" s="8"/>
      <c r="AZ743">
        <v>0</v>
      </c>
      <c r="BB743" t="s">
        <v>2620</v>
      </c>
    </row>
    <row r="744" spans="1:54">
      <c r="A744" s="6">
        <v>45849</v>
      </c>
      <c r="B744" s="7" t="s">
        <v>2647</v>
      </c>
      <c r="C744" t="s">
        <v>714</v>
      </c>
      <c r="D744" t="s">
        <v>3254</v>
      </c>
      <c r="G744" t="s">
        <v>207</v>
      </c>
      <c r="H744" s="8" t="s">
        <v>208</v>
      </c>
      <c r="I744" s="8" t="s">
        <v>208</v>
      </c>
      <c r="J744" s="8" t="s">
        <v>208</v>
      </c>
      <c r="K744" s="8" t="s">
        <v>208</v>
      </c>
      <c r="L744" s="8" t="s">
        <v>208</v>
      </c>
      <c r="M744" s="8" t="s">
        <v>208</v>
      </c>
      <c r="N744" s="8" t="s">
        <v>208</v>
      </c>
      <c r="O744" s="8" t="s">
        <v>208</v>
      </c>
      <c r="Q744" t="s">
        <v>2648</v>
      </c>
      <c r="R744" t="s">
        <v>2649</v>
      </c>
      <c r="U744" t="s">
        <v>2650</v>
      </c>
      <c r="V744" t="s">
        <v>14</v>
      </c>
      <c r="W744" t="s">
        <v>774</v>
      </c>
      <c r="X744" t="s">
        <v>774</v>
      </c>
      <c r="Y744" t="s">
        <v>775</v>
      </c>
      <c r="Z744" t="s">
        <v>775</v>
      </c>
      <c r="AA744" t="s">
        <v>214</v>
      </c>
      <c r="AB744" t="s">
        <v>538</v>
      </c>
      <c r="AC744" t="s">
        <v>417</v>
      </c>
      <c r="AD744" t="s">
        <v>216</v>
      </c>
      <c r="AE744" t="s">
        <v>11</v>
      </c>
      <c r="AG744" s="8" t="s">
        <v>218</v>
      </c>
      <c r="AH744" t="s">
        <v>219</v>
      </c>
      <c r="AI744" s="9" t="s">
        <v>218</v>
      </c>
      <c r="AJ744" s="9" t="s">
        <v>218</v>
      </c>
      <c r="AK744" t="s">
        <v>234</v>
      </c>
      <c r="AL744" s="9" t="s">
        <v>218</v>
      </c>
      <c r="AM744" s="8" t="s">
        <v>221</v>
      </c>
      <c r="AN744" s="8" t="s">
        <v>221</v>
      </c>
      <c r="AO744" s="8" t="s">
        <v>222</v>
      </c>
      <c r="AP744" s="8">
        <v>0</v>
      </c>
      <c r="AQ744" s="8">
        <v>0</v>
      </c>
      <c r="AR744" s="9">
        <v>11</v>
      </c>
      <c r="AS744" s="8">
        <v>0</v>
      </c>
      <c r="AT744" s="8">
        <v>0</v>
      </c>
      <c r="AU744" s="8">
        <v>0</v>
      </c>
      <c r="AV744" s="8">
        <v>0</v>
      </c>
      <c r="AW744" s="9">
        <v>11</v>
      </c>
      <c r="AX744" s="8"/>
      <c r="AY744" s="8"/>
      <c r="AZ744">
        <v>0</v>
      </c>
      <c r="BB744" t="s">
        <v>2651</v>
      </c>
    </row>
    <row r="745" spans="1:54">
      <c r="A745" s="6">
        <v>45849</v>
      </c>
      <c r="B745" s="7" t="s">
        <v>271</v>
      </c>
      <c r="C745" t="s">
        <v>714</v>
      </c>
      <c r="D745" t="s">
        <v>3254</v>
      </c>
      <c r="G745" t="s">
        <v>207</v>
      </c>
      <c r="H745" s="8" t="s">
        <v>208</v>
      </c>
      <c r="I745" s="8" t="s">
        <v>208</v>
      </c>
      <c r="J745" s="8" t="s">
        <v>208</v>
      </c>
      <c r="K745" s="8" t="s">
        <v>208</v>
      </c>
      <c r="L745" s="8" t="s">
        <v>208</v>
      </c>
      <c r="M745" s="8" t="s">
        <v>208</v>
      </c>
      <c r="N745" s="8" t="s">
        <v>208</v>
      </c>
      <c r="O745" s="8" t="s">
        <v>208</v>
      </c>
      <c r="Q745" t="s">
        <v>272</v>
      </c>
      <c r="R745" t="s">
        <v>273</v>
      </c>
      <c r="U745" t="s">
        <v>274</v>
      </c>
      <c r="V745" t="s">
        <v>140</v>
      </c>
      <c r="W745" t="s">
        <v>212</v>
      </c>
      <c r="X745" t="s">
        <v>212</v>
      </c>
      <c r="Y745" t="s">
        <v>213</v>
      </c>
      <c r="Z745" t="s">
        <v>213</v>
      </c>
      <c r="AA745" t="s">
        <v>214</v>
      </c>
      <c r="AB745" t="s">
        <v>672</v>
      </c>
      <c r="AC745" t="s">
        <v>1336</v>
      </c>
      <c r="AD745" t="s">
        <v>216</v>
      </c>
      <c r="AE745" t="s">
        <v>217</v>
      </c>
      <c r="AG745" s="8" t="s">
        <v>218</v>
      </c>
      <c r="AH745" t="s">
        <v>219</v>
      </c>
      <c r="AI745" s="9" t="s">
        <v>218</v>
      </c>
      <c r="AJ745" s="9" t="s">
        <v>218</v>
      </c>
      <c r="AK745" t="s">
        <v>234</v>
      </c>
      <c r="AL745" s="9" t="s">
        <v>218</v>
      </c>
      <c r="AM745" s="8" t="s">
        <v>221</v>
      </c>
      <c r="AN745" s="8" t="s">
        <v>221</v>
      </c>
      <c r="AO745" s="8" t="s">
        <v>222</v>
      </c>
      <c r="AP745" s="8">
        <v>0</v>
      </c>
      <c r="AQ745" s="8">
        <v>0</v>
      </c>
      <c r="AR745" s="9">
        <v>46</v>
      </c>
      <c r="AS745" s="8">
        <v>0</v>
      </c>
      <c r="AT745" s="8">
        <v>0</v>
      </c>
      <c r="AU745" s="8">
        <v>0</v>
      </c>
      <c r="AV745" s="8">
        <v>0</v>
      </c>
      <c r="AW745" s="9">
        <v>46</v>
      </c>
      <c r="AX745" s="9" t="s">
        <v>278</v>
      </c>
      <c r="AY745" s="8"/>
      <c r="AZ745">
        <v>0</v>
      </c>
      <c r="BB745" t="s">
        <v>279</v>
      </c>
    </row>
    <row r="746" spans="1:54">
      <c r="A746" s="6">
        <v>45849</v>
      </c>
      <c r="B746" s="7" t="s">
        <v>1331</v>
      </c>
      <c r="C746" t="s">
        <v>714</v>
      </c>
      <c r="D746" t="s">
        <v>3254</v>
      </c>
      <c r="G746" t="s">
        <v>207</v>
      </c>
      <c r="H746" s="8" t="s">
        <v>208</v>
      </c>
      <c r="I746" s="8" t="s">
        <v>208</v>
      </c>
      <c r="J746" s="8" t="s">
        <v>208</v>
      </c>
      <c r="K746" s="8" t="s">
        <v>208</v>
      </c>
      <c r="L746" s="8" t="s">
        <v>208</v>
      </c>
      <c r="M746" s="8" t="s">
        <v>208</v>
      </c>
      <c r="N746" s="8" t="s">
        <v>208</v>
      </c>
      <c r="O746" s="8" t="s">
        <v>208</v>
      </c>
      <c r="Q746" t="s">
        <v>1332</v>
      </c>
      <c r="R746" t="s">
        <v>1333</v>
      </c>
      <c r="U746" t="s">
        <v>1334</v>
      </c>
      <c r="V746" t="s">
        <v>14</v>
      </c>
      <c r="W746" t="s">
        <v>212</v>
      </c>
      <c r="X746" t="s">
        <v>212</v>
      </c>
      <c r="Y746" t="s">
        <v>213</v>
      </c>
      <c r="Z746" t="s">
        <v>213</v>
      </c>
      <c r="AA746" t="s">
        <v>214</v>
      </c>
      <c r="AB746" t="s">
        <v>681</v>
      </c>
      <c r="AC746" t="s">
        <v>1336</v>
      </c>
      <c r="AD746" t="s">
        <v>216</v>
      </c>
      <c r="AE746" t="s">
        <v>217</v>
      </c>
      <c r="AG746" s="8" t="s">
        <v>218</v>
      </c>
      <c r="AH746" t="s">
        <v>219</v>
      </c>
      <c r="AI746" s="9" t="s">
        <v>218</v>
      </c>
      <c r="AJ746" s="9" t="s">
        <v>218</v>
      </c>
      <c r="AK746" t="s">
        <v>234</v>
      </c>
      <c r="AL746" s="9" t="s">
        <v>218</v>
      </c>
      <c r="AM746" s="8" t="s">
        <v>221</v>
      </c>
      <c r="AN746" s="8" t="s">
        <v>221</v>
      </c>
      <c r="AO746" s="8" t="s">
        <v>222</v>
      </c>
      <c r="AP746" s="8">
        <v>0</v>
      </c>
      <c r="AQ746" s="8">
        <v>0</v>
      </c>
      <c r="AR746" s="9">
        <v>52</v>
      </c>
      <c r="AS746" s="8">
        <v>0</v>
      </c>
      <c r="AT746" s="8">
        <v>0</v>
      </c>
      <c r="AU746" s="8">
        <v>0</v>
      </c>
      <c r="AV746" s="8">
        <v>0</v>
      </c>
      <c r="AW746" s="9">
        <v>52</v>
      </c>
      <c r="AX746" s="8"/>
      <c r="AY746" s="8"/>
      <c r="AZ746">
        <v>0</v>
      </c>
      <c r="BB746" t="s">
        <v>1338</v>
      </c>
    </row>
    <row r="747" spans="1:54">
      <c r="A747" s="6">
        <v>45849</v>
      </c>
      <c r="B747" s="7" t="s">
        <v>2654</v>
      </c>
      <c r="C747" t="s">
        <v>714</v>
      </c>
      <c r="D747" t="s">
        <v>3254</v>
      </c>
      <c r="G747" t="s">
        <v>207</v>
      </c>
      <c r="H747" s="8" t="s">
        <v>208</v>
      </c>
      <c r="I747" s="8" t="s">
        <v>208</v>
      </c>
      <c r="J747" s="8" t="s">
        <v>208</v>
      </c>
      <c r="K747" s="8" t="s">
        <v>208</v>
      </c>
      <c r="L747" s="8" t="s">
        <v>208</v>
      </c>
      <c r="M747" s="8" t="s">
        <v>208</v>
      </c>
      <c r="N747" s="8" t="s">
        <v>208</v>
      </c>
      <c r="O747" s="8" t="s">
        <v>208</v>
      </c>
      <c r="Q747" t="s">
        <v>2655</v>
      </c>
      <c r="R747" t="s">
        <v>2656</v>
      </c>
      <c r="U747" t="s">
        <v>2657</v>
      </c>
      <c r="V747" t="s">
        <v>138</v>
      </c>
      <c r="W747" t="s">
        <v>212</v>
      </c>
      <c r="X747" t="s">
        <v>212</v>
      </c>
      <c r="Y747" t="s">
        <v>213</v>
      </c>
      <c r="Z747" t="s">
        <v>213</v>
      </c>
      <c r="AA747" t="s">
        <v>214</v>
      </c>
      <c r="AB747" t="s">
        <v>242</v>
      </c>
      <c r="AC747" t="s">
        <v>242</v>
      </c>
      <c r="AD747" t="s">
        <v>216</v>
      </c>
      <c r="AE747" t="s">
        <v>11</v>
      </c>
      <c r="AG747" s="8" t="s">
        <v>218</v>
      </c>
      <c r="AH747" t="s">
        <v>219</v>
      </c>
      <c r="AI747" s="9" t="s">
        <v>218</v>
      </c>
      <c r="AJ747" s="9" t="s">
        <v>218</v>
      </c>
      <c r="AK747" t="s">
        <v>234</v>
      </c>
      <c r="AL747" s="9" t="s">
        <v>218</v>
      </c>
      <c r="AM747" s="8" t="s">
        <v>221</v>
      </c>
      <c r="AN747" s="8" t="s">
        <v>221</v>
      </c>
      <c r="AO747" s="8" t="s">
        <v>222</v>
      </c>
      <c r="AP747" s="8">
        <v>0</v>
      </c>
      <c r="AQ747" s="8">
        <v>0</v>
      </c>
      <c r="AR747" s="8">
        <v>0</v>
      </c>
      <c r="AS747" s="8">
        <v>0</v>
      </c>
      <c r="AT747" s="8">
        <v>0</v>
      </c>
      <c r="AU747" s="8">
        <v>0</v>
      </c>
      <c r="AV747" s="8">
        <v>0</v>
      </c>
      <c r="AW747" s="8">
        <v>0</v>
      </c>
      <c r="AX747" s="8"/>
      <c r="AY747" s="8"/>
      <c r="AZ747">
        <v>0</v>
      </c>
      <c r="BB747" t="s">
        <v>2658</v>
      </c>
    </row>
    <row r="748" spans="1:54">
      <c r="A748" s="6">
        <v>45849</v>
      </c>
      <c r="B748" s="7" t="s">
        <v>2659</v>
      </c>
      <c r="C748" t="s">
        <v>714</v>
      </c>
      <c r="D748" t="s">
        <v>3254</v>
      </c>
      <c r="G748" t="s">
        <v>207</v>
      </c>
      <c r="H748" s="8" t="s">
        <v>208</v>
      </c>
      <c r="I748" s="8" t="s">
        <v>208</v>
      </c>
      <c r="J748" s="8" t="s">
        <v>208</v>
      </c>
      <c r="K748" s="8" t="s">
        <v>208</v>
      </c>
      <c r="L748" s="8" t="s">
        <v>208</v>
      </c>
      <c r="M748" s="8" t="s">
        <v>208</v>
      </c>
      <c r="N748" s="8" t="s">
        <v>208</v>
      </c>
      <c r="O748" s="8" t="s">
        <v>208</v>
      </c>
      <c r="Q748" t="s">
        <v>2660</v>
      </c>
      <c r="R748" t="s">
        <v>2661</v>
      </c>
      <c r="U748" t="s">
        <v>2662</v>
      </c>
      <c r="V748" t="s">
        <v>14</v>
      </c>
      <c r="W748" t="s">
        <v>774</v>
      </c>
      <c r="X748" t="s">
        <v>774</v>
      </c>
      <c r="Y748" t="s">
        <v>775</v>
      </c>
      <c r="Z748" t="s">
        <v>775</v>
      </c>
      <c r="AA748" t="s">
        <v>214</v>
      </c>
      <c r="AB748" t="s">
        <v>425</v>
      </c>
      <c r="AC748" t="s">
        <v>425</v>
      </c>
      <c r="AD748" t="s">
        <v>216</v>
      </c>
      <c r="AE748" t="s">
        <v>11</v>
      </c>
      <c r="AG748" s="8" t="s">
        <v>218</v>
      </c>
      <c r="AH748" t="s">
        <v>219</v>
      </c>
      <c r="AI748" s="9" t="s">
        <v>218</v>
      </c>
      <c r="AJ748" s="9" t="s">
        <v>218</v>
      </c>
      <c r="AK748" t="s">
        <v>234</v>
      </c>
      <c r="AL748" s="9" t="s">
        <v>218</v>
      </c>
      <c r="AM748" s="8" t="s">
        <v>221</v>
      </c>
      <c r="AN748" s="8" t="s">
        <v>221</v>
      </c>
      <c r="AO748" s="8" t="s">
        <v>222</v>
      </c>
      <c r="AP748" s="8">
        <v>0</v>
      </c>
      <c r="AQ748" s="8">
        <v>0</v>
      </c>
      <c r="AR748" s="8">
        <v>0</v>
      </c>
      <c r="AS748" s="8">
        <v>0</v>
      </c>
      <c r="AT748" s="8">
        <v>0</v>
      </c>
      <c r="AU748" s="8">
        <v>0</v>
      </c>
      <c r="AV748" s="8">
        <v>0</v>
      </c>
      <c r="AW748" s="8">
        <v>0</v>
      </c>
      <c r="AX748" s="8"/>
      <c r="AY748" s="8"/>
      <c r="AZ748">
        <v>0</v>
      </c>
      <c r="BB748" t="s">
        <v>2663</v>
      </c>
    </row>
    <row r="749" spans="1:54">
      <c r="A749" s="6">
        <v>45849</v>
      </c>
      <c r="B749" s="7" t="s">
        <v>1322</v>
      </c>
      <c r="C749" t="s">
        <v>714</v>
      </c>
      <c r="D749" t="s">
        <v>3254</v>
      </c>
      <c r="G749" t="s">
        <v>207</v>
      </c>
      <c r="H749" s="8" t="s">
        <v>208</v>
      </c>
      <c r="I749" s="8" t="s">
        <v>208</v>
      </c>
      <c r="J749" s="8" t="s">
        <v>208</v>
      </c>
      <c r="K749" s="8" t="s">
        <v>208</v>
      </c>
      <c r="L749" s="8" t="s">
        <v>208</v>
      </c>
      <c r="M749" s="8" t="s">
        <v>208</v>
      </c>
      <c r="N749" s="8" t="s">
        <v>208</v>
      </c>
      <c r="O749" s="8" t="s">
        <v>208</v>
      </c>
      <c r="Q749" t="s">
        <v>1323</v>
      </c>
      <c r="R749" t="s">
        <v>1324</v>
      </c>
      <c r="U749" t="s">
        <v>1325</v>
      </c>
      <c r="V749" t="s">
        <v>140</v>
      </c>
      <c r="W749" t="s">
        <v>774</v>
      </c>
      <c r="X749" t="s">
        <v>774</v>
      </c>
      <c r="Y749" t="s">
        <v>1082</v>
      </c>
      <c r="Z749" t="s">
        <v>775</v>
      </c>
      <c r="AA749" t="s">
        <v>1164</v>
      </c>
      <c r="AB749" t="s">
        <v>3292</v>
      </c>
      <c r="AC749" t="s">
        <v>1147</v>
      </c>
      <c r="AD749" t="s">
        <v>3224</v>
      </c>
      <c r="AE749" t="s">
        <v>2259</v>
      </c>
      <c r="AG749" s="9" t="s">
        <v>221</v>
      </c>
      <c r="AH749" t="s">
        <v>2256</v>
      </c>
      <c r="AI749" s="8" t="s">
        <v>221</v>
      </c>
      <c r="AJ749" s="9" t="s">
        <v>218</v>
      </c>
      <c r="AK749" t="s">
        <v>234</v>
      </c>
      <c r="AL749" s="8" t="s">
        <v>221</v>
      </c>
      <c r="AM749" s="9" t="s">
        <v>218</v>
      </c>
      <c r="AN749" s="8" t="s">
        <v>221</v>
      </c>
      <c r="AO749" s="8" t="s">
        <v>222</v>
      </c>
      <c r="AP749" s="8">
        <v>0</v>
      </c>
      <c r="AQ749" s="8">
        <v>0</v>
      </c>
      <c r="AR749" s="9">
        <v>176</v>
      </c>
      <c r="AS749" s="8">
        <v>0</v>
      </c>
      <c r="AT749" s="8">
        <v>0</v>
      </c>
      <c r="AU749" s="8">
        <v>0</v>
      </c>
      <c r="AV749" s="8">
        <v>0</v>
      </c>
      <c r="AW749" s="9">
        <v>176</v>
      </c>
      <c r="AX749" s="8"/>
      <c r="AY749" s="8"/>
      <c r="AZ749">
        <v>2</v>
      </c>
      <c r="BA749" t="s">
        <v>3293</v>
      </c>
      <c r="BB749" t="s">
        <v>1329</v>
      </c>
    </row>
    <row r="750" spans="1:54">
      <c r="A750" s="6">
        <v>45849</v>
      </c>
      <c r="B750" s="7" t="s">
        <v>2459</v>
      </c>
      <c r="C750" t="s">
        <v>205</v>
      </c>
      <c r="D750" t="s">
        <v>3254</v>
      </c>
      <c r="G750" t="s">
        <v>207</v>
      </c>
      <c r="H750" s="8" t="s">
        <v>208</v>
      </c>
      <c r="I750" s="8" t="s">
        <v>208</v>
      </c>
      <c r="J750" s="8" t="s">
        <v>208</v>
      </c>
      <c r="K750" s="8" t="s">
        <v>208</v>
      </c>
      <c r="L750" s="8" t="s">
        <v>208</v>
      </c>
      <c r="M750" s="8" t="s">
        <v>208</v>
      </c>
      <c r="N750" s="8" t="s">
        <v>208</v>
      </c>
      <c r="O750" s="8" t="s">
        <v>208</v>
      </c>
      <c r="Q750" t="s">
        <v>2460</v>
      </c>
      <c r="R750" t="s">
        <v>2461</v>
      </c>
      <c r="U750" t="s">
        <v>2462</v>
      </c>
      <c r="V750" t="s">
        <v>14</v>
      </c>
      <c r="W750" t="s">
        <v>774</v>
      </c>
      <c r="X750" t="s">
        <v>774</v>
      </c>
      <c r="Y750" t="s">
        <v>1082</v>
      </c>
      <c r="Z750" t="s">
        <v>775</v>
      </c>
      <c r="AA750" t="s">
        <v>214</v>
      </c>
      <c r="AB750" t="s">
        <v>603</v>
      </c>
      <c r="AC750" t="s">
        <v>391</v>
      </c>
      <c r="AD750" t="s">
        <v>3258</v>
      </c>
      <c r="AE750" t="s">
        <v>217</v>
      </c>
      <c r="AG750" s="8" t="s">
        <v>218</v>
      </c>
      <c r="AH750" t="s">
        <v>2256</v>
      </c>
      <c r="AI750" s="8" t="s">
        <v>221</v>
      </c>
      <c r="AJ750" s="9" t="s">
        <v>218</v>
      </c>
      <c r="AK750" t="s">
        <v>234</v>
      </c>
      <c r="AL750" s="8" t="s">
        <v>221</v>
      </c>
      <c r="AM750" s="9" t="s">
        <v>218</v>
      </c>
      <c r="AN750" s="8" t="s">
        <v>221</v>
      </c>
      <c r="AO750" s="8" t="s">
        <v>222</v>
      </c>
      <c r="AP750" s="8">
        <v>0</v>
      </c>
      <c r="AQ750" s="8">
        <v>0</v>
      </c>
      <c r="AR750" s="8">
        <v>0</v>
      </c>
      <c r="AS750" s="8">
        <v>0</v>
      </c>
      <c r="AT750" s="8">
        <v>0</v>
      </c>
      <c r="AU750" s="8">
        <v>0</v>
      </c>
      <c r="AV750" s="8">
        <v>0</v>
      </c>
      <c r="AW750" s="8">
        <v>0</v>
      </c>
      <c r="AX750" s="8"/>
      <c r="AY750" s="8"/>
      <c r="AZ750">
        <v>2</v>
      </c>
      <c r="BA750" t="s">
        <v>3294</v>
      </c>
      <c r="BB750" t="s">
        <v>2463</v>
      </c>
    </row>
    <row r="751" spans="1:54">
      <c r="A751" s="6">
        <v>45849</v>
      </c>
      <c r="B751" s="7" t="s">
        <v>3295</v>
      </c>
      <c r="C751" t="s">
        <v>387</v>
      </c>
      <c r="D751" t="s">
        <v>3139</v>
      </c>
      <c r="E751" t="s">
        <v>1275</v>
      </c>
      <c r="F751" t="s">
        <v>1275</v>
      </c>
      <c r="G751" t="s">
        <v>2781</v>
      </c>
      <c r="H751" s="8" t="s">
        <v>221</v>
      </c>
      <c r="I751" s="8" t="s">
        <v>221</v>
      </c>
      <c r="J751" s="8" t="s">
        <v>221</v>
      </c>
      <c r="K751" s="8" t="s">
        <v>221</v>
      </c>
      <c r="L751" s="8" t="s">
        <v>221</v>
      </c>
      <c r="M751" s="8" t="s">
        <v>221</v>
      </c>
      <c r="N751" s="8" t="s">
        <v>208</v>
      </c>
      <c r="O751" s="8" t="s">
        <v>208</v>
      </c>
      <c r="Q751" t="s">
        <v>3296</v>
      </c>
      <c r="R751" t="s">
        <v>3297</v>
      </c>
      <c r="U751" t="s">
        <v>3298</v>
      </c>
      <c r="V751" t="s">
        <v>38</v>
      </c>
      <c r="W751" t="s">
        <v>298</v>
      </c>
      <c r="X751" t="s">
        <v>298</v>
      </c>
      <c r="Y751" t="s">
        <v>1103</v>
      </c>
      <c r="Z751" t="s">
        <v>299</v>
      </c>
      <c r="AA751" t="s">
        <v>653</v>
      </c>
      <c r="AB751" t="s">
        <v>1147</v>
      </c>
      <c r="AC751" t="s">
        <v>1791</v>
      </c>
      <c r="AD751" t="s">
        <v>3144</v>
      </c>
      <c r="AE751" t="s">
        <v>2775</v>
      </c>
      <c r="AG751" s="8" t="s">
        <v>218</v>
      </c>
      <c r="AH751" t="s">
        <v>2283</v>
      </c>
      <c r="AI751" s="8" t="s">
        <v>221</v>
      </c>
      <c r="AJ751" s="8" t="s">
        <v>221</v>
      </c>
      <c r="AK751" t="s">
        <v>3299</v>
      </c>
      <c r="AL751" s="8" t="s">
        <v>221</v>
      </c>
      <c r="AM751" s="9" t="s">
        <v>218</v>
      </c>
      <c r="AN751" s="8" t="s">
        <v>221</v>
      </c>
      <c r="AO751" s="8" t="s">
        <v>222</v>
      </c>
      <c r="AP751" s="8">
        <v>0</v>
      </c>
      <c r="AQ751" s="8">
        <v>0</v>
      </c>
      <c r="AR751" s="9">
        <v>33</v>
      </c>
      <c r="AS751" s="8">
        <v>0</v>
      </c>
      <c r="AT751" s="8">
        <v>0</v>
      </c>
      <c r="AU751" s="8">
        <v>0</v>
      </c>
      <c r="AV751" s="8">
        <v>0</v>
      </c>
      <c r="AW751" s="9">
        <v>33</v>
      </c>
      <c r="AX751" s="8"/>
      <c r="AY751" s="8"/>
      <c r="AZ751">
        <v>2</v>
      </c>
      <c r="BA751" t="s">
        <v>3300</v>
      </c>
      <c r="BB751" t="s">
        <v>3301</v>
      </c>
    </row>
    <row r="752" spans="1:54">
      <c r="A752" s="6">
        <v>45849</v>
      </c>
      <c r="B752" s="7" t="s">
        <v>3302</v>
      </c>
      <c r="C752" t="s">
        <v>668</v>
      </c>
      <c r="D752" t="s">
        <v>3139</v>
      </c>
      <c r="E752" t="s">
        <v>1275</v>
      </c>
      <c r="F752" t="s">
        <v>1275</v>
      </c>
      <c r="G752" t="s">
        <v>2781</v>
      </c>
      <c r="H752" s="8" t="s">
        <v>221</v>
      </c>
      <c r="I752" s="8" t="s">
        <v>221</v>
      </c>
      <c r="J752" s="8" t="s">
        <v>221</v>
      </c>
      <c r="K752" s="8" t="s">
        <v>221</v>
      </c>
      <c r="L752" s="8" t="s">
        <v>221</v>
      </c>
      <c r="M752" s="8" t="s">
        <v>221</v>
      </c>
      <c r="N752" s="8" t="s">
        <v>208</v>
      </c>
      <c r="O752" s="8" t="s">
        <v>208</v>
      </c>
      <c r="Q752" t="s">
        <v>3303</v>
      </c>
      <c r="R752" t="s">
        <v>3304</v>
      </c>
      <c r="U752" t="s">
        <v>3305</v>
      </c>
      <c r="V752" t="s">
        <v>38</v>
      </c>
      <c r="W752" t="s">
        <v>232</v>
      </c>
      <c r="X752" t="s">
        <v>232</v>
      </c>
      <c r="Y752" t="s">
        <v>275</v>
      </c>
      <c r="Z752" t="s">
        <v>233</v>
      </c>
      <c r="AA752" t="s">
        <v>214</v>
      </c>
      <c r="AB752" t="s">
        <v>701</v>
      </c>
      <c r="AC752" t="s">
        <v>242</v>
      </c>
      <c r="AD752" t="s">
        <v>3250</v>
      </c>
      <c r="AE752" t="s">
        <v>2121</v>
      </c>
      <c r="AG752" s="8" t="s">
        <v>218</v>
      </c>
      <c r="AH752" t="s">
        <v>2256</v>
      </c>
      <c r="AI752" s="8" t="s">
        <v>221</v>
      </c>
      <c r="AJ752" s="9" t="s">
        <v>218</v>
      </c>
      <c r="AK752" t="s">
        <v>3259</v>
      </c>
      <c r="AL752" s="8" t="s">
        <v>221</v>
      </c>
      <c r="AM752" s="9" t="s">
        <v>218</v>
      </c>
      <c r="AN752" s="8" t="s">
        <v>221</v>
      </c>
      <c r="AO752" s="8" t="s">
        <v>222</v>
      </c>
      <c r="AP752" s="8">
        <v>0</v>
      </c>
      <c r="AQ752" s="8">
        <v>0</v>
      </c>
      <c r="AR752" s="8">
        <v>0</v>
      </c>
      <c r="AS752" s="8">
        <v>0</v>
      </c>
      <c r="AT752" s="8">
        <v>0</v>
      </c>
      <c r="AU752" s="8">
        <v>0</v>
      </c>
      <c r="AV752" s="8">
        <v>0</v>
      </c>
      <c r="AW752" s="8">
        <v>0</v>
      </c>
      <c r="AX752" s="8"/>
      <c r="AY752" s="8"/>
      <c r="AZ752">
        <v>7</v>
      </c>
      <c r="BA752" t="s">
        <v>3306</v>
      </c>
      <c r="BB752" t="s">
        <v>3307</v>
      </c>
    </row>
    <row r="753" spans="1:54">
      <c r="A753" s="6">
        <v>45849</v>
      </c>
      <c r="B753" s="7" t="s">
        <v>3308</v>
      </c>
      <c r="C753" t="s">
        <v>387</v>
      </c>
      <c r="D753" t="s">
        <v>3139</v>
      </c>
      <c r="E753" t="s">
        <v>1275</v>
      </c>
      <c r="F753" t="s">
        <v>1275</v>
      </c>
      <c r="G753" t="s">
        <v>2781</v>
      </c>
      <c r="H753" s="8" t="s">
        <v>221</v>
      </c>
      <c r="I753" s="8" t="s">
        <v>221</v>
      </c>
      <c r="J753" s="8" t="s">
        <v>221</v>
      </c>
      <c r="K753" s="8" t="s">
        <v>221</v>
      </c>
      <c r="L753" s="8" t="s">
        <v>221</v>
      </c>
      <c r="M753" s="8" t="s">
        <v>221</v>
      </c>
      <c r="N753" s="8" t="s">
        <v>208</v>
      </c>
      <c r="O753" s="8" t="s">
        <v>208</v>
      </c>
      <c r="Q753" t="s">
        <v>3309</v>
      </c>
      <c r="R753" t="s">
        <v>3310</v>
      </c>
      <c r="U753" t="s">
        <v>3311</v>
      </c>
      <c r="V753" t="s">
        <v>38</v>
      </c>
      <c r="W753" t="s">
        <v>774</v>
      </c>
      <c r="X753" t="s">
        <v>774</v>
      </c>
      <c r="Y753" t="s">
        <v>1082</v>
      </c>
      <c r="Z753" t="s">
        <v>775</v>
      </c>
      <c r="AA753" t="s">
        <v>653</v>
      </c>
      <c r="AB753" t="s">
        <v>301</v>
      </c>
      <c r="AC753" t="s">
        <v>312</v>
      </c>
      <c r="AD753" t="s">
        <v>3250</v>
      </c>
      <c r="AE753" t="s">
        <v>2775</v>
      </c>
      <c r="AG753" s="8" t="s">
        <v>218</v>
      </c>
      <c r="AH753" t="s">
        <v>2256</v>
      </c>
      <c r="AI753" s="8" t="s">
        <v>221</v>
      </c>
      <c r="AJ753" s="9" t="s">
        <v>218</v>
      </c>
      <c r="AK753" t="s">
        <v>234</v>
      </c>
      <c r="AL753" s="8" t="s">
        <v>221</v>
      </c>
      <c r="AM753" s="9" t="s">
        <v>218</v>
      </c>
      <c r="AN753" s="8" t="s">
        <v>221</v>
      </c>
      <c r="AO753" s="8" t="s">
        <v>222</v>
      </c>
      <c r="AP753" s="8">
        <v>0</v>
      </c>
      <c r="AQ753" s="8">
        <v>0</v>
      </c>
      <c r="AR753" s="8">
        <v>0</v>
      </c>
      <c r="AS753" s="8">
        <v>0</v>
      </c>
      <c r="AT753" s="8">
        <v>0</v>
      </c>
      <c r="AU753" s="8">
        <v>0</v>
      </c>
      <c r="AV753" s="8">
        <v>0</v>
      </c>
      <c r="AW753" s="8">
        <v>0</v>
      </c>
      <c r="AX753" s="8"/>
      <c r="AY753" s="8"/>
      <c r="AZ753">
        <v>4</v>
      </c>
      <c r="BA753" t="s">
        <v>3312</v>
      </c>
      <c r="BB753" t="s">
        <v>3313</v>
      </c>
    </row>
    <row r="754" spans="1:54">
      <c r="A754" s="6">
        <v>45849</v>
      </c>
      <c r="B754" s="7" t="s">
        <v>3314</v>
      </c>
      <c r="C754" t="s">
        <v>668</v>
      </c>
      <c r="D754" t="s">
        <v>3139</v>
      </c>
      <c r="E754" t="s">
        <v>1275</v>
      </c>
      <c r="F754" t="s">
        <v>1275</v>
      </c>
      <c r="G754" t="s">
        <v>2781</v>
      </c>
      <c r="H754" s="8" t="s">
        <v>221</v>
      </c>
      <c r="I754" s="8" t="s">
        <v>221</v>
      </c>
      <c r="J754" s="8" t="s">
        <v>221</v>
      </c>
      <c r="K754" s="8" t="s">
        <v>221</v>
      </c>
      <c r="L754" s="8" t="s">
        <v>221</v>
      </c>
      <c r="M754" s="8" t="s">
        <v>221</v>
      </c>
      <c r="N754" s="8" t="s">
        <v>208</v>
      </c>
      <c r="O754" s="8" t="s">
        <v>208</v>
      </c>
      <c r="Q754" t="s">
        <v>3315</v>
      </c>
      <c r="R754" t="s">
        <v>3316</v>
      </c>
      <c r="U754" t="s">
        <v>3317</v>
      </c>
      <c r="V754" t="s">
        <v>136</v>
      </c>
      <c r="W754" t="s">
        <v>212</v>
      </c>
      <c r="X754" t="s">
        <v>212</v>
      </c>
      <c r="Y754" t="s">
        <v>275</v>
      </c>
      <c r="Z754" t="s">
        <v>213</v>
      </c>
      <c r="AA754" t="s">
        <v>214</v>
      </c>
      <c r="AB754" t="s">
        <v>701</v>
      </c>
      <c r="AC754" t="s">
        <v>242</v>
      </c>
      <c r="AD754" t="s">
        <v>3250</v>
      </c>
      <c r="AE754" t="s">
        <v>2121</v>
      </c>
      <c r="AG754" s="8" t="s">
        <v>218</v>
      </c>
      <c r="AH754" t="s">
        <v>2256</v>
      </c>
      <c r="AI754" s="8" t="s">
        <v>221</v>
      </c>
      <c r="AJ754" s="9" t="s">
        <v>218</v>
      </c>
      <c r="AK754" t="s">
        <v>234</v>
      </c>
      <c r="AL754" s="8" t="s">
        <v>221</v>
      </c>
      <c r="AM754" s="9" t="s">
        <v>218</v>
      </c>
      <c r="AN754" s="8" t="s">
        <v>221</v>
      </c>
      <c r="AO754" s="8" t="s">
        <v>222</v>
      </c>
      <c r="AP754" s="8">
        <v>0</v>
      </c>
      <c r="AQ754" s="8">
        <v>0</v>
      </c>
      <c r="AR754" s="8">
        <v>0</v>
      </c>
      <c r="AS754" s="8">
        <v>0</v>
      </c>
      <c r="AT754" s="8">
        <v>0</v>
      </c>
      <c r="AU754" s="8">
        <v>0</v>
      </c>
      <c r="AV754" s="8">
        <v>0</v>
      </c>
      <c r="AW754" s="8">
        <v>0</v>
      </c>
      <c r="AX754" s="8"/>
      <c r="AY754" s="8"/>
      <c r="AZ754">
        <v>4</v>
      </c>
      <c r="BA754" t="s">
        <v>3318</v>
      </c>
      <c r="BB754" t="s">
        <v>3319</v>
      </c>
    </row>
    <row r="755" spans="1:54">
      <c r="A755" s="6">
        <v>45849</v>
      </c>
      <c r="B755" s="7" t="s">
        <v>3320</v>
      </c>
      <c r="C755" t="s">
        <v>387</v>
      </c>
      <c r="D755" t="s">
        <v>3139</v>
      </c>
      <c r="E755" t="s">
        <v>1275</v>
      </c>
      <c r="F755" t="s">
        <v>1275</v>
      </c>
      <c r="G755" t="s">
        <v>2781</v>
      </c>
      <c r="H755" s="8" t="s">
        <v>221</v>
      </c>
      <c r="I755" s="8" t="s">
        <v>221</v>
      </c>
      <c r="J755" s="8" t="s">
        <v>221</v>
      </c>
      <c r="K755" s="8" t="s">
        <v>221</v>
      </c>
      <c r="L755" s="8" t="s">
        <v>221</v>
      </c>
      <c r="M755" s="8" t="s">
        <v>221</v>
      </c>
      <c r="N755" s="8" t="s">
        <v>208</v>
      </c>
      <c r="O755" s="8" t="s">
        <v>208</v>
      </c>
      <c r="Q755" t="s">
        <v>3321</v>
      </c>
      <c r="R755" t="s">
        <v>3322</v>
      </c>
      <c r="U755" t="s">
        <v>3323</v>
      </c>
      <c r="V755" t="s">
        <v>127</v>
      </c>
      <c r="W755" t="s">
        <v>298</v>
      </c>
      <c r="X755" t="s">
        <v>298</v>
      </c>
      <c r="Y755" t="s">
        <v>1103</v>
      </c>
      <c r="Z755" t="s">
        <v>299</v>
      </c>
      <c r="AA755" t="s">
        <v>214</v>
      </c>
      <c r="AB755" t="s">
        <v>603</v>
      </c>
      <c r="AC755" t="s">
        <v>391</v>
      </c>
      <c r="AD755" t="s">
        <v>3144</v>
      </c>
      <c r="AE755" t="s">
        <v>214</v>
      </c>
      <c r="AG755" s="8" t="s">
        <v>218</v>
      </c>
      <c r="AH755" t="s">
        <v>3324</v>
      </c>
      <c r="AI755" s="8" t="s">
        <v>221</v>
      </c>
      <c r="AJ755" s="8" t="s">
        <v>221</v>
      </c>
      <c r="AK755" t="s">
        <v>3325</v>
      </c>
      <c r="AL755" s="8" t="s">
        <v>221</v>
      </c>
      <c r="AM755" s="9" t="s">
        <v>218</v>
      </c>
      <c r="AN755" s="8" t="s">
        <v>221</v>
      </c>
      <c r="AO755" s="8" t="s">
        <v>222</v>
      </c>
      <c r="AP755" s="8">
        <v>0</v>
      </c>
      <c r="AQ755" s="8">
        <v>0</v>
      </c>
      <c r="AR755" s="8">
        <v>0</v>
      </c>
      <c r="AS755" s="8">
        <v>0</v>
      </c>
      <c r="AT755" s="8">
        <v>0</v>
      </c>
      <c r="AU755" s="8">
        <v>0</v>
      </c>
      <c r="AV755" s="8">
        <v>0</v>
      </c>
      <c r="AW755" s="8">
        <v>0</v>
      </c>
      <c r="AX755" s="8"/>
      <c r="AY755" s="8"/>
      <c r="AZ755">
        <v>2</v>
      </c>
      <c r="BA755" t="s">
        <v>3326</v>
      </c>
      <c r="BB755" t="s">
        <v>3327</v>
      </c>
    </row>
    <row r="756" spans="1:54">
      <c r="A756" s="6">
        <v>45849</v>
      </c>
      <c r="B756" s="7" t="s">
        <v>3328</v>
      </c>
      <c r="C756" t="s">
        <v>387</v>
      </c>
      <c r="D756" t="s">
        <v>3139</v>
      </c>
      <c r="E756" t="s">
        <v>1275</v>
      </c>
      <c r="F756" t="s">
        <v>1275</v>
      </c>
      <c r="G756" t="s">
        <v>2781</v>
      </c>
      <c r="H756" s="8" t="s">
        <v>221</v>
      </c>
      <c r="I756" s="8" t="s">
        <v>221</v>
      </c>
      <c r="J756" s="8" t="s">
        <v>221</v>
      </c>
      <c r="K756" s="8" t="s">
        <v>221</v>
      </c>
      <c r="L756" s="8" t="s">
        <v>221</v>
      </c>
      <c r="M756" s="8" t="s">
        <v>221</v>
      </c>
      <c r="N756" s="8" t="s">
        <v>208</v>
      </c>
      <c r="O756" s="8" t="s">
        <v>208</v>
      </c>
      <c r="Q756" t="s">
        <v>3329</v>
      </c>
      <c r="R756" t="s">
        <v>3330</v>
      </c>
      <c r="U756" t="s">
        <v>3331</v>
      </c>
      <c r="V756" t="s">
        <v>38</v>
      </c>
      <c r="W756" t="s">
        <v>298</v>
      </c>
      <c r="X756" t="s">
        <v>298</v>
      </c>
      <c r="Y756" t="s">
        <v>1103</v>
      </c>
      <c r="Z756" t="s">
        <v>299</v>
      </c>
      <c r="AA756" t="s">
        <v>653</v>
      </c>
      <c r="AB756" t="s">
        <v>301</v>
      </c>
      <c r="AC756" t="s">
        <v>312</v>
      </c>
      <c r="AD756" t="s">
        <v>3144</v>
      </c>
      <c r="AE756" t="s">
        <v>2775</v>
      </c>
      <c r="AG756" s="8" t="s">
        <v>218</v>
      </c>
      <c r="AH756" t="s">
        <v>2283</v>
      </c>
      <c r="AI756" s="8" t="s">
        <v>221</v>
      </c>
      <c r="AJ756" s="8" t="s">
        <v>221</v>
      </c>
      <c r="AK756" t="s">
        <v>3332</v>
      </c>
      <c r="AL756" s="8" t="s">
        <v>221</v>
      </c>
      <c r="AM756" s="9" t="s">
        <v>218</v>
      </c>
      <c r="AN756" s="8" t="s">
        <v>221</v>
      </c>
      <c r="AO756" s="8" t="s">
        <v>222</v>
      </c>
      <c r="AP756" s="8">
        <v>0</v>
      </c>
      <c r="AQ756" s="8">
        <v>0</v>
      </c>
      <c r="AR756" s="8">
        <v>0</v>
      </c>
      <c r="AS756" s="8">
        <v>0</v>
      </c>
      <c r="AT756" s="8">
        <v>0</v>
      </c>
      <c r="AU756" s="8">
        <v>0</v>
      </c>
      <c r="AV756" s="8">
        <v>0</v>
      </c>
      <c r="AW756" s="8">
        <v>0</v>
      </c>
      <c r="AX756" s="8"/>
      <c r="AY756" s="8"/>
      <c r="AZ756">
        <v>2</v>
      </c>
      <c r="BA756" t="s">
        <v>3333</v>
      </c>
      <c r="BB756" t="s">
        <v>3334</v>
      </c>
    </row>
    <row r="757" spans="1:54">
      <c r="A757" s="6">
        <v>45849</v>
      </c>
      <c r="B757" s="7" t="s">
        <v>3335</v>
      </c>
      <c r="C757" t="s">
        <v>387</v>
      </c>
      <c r="D757" t="s">
        <v>3139</v>
      </c>
      <c r="E757" t="s">
        <v>1275</v>
      </c>
      <c r="F757" t="s">
        <v>1275</v>
      </c>
      <c r="G757" t="s">
        <v>2781</v>
      </c>
      <c r="H757" s="8" t="s">
        <v>221</v>
      </c>
      <c r="I757" s="8" t="s">
        <v>221</v>
      </c>
      <c r="J757" s="8" t="s">
        <v>221</v>
      </c>
      <c r="K757" s="8" t="s">
        <v>221</v>
      </c>
      <c r="L757" s="8" t="s">
        <v>221</v>
      </c>
      <c r="M757" s="8" t="s">
        <v>221</v>
      </c>
      <c r="N757" s="8" t="s">
        <v>208</v>
      </c>
      <c r="O757" s="8" t="s">
        <v>208</v>
      </c>
      <c r="Q757" t="s">
        <v>3336</v>
      </c>
      <c r="R757" t="s">
        <v>3337</v>
      </c>
      <c r="U757" t="s">
        <v>3338</v>
      </c>
      <c r="V757" t="s">
        <v>38</v>
      </c>
      <c r="W757" t="s">
        <v>774</v>
      </c>
      <c r="X757" t="s">
        <v>774</v>
      </c>
      <c r="Y757" t="s">
        <v>1082</v>
      </c>
      <c r="Z757" t="s">
        <v>775</v>
      </c>
      <c r="AA757" t="s">
        <v>653</v>
      </c>
      <c r="AB757" t="s">
        <v>465</v>
      </c>
      <c r="AC757" t="s">
        <v>301</v>
      </c>
      <c r="AD757" t="s">
        <v>3250</v>
      </c>
      <c r="AE757" t="s">
        <v>2775</v>
      </c>
      <c r="AG757" s="8" t="s">
        <v>218</v>
      </c>
      <c r="AH757" t="s">
        <v>2256</v>
      </c>
      <c r="AI757" s="8" t="s">
        <v>221</v>
      </c>
      <c r="AJ757" s="9" t="s">
        <v>218</v>
      </c>
      <c r="AK757" t="s">
        <v>3339</v>
      </c>
      <c r="AL757" s="8" t="s">
        <v>221</v>
      </c>
      <c r="AM757" s="9" t="s">
        <v>218</v>
      </c>
      <c r="AN757" s="8" t="s">
        <v>221</v>
      </c>
      <c r="AO757" s="8" t="s">
        <v>222</v>
      </c>
      <c r="AP757" s="8">
        <v>0</v>
      </c>
      <c r="AQ757" s="8">
        <v>0</v>
      </c>
      <c r="AR757" s="8">
        <v>0</v>
      </c>
      <c r="AS757" s="8">
        <v>0</v>
      </c>
      <c r="AT757" s="8">
        <v>0</v>
      </c>
      <c r="AU757" s="8">
        <v>0</v>
      </c>
      <c r="AV757" s="8">
        <v>0</v>
      </c>
      <c r="AW757" s="8">
        <v>0</v>
      </c>
      <c r="AX757" s="8"/>
      <c r="AY757" s="8"/>
      <c r="AZ757">
        <v>2</v>
      </c>
      <c r="BA757" t="s">
        <v>3340</v>
      </c>
      <c r="BB757" t="s">
        <v>3341</v>
      </c>
    </row>
    <row r="758" spans="1:54">
      <c r="A758" s="6">
        <v>45849</v>
      </c>
      <c r="B758" s="7" t="s">
        <v>3342</v>
      </c>
      <c r="C758" t="s">
        <v>668</v>
      </c>
      <c r="D758" t="s">
        <v>3139</v>
      </c>
      <c r="E758" t="s">
        <v>1275</v>
      </c>
      <c r="F758" t="s">
        <v>1275</v>
      </c>
      <c r="G758" t="s">
        <v>2781</v>
      </c>
      <c r="H758" s="8" t="s">
        <v>221</v>
      </c>
      <c r="I758" s="8" t="s">
        <v>221</v>
      </c>
      <c r="J758" s="8" t="s">
        <v>221</v>
      </c>
      <c r="K758" s="8" t="s">
        <v>221</v>
      </c>
      <c r="L758" s="8" t="s">
        <v>221</v>
      </c>
      <c r="M758" s="8" t="s">
        <v>221</v>
      </c>
      <c r="N758" s="8" t="s">
        <v>208</v>
      </c>
      <c r="O758" s="8" t="s">
        <v>208</v>
      </c>
      <c r="Q758" t="s">
        <v>3343</v>
      </c>
      <c r="R758" t="s">
        <v>3344</v>
      </c>
      <c r="U758" t="s">
        <v>3345</v>
      </c>
      <c r="V758" t="s">
        <v>2815</v>
      </c>
      <c r="W758" t="s">
        <v>212</v>
      </c>
      <c r="X758" t="s">
        <v>212</v>
      </c>
      <c r="Y758" t="s">
        <v>275</v>
      </c>
      <c r="Z758" t="s">
        <v>213</v>
      </c>
      <c r="AA758" t="s">
        <v>3346</v>
      </c>
      <c r="AB758" t="s">
        <v>701</v>
      </c>
      <c r="AC758" t="s">
        <v>242</v>
      </c>
      <c r="AD758" t="s">
        <v>3250</v>
      </c>
      <c r="AE758" t="s">
        <v>2121</v>
      </c>
      <c r="AG758" s="8" t="s">
        <v>218</v>
      </c>
      <c r="AH758" t="s">
        <v>2256</v>
      </c>
      <c r="AI758" s="8" t="s">
        <v>221</v>
      </c>
      <c r="AJ758" s="9" t="s">
        <v>218</v>
      </c>
      <c r="AK758" t="s">
        <v>234</v>
      </c>
      <c r="AL758" s="8" t="s">
        <v>221</v>
      </c>
      <c r="AM758" s="9" t="s">
        <v>218</v>
      </c>
      <c r="AN758" s="8" t="s">
        <v>221</v>
      </c>
      <c r="AO758" s="8" t="s">
        <v>222</v>
      </c>
      <c r="AP758" s="8">
        <v>0</v>
      </c>
      <c r="AQ758" s="8">
        <v>0</v>
      </c>
      <c r="AR758" s="8">
        <v>0</v>
      </c>
      <c r="AS758" s="8">
        <v>0</v>
      </c>
      <c r="AT758" s="8">
        <v>0</v>
      </c>
      <c r="AU758" s="8">
        <v>0</v>
      </c>
      <c r="AV758" s="8">
        <v>0</v>
      </c>
      <c r="AW758" s="8">
        <v>0</v>
      </c>
      <c r="AX758" s="8"/>
      <c r="AY758" s="8"/>
      <c r="AZ758">
        <v>5</v>
      </c>
      <c r="BA758" t="s">
        <v>3347</v>
      </c>
      <c r="BB758" t="s">
        <v>3348</v>
      </c>
    </row>
    <row r="759" spans="1:54">
      <c r="A759" s="6">
        <v>45849</v>
      </c>
      <c r="B759" s="7" t="s">
        <v>3349</v>
      </c>
      <c r="C759" t="s">
        <v>387</v>
      </c>
      <c r="D759" t="s">
        <v>3139</v>
      </c>
      <c r="E759" t="s">
        <v>1275</v>
      </c>
      <c r="F759" t="s">
        <v>1275</v>
      </c>
      <c r="G759" t="s">
        <v>2781</v>
      </c>
      <c r="H759" s="8" t="s">
        <v>221</v>
      </c>
      <c r="I759" s="8" t="s">
        <v>221</v>
      </c>
      <c r="J759" s="8" t="s">
        <v>221</v>
      </c>
      <c r="K759" s="8" t="s">
        <v>221</v>
      </c>
      <c r="L759" s="8" t="s">
        <v>221</v>
      </c>
      <c r="M759" s="8" t="s">
        <v>221</v>
      </c>
      <c r="N759" s="8" t="s">
        <v>208</v>
      </c>
      <c r="O759" s="8" t="s">
        <v>208</v>
      </c>
      <c r="Q759" t="s">
        <v>3350</v>
      </c>
      <c r="R759" t="s">
        <v>3351</v>
      </c>
      <c r="U759" t="s">
        <v>3352</v>
      </c>
      <c r="V759" t="s">
        <v>2815</v>
      </c>
      <c r="W759" t="s">
        <v>298</v>
      </c>
      <c r="X759" t="s">
        <v>298</v>
      </c>
      <c r="Y759" t="s">
        <v>1103</v>
      </c>
      <c r="Z759" t="s">
        <v>299</v>
      </c>
      <c r="AA759" t="s">
        <v>3353</v>
      </c>
      <c r="AB759" t="s">
        <v>408</v>
      </c>
      <c r="AC759" t="s">
        <v>425</v>
      </c>
      <c r="AD759" t="s">
        <v>3144</v>
      </c>
      <c r="AE759" t="s">
        <v>3354</v>
      </c>
      <c r="AG759" s="8" t="s">
        <v>218</v>
      </c>
      <c r="AH759" t="s">
        <v>2283</v>
      </c>
      <c r="AI759" s="8" t="s">
        <v>221</v>
      </c>
      <c r="AJ759" s="8" t="s">
        <v>221</v>
      </c>
      <c r="AK759" t="s">
        <v>234</v>
      </c>
      <c r="AL759" s="8" t="s">
        <v>221</v>
      </c>
      <c r="AM759" s="9" t="s">
        <v>218</v>
      </c>
      <c r="AN759" s="8" t="s">
        <v>221</v>
      </c>
      <c r="AO759" s="8" t="s">
        <v>222</v>
      </c>
      <c r="AP759" s="8">
        <v>0</v>
      </c>
      <c r="AQ759" s="8">
        <v>0</v>
      </c>
      <c r="AR759" s="9">
        <v>8</v>
      </c>
      <c r="AS759" s="8">
        <v>0</v>
      </c>
      <c r="AT759" s="8">
        <v>0</v>
      </c>
      <c r="AU759" s="8">
        <v>0</v>
      </c>
      <c r="AV759" s="8">
        <v>0</v>
      </c>
      <c r="AW759" s="9">
        <v>8</v>
      </c>
      <c r="AX759" s="9" t="s">
        <v>3355</v>
      </c>
      <c r="AY759" s="8"/>
      <c r="AZ759">
        <v>2</v>
      </c>
      <c r="BA759" t="s">
        <v>3356</v>
      </c>
      <c r="BB759" t="s">
        <v>3357</v>
      </c>
    </row>
    <row r="760" spans="1:54">
      <c r="A760" s="6">
        <v>45849</v>
      </c>
      <c r="B760" s="7" t="s">
        <v>3358</v>
      </c>
      <c r="C760" t="s">
        <v>668</v>
      </c>
      <c r="D760" t="s">
        <v>3139</v>
      </c>
      <c r="E760" t="s">
        <v>1275</v>
      </c>
      <c r="F760" t="s">
        <v>1275</v>
      </c>
      <c r="G760" t="s">
        <v>2781</v>
      </c>
      <c r="H760" s="8" t="s">
        <v>221</v>
      </c>
      <c r="I760" s="8" t="s">
        <v>221</v>
      </c>
      <c r="J760" s="8" t="s">
        <v>221</v>
      </c>
      <c r="K760" s="8" t="s">
        <v>221</v>
      </c>
      <c r="L760" s="8" t="s">
        <v>221</v>
      </c>
      <c r="M760" s="8" t="s">
        <v>221</v>
      </c>
      <c r="N760" s="8" t="s">
        <v>208</v>
      </c>
      <c r="O760" s="8" t="s">
        <v>208</v>
      </c>
      <c r="Q760" t="s">
        <v>3359</v>
      </c>
      <c r="R760" t="s">
        <v>3360</v>
      </c>
      <c r="U760" t="s">
        <v>3361</v>
      </c>
      <c r="V760" t="s">
        <v>2909</v>
      </c>
      <c r="W760" t="s">
        <v>212</v>
      </c>
      <c r="X760" t="s">
        <v>212</v>
      </c>
      <c r="Y760" t="s">
        <v>275</v>
      </c>
      <c r="Z760" t="s">
        <v>213</v>
      </c>
      <c r="AA760" t="s">
        <v>214</v>
      </c>
      <c r="AB760" t="s">
        <v>285</v>
      </c>
      <c r="AC760" t="s">
        <v>701</v>
      </c>
      <c r="AD760" t="s">
        <v>3250</v>
      </c>
      <c r="AE760" t="s">
        <v>2121</v>
      </c>
      <c r="AG760" s="8" t="s">
        <v>218</v>
      </c>
      <c r="AH760" t="s">
        <v>2256</v>
      </c>
      <c r="AI760" s="8" t="s">
        <v>221</v>
      </c>
      <c r="AJ760" s="9" t="s">
        <v>218</v>
      </c>
      <c r="AK760" t="s">
        <v>234</v>
      </c>
      <c r="AL760" s="8" t="s">
        <v>221</v>
      </c>
      <c r="AM760" s="9" t="s">
        <v>218</v>
      </c>
      <c r="AN760" s="8" t="s">
        <v>221</v>
      </c>
      <c r="AO760" s="8" t="s">
        <v>222</v>
      </c>
      <c r="AP760" s="8">
        <v>0</v>
      </c>
      <c r="AQ760" s="8">
        <v>0</v>
      </c>
      <c r="AR760" s="9">
        <v>4</v>
      </c>
      <c r="AS760" s="8">
        <v>0</v>
      </c>
      <c r="AT760" s="8">
        <v>0</v>
      </c>
      <c r="AU760" s="8">
        <v>0</v>
      </c>
      <c r="AV760" s="8">
        <v>0</v>
      </c>
      <c r="AW760" s="9">
        <v>4</v>
      </c>
      <c r="AX760" s="8"/>
      <c r="AY760" s="8"/>
      <c r="AZ760">
        <v>2</v>
      </c>
      <c r="BA760" t="s">
        <v>3362</v>
      </c>
      <c r="BB760" t="s">
        <v>3363</v>
      </c>
    </row>
    <row r="761" spans="1:54">
      <c r="A761" s="6">
        <v>45849</v>
      </c>
      <c r="B761" s="7" t="s">
        <v>2905</v>
      </c>
      <c r="C761" t="s">
        <v>668</v>
      </c>
      <c r="D761" t="s">
        <v>3139</v>
      </c>
      <c r="E761" t="s">
        <v>1275</v>
      </c>
      <c r="F761" t="s">
        <v>1275</v>
      </c>
      <c r="G761" t="s">
        <v>2781</v>
      </c>
      <c r="H761" s="8" t="s">
        <v>221</v>
      </c>
      <c r="I761" s="8" t="s">
        <v>221</v>
      </c>
      <c r="J761" s="8" t="s">
        <v>221</v>
      </c>
      <c r="K761" s="8" t="s">
        <v>221</v>
      </c>
      <c r="L761" s="8" t="s">
        <v>221</v>
      </c>
      <c r="M761" s="8" t="s">
        <v>221</v>
      </c>
      <c r="N761" s="8" t="s">
        <v>208</v>
      </c>
      <c r="O761" s="8" t="s">
        <v>208</v>
      </c>
      <c r="Q761" t="s">
        <v>2906</v>
      </c>
      <c r="R761" t="s">
        <v>2907</v>
      </c>
      <c r="U761" t="s">
        <v>2908</v>
      </c>
      <c r="V761" t="s">
        <v>2909</v>
      </c>
      <c r="W761" t="s">
        <v>212</v>
      </c>
      <c r="X761" t="s">
        <v>212</v>
      </c>
      <c r="Y761" t="s">
        <v>275</v>
      </c>
      <c r="Z761" t="s">
        <v>213</v>
      </c>
      <c r="AA761" t="s">
        <v>214</v>
      </c>
      <c r="AB761" t="s">
        <v>285</v>
      </c>
      <c r="AC761" t="s">
        <v>701</v>
      </c>
      <c r="AD761" t="s">
        <v>3250</v>
      </c>
      <c r="AE761" t="s">
        <v>2121</v>
      </c>
      <c r="AG761" s="8" t="s">
        <v>218</v>
      </c>
      <c r="AH761" t="s">
        <v>2256</v>
      </c>
      <c r="AI761" s="8" t="s">
        <v>221</v>
      </c>
      <c r="AJ761" s="9" t="s">
        <v>218</v>
      </c>
      <c r="AK761" t="s">
        <v>234</v>
      </c>
      <c r="AL761" s="8" t="s">
        <v>221</v>
      </c>
      <c r="AM761" s="9" t="s">
        <v>218</v>
      </c>
      <c r="AN761" s="8" t="s">
        <v>221</v>
      </c>
      <c r="AO761" s="8" t="s">
        <v>222</v>
      </c>
      <c r="AP761" s="8">
        <v>0</v>
      </c>
      <c r="AQ761" s="8">
        <v>0</v>
      </c>
      <c r="AR761" s="9">
        <v>29</v>
      </c>
      <c r="AS761" s="8">
        <v>0</v>
      </c>
      <c r="AT761" s="8">
        <v>0</v>
      </c>
      <c r="AU761" s="8">
        <v>0</v>
      </c>
      <c r="AV761" s="8">
        <v>0</v>
      </c>
      <c r="AW761" s="9">
        <v>29</v>
      </c>
      <c r="AX761" s="8"/>
      <c r="AY761" s="8"/>
      <c r="AZ761">
        <v>5</v>
      </c>
      <c r="BA761" t="s">
        <v>3364</v>
      </c>
      <c r="BB761" t="s">
        <v>2911</v>
      </c>
    </row>
    <row r="762" spans="1:54">
      <c r="A762" s="6">
        <v>45849</v>
      </c>
      <c r="B762" s="7" t="s">
        <v>3365</v>
      </c>
      <c r="C762" t="s">
        <v>668</v>
      </c>
      <c r="D762" t="s">
        <v>3139</v>
      </c>
      <c r="E762" t="s">
        <v>1275</v>
      </c>
      <c r="F762" t="s">
        <v>1275</v>
      </c>
      <c r="G762" t="s">
        <v>2781</v>
      </c>
      <c r="H762" s="8" t="s">
        <v>221</v>
      </c>
      <c r="I762" s="8" t="s">
        <v>221</v>
      </c>
      <c r="J762" s="8" t="s">
        <v>221</v>
      </c>
      <c r="K762" s="8" t="s">
        <v>221</v>
      </c>
      <c r="L762" s="8" t="s">
        <v>221</v>
      </c>
      <c r="M762" s="8" t="s">
        <v>221</v>
      </c>
      <c r="N762" s="8" t="s">
        <v>208</v>
      </c>
      <c r="O762" s="8" t="s">
        <v>208</v>
      </c>
      <c r="Q762" t="s">
        <v>3366</v>
      </c>
      <c r="R762" t="s">
        <v>3367</v>
      </c>
      <c r="U762" t="s">
        <v>3368</v>
      </c>
      <c r="V762" t="s">
        <v>127</v>
      </c>
      <c r="W762" t="s">
        <v>212</v>
      </c>
      <c r="X762" t="s">
        <v>212</v>
      </c>
      <c r="Y762" t="s">
        <v>275</v>
      </c>
      <c r="Z762" t="s">
        <v>213</v>
      </c>
      <c r="AA762" t="s">
        <v>214</v>
      </c>
      <c r="AB762" t="s">
        <v>758</v>
      </c>
      <c r="AC762" t="s">
        <v>215</v>
      </c>
      <c r="AD762" t="s">
        <v>3250</v>
      </c>
      <c r="AE762" t="s">
        <v>2121</v>
      </c>
      <c r="AG762" s="8" t="s">
        <v>218</v>
      </c>
      <c r="AH762" t="s">
        <v>2256</v>
      </c>
      <c r="AI762" s="8" t="s">
        <v>221</v>
      </c>
      <c r="AJ762" s="9" t="s">
        <v>218</v>
      </c>
      <c r="AK762" t="s">
        <v>234</v>
      </c>
      <c r="AL762" s="8" t="s">
        <v>221</v>
      </c>
      <c r="AM762" s="9" t="s">
        <v>218</v>
      </c>
      <c r="AN762" s="8" t="s">
        <v>221</v>
      </c>
      <c r="AO762" s="8" t="s">
        <v>222</v>
      </c>
      <c r="AP762" s="8">
        <v>0</v>
      </c>
      <c r="AQ762" s="8">
        <v>0</v>
      </c>
      <c r="AR762" s="8">
        <v>0</v>
      </c>
      <c r="AS762" s="8">
        <v>0</v>
      </c>
      <c r="AT762" s="8">
        <v>0</v>
      </c>
      <c r="AU762" s="8">
        <v>0</v>
      </c>
      <c r="AV762" s="8">
        <v>0</v>
      </c>
      <c r="AW762" s="8">
        <v>0</v>
      </c>
      <c r="AX762" s="8"/>
      <c r="AY762" s="8"/>
      <c r="AZ762">
        <v>2</v>
      </c>
      <c r="BA762" t="s">
        <v>3369</v>
      </c>
      <c r="BB762" t="s">
        <v>3370</v>
      </c>
    </row>
    <row r="763" spans="1:54">
      <c r="A763" s="6">
        <v>45849</v>
      </c>
      <c r="B763" s="7" t="s">
        <v>3371</v>
      </c>
      <c r="C763" t="s">
        <v>668</v>
      </c>
      <c r="D763" t="s">
        <v>3139</v>
      </c>
      <c r="E763" t="s">
        <v>1275</v>
      </c>
      <c r="F763" t="s">
        <v>1275</v>
      </c>
      <c r="G763" t="s">
        <v>2781</v>
      </c>
      <c r="H763" s="8" t="s">
        <v>221</v>
      </c>
      <c r="I763" s="8" t="s">
        <v>221</v>
      </c>
      <c r="J763" s="8" t="s">
        <v>221</v>
      </c>
      <c r="K763" s="8" t="s">
        <v>221</v>
      </c>
      <c r="L763" s="8" t="s">
        <v>221</v>
      </c>
      <c r="M763" s="8" t="s">
        <v>221</v>
      </c>
      <c r="N763" s="8" t="s">
        <v>208</v>
      </c>
      <c r="O763" s="8" t="s">
        <v>208</v>
      </c>
      <c r="Q763" t="s">
        <v>3372</v>
      </c>
      <c r="R763" t="s">
        <v>3373</v>
      </c>
      <c r="U763" t="s">
        <v>3374</v>
      </c>
      <c r="V763" t="s">
        <v>2909</v>
      </c>
      <c r="W763" t="s">
        <v>212</v>
      </c>
      <c r="X763" t="s">
        <v>212</v>
      </c>
      <c r="Y763" t="s">
        <v>275</v>
      </c>
      <c r="Z763" t="s">
        <v>213</v>
      </c>
      <c r="AA763" t="s">
        <v>214</v>
      </c>
      <c r="AB763" t="s">
        <v>701</v>
      </c>
      <c r="AC763" t="s">
        <v>242</v>
      </c>
      <c r="AD763" t="s">
        <v>3250</v>
      </c>
      <c r="AE763" t="s">
        <v>2121</v>
      </c>
      <c r="AG763" s="8" t="s">
        <v>218</v>
      </c>
      <c r="AH763" t="s">
        <v>2256</v>
      </c>
      <c r="AI763" s="8" t="s">
        <v>221</v>
      </c>
      <c r="AJ763" s="9" t="s">
        <v>218</v>
      </c>
      <c r="AK763" t="s">
        <v>234</v>
      </c>
      <c r="AL763" s="8" t="s">
        <v>221</v>
      </c>
      <c r="AM763" s="9" t="s">
        <v>218</v>
      </c>
      <c r="AN763" s="8" t="s">
        <v>221</v>
      </c>
      <c r="AO763" s="8" t="s">
        <v>222</v>
      </c>
      <c r="AP763" s="8">
        <v>0</v>
      </c>
      <c r="AQ763" s="8">
        <v>0</v>
      </c>
      <c r="AR763" s="8">
        <v>0</v>
      </c>
      <c r="AS763" s="8">
        <v>0</v>
      </c>
      <c r="AT763" s="8">
        <v>0</v>
      </c>
      <c r="AU763" s="8">
        <v>0</v>
      </c>
      <c r="AV763" s="8">
        <v>0</v>
      </c>
      <c r="AW763" s="8">
        <v>0</v>
      </c>
      <c r="AX763" s="8"/>
      <c r="AY763" s="8"/>
      <c r="AZ763">
        <v>2</v>
      </c>
      <c r="BA763" t="s">
        <v>3375</v>
      </c>
      <c r="BB763" t="s">
        <v>3376</v>
      </c>
    </row>
    <row r="764" spans="1:54">
      <c r="A764" s="6">
        <v>45849</v>
      </c>
      <c r="B764" s="7" t="s">
        <v>3377</v>
      </c>
      <c r="C764" t="s">
        <v>387</v>
      </c>
      <c r="D764" t="s">
        <v>3139</v>
      </c>
      <c r="E764" t="s">
        <v>1275</v>
      </c>
      <c r="F764" t="s">
        <v>1275</v>
      </c>
      <c r="G764" t="s">
        <v>2781</v>
      </c>
      <c r="H764" s="8" t="s">
        <v>221</v>
      </c>
      <c r="I764" s="8" t="s">
        <v>221</v>
      </c>
      <c r="J764" s="8" t="s">
        <v>221</v>
      </c>
      <c r="K764" s="8" t="s">
        <v>221</v>
      </c>
      <c r="L764" s="8" t="s">
        <v>221</v>
      </c>
      <c r="M764" s="8" t="s">
        <v>221</v>
      </c>
      <c r="N764" s="8" t="s">
        <v>208</v>
      </c>
      <c r="O764" s="8" t="s">
        <v>208</v>
      </c>
      <c r="Q764" t="s">
        <v>3378</v>
      </c>
      <c r="R764" t="s">
        <v>3379</v>
      </c>
      <c r="U764" t="s">
        <v>3380</v>
      </c>
      <c r="V764" t="s">
        <v>83</v>
      </c>
      <c r="W764" t="s">
        <v>298</v>
      </c>
      <c r="X764" t="s">
        <v>298</v>
      </c>
      <c r="Y764" t="s">
        <v>1103</v>
      </c>
      <c r="Z764" t="s">
        <v>299</v>
      </c>
      <c r="AA764" t="s">
        <v>732</v>
      </c>
      <c r="AB764" t="s">
        <v>603</v>
      </c>
      <c r="AC764" t="s">
        <v>391</v>
      </c>
      <c r="AD764" t="s">
        <v>3144</v>
      </c>
      <c r="AE764" t="s">
        <v>732</v>
      </c>
      <c r="AG764" s="8" t="s">
        <v>218</v>
      </c>
      <c r="AH764" t="s">
        <v>2283</v>
      </c>
      <c r="AI764" s="8" t="s">
        <v>221</v>
      </c>
      <c r="AJ764" s="8" t="s">
        <v>221</v>
      </c>
      <c r="AK764" t="s">
        <v>3381</v>
      </c>
      <c r="AL764" s="8" t="s">
        <v>221</v>
      </c>
      <c r="AM764" s="9" t="s">
        <v>218</v>
      </c>
      <c r="AN764" s="8" t="s">
        <v>221</v>
      </c>
      <c r="AO764" s="8" t="s">
        <v>222</v>
      </c>
      <c r="AP764" s="8">
        <v>0</v>
      </c>
      <c r="AQ764" s="8">
        <v>0</v>
      </c>
      <c r="AR764" s="9">
        <v>15</v>
      </c>
      <c r="AS764" s="8">
        <v>0</v>
      </c>
      <c r="AT764" s="8">
        <v>0</v>
      </c>
      <c r="AU764" s="8">
        <v>0</v>
      </c>
      <c r="AV764" s="8">
        <v>0</v>
      </c>
      <c r="AW764" s="9">
        <v>15</v>
      </c>
      <c r="AX764" s="9" t="s">
        <v>3382</v>
      </c>
      <c r="AY764" s="8"/>
      <c r="AZ764">
        <v>2</v>
      </c>
      <c r="BA764" t="s">
        <v>3383</v>
      </c>
      <c r="BB764" t="s">
        <v>3384</v>
      </c>
    </row>
    <row r="765" spans="1:54">
      <c r="A765" s="6">
        <v>45849</v>
      </c>
      <c r="B765" s="7" t="s">
        <v>3385</v>
      </c>
      <c r="C765" t="s">
        <v>387</v>
      </c>
      <c r="D765" t="s">
        <v>3139</v>
      </c>
      <c r="E765" t="s">
        <v>1275</v>
      </c>
      <c r="F765" t="s">
        <v>1275</v>
      </c>
      <c r="G765" t="s">
        <v>2781</v>
      </c>
      <c r="H765" s="8" t="s">
        <v>221</v>
      </c>
      <c r="I765" s="8" t="s">
        <v>221</v>
      </c>
      <c r="J765" s="8" t="s">
        <v>221</v>
      </c>
      <c r="K765" s="8" t="s">
        <v>221</v>
      </c>
      <c r="L765" s="8" t="s">
        <v>221</v>
      </c>
      <c r="M765" s="8" t="s">
        <v>221</v>
      </c>
      <c r="N765" s="8" t="s">
        <v>208</v>
      </c>
      <c r="O765" s="8" t="s">
        <v>208</v>
      </c>
      <c r="Q765" t="s">
        <v>3386</v>
      </c>
      <c r="R765" t="s">
        <v>3387</v>
      </c>
      <c r="U765" t="s">
        <v>3388</v>
      </c>
      <c r="V765" t="s">
        <v>2909</v>
      </c>
      <c r="W765" t="s">
        <v>298</v>
      </c>
      <c r="X765" t="s">
        <v>298</v>
      </c>
      <c r="Y765" t="s">
        <v>1103</v>
      </c>
      <c r="Z765" t="s">
        <v>299</v>
      </c>
      <c r="AA765" t="s">
        <v>1711</v>
      </c>
      <c r="AB765" t="s">
        <v>425</v>
      </c>
      <c r="AC765" t="s">
        <v>465</v>
      </c>
      <c r="AD765" t="s">
        <v>3144</v>
      </c>
      <c r="AE765" t="s">
        <v>1711</v>
      </c>
      <c r="AG765" s="8" t="s">
        <v>218</v>
      </c>
      <c r="AH765" t="s">
        <v>2283</v>
      </c>
      <c r="AI765" s="8" t="s">
        <v>221</v>
      </c>
      <c r="AJ765" s="8" t="s">
        <v>221</v>
      </c>
      <c r="AK765" t="s">
        <v>3389</v>
      </c>
      <c r="AL765" s="8" t="s">
        <v>221</v>
      </c>
      <c r="AM765" s="9" t="s">
        <v>218</v>
      </c>
      <c r="AN765" s="8" t="s">
        <v>221</v>
      </c>
      <c r="AO765" s="8" t="s">
        <v>222</v>
      </c>
      <c r="AP765" s="8">
        <v>0</v>
      </c>
      <c r="AQ765" s="8">
        <v>0</v>
      </c>
      <c r="AR765" s="8">
        <v>0</v>
      </c>
      <c r="AS765" s="8">
        <v>0</v>
      </c>
      <c r="AT765" s="8">
        <v>0</v>
      </c>
      <c r="AU765" s="8">
        <v>0</v>
      </c>
      <c r="AV765" s="8">
        <v>0</v>
      </c>
      <c r="AW765" s="8">
        <v>0</v>
      </c>
      <c r="AX765" s="8"/>
      <c r="AY765" s="8"/>
      <c r="AZ765">
        <v>2</v>
      </c>
      <c r="BA765" t="s">
        <v>3390</v>
      </c>
      <c r="BB765" t="s">
        <v>3391</v>
      </c>
    </row>
    <row r="766" spans="1:54">
      <c r="A766" s="6">
        <v>45849</v>
      </c>
      <c r="B766" s="7" t="s">
        <v>3392</v>
      </c>
      <c r="C766" t="s">
        <v>387</v>
      </c>
      <c r="D766" t="s">
        <v>3139</v>
      </c>
      <c r="E766" t="s">
        <v>1275</v>
      </c>
      <c r="F766" t="s">
        <v>1275</v>
      </c>
      <c r="G766" t="s">
        <v>2781</v>
      </c>
      <c r="H766" s="8" t="s">
        <v>221</v>
      </c>
      <c r="I766" s="8" t="s">
        <v>221</v>
      </c>
      <c r="J766" s="8" t="s">
        <v>221</v>
      </c>
      <c r="K766" s="8" t="s">
        <v>221</v>
      </c>
      <c r="L766" s="8" t="s">
        <v>221</v>
      </c>
      <c r="M766" s="8" t="s">
        <v>221</v>
      </c>
      <c r="N766" s="8" t="s">
        <v>208</v>
      </c>
      <c r="O766" s="8" t="s">
        <v>208</v>
      </c>
      <c r="Q766" t="s">
        <v>3393</v>
      </c>
      <c r="R766" t="s">
        <v>3394</v>
      </c>
      <c r="U766" t="s">
        <v>3395</v>
      </c>
      <c r="V766" t="s">
        <v>89</v>
      </c>
      <c r="W766" t="s">
        <v>298</v>
      </c>
      <c r="X766" t="s">
        <v>298</v>
      </c>
      <c r="Y766" t="s">
        <v>1103</v>
      </c>
      <c r="Z766" t="s">
        <v>299</v>
      </c>
      <c r="AA766" t="s">
        <v>2561</v>
      </c>
      <c r="AB766" t="s">
        <v>301</v>
      </c>
      <c r="AC766" t="s">
        <v>312</v>
      </c>
      <c r="AD766" t="s">
        <v>3144</v>
      </c>
      <c r="AE766" t="s">
        <v>2562</v>
      </c>
      <c r="AG766" s="8" t="s">
        <v>218</v>
      </c>
      <c r="AH766" t="s">
        <v>2283</v>
      </c>
      <c r="AI766" s="8" t="s">
        <v>221</v>
      </c>
      <c r="AJ766" s="8" t="s">
        <v>221</v>
      </c>
      <c r="AK766" t="s">
        <v>234</v>
      </c>
      <c r="AL766" s="8" t="s">
        <v>221</v>
      </c>
      <c r="AM766" s="9" t="s">
        <v>218</v>
      </c>
      <c r="AN766" s="8" t="s">
        <v>221</v>
      </c>
      <c r="AO766" s="8" t="s">
        <v>222</v>
      </c>
      <c r="AP766" s="8">
        <v>0</v>
      </c>
      <c r="AQ766" s="8">
        <v>0</v>
      </c>
      <c r="AR766" s="8">
        <v>0</v>
      </c>
      <c r="AS766" s="8">
        <v>0</v>
      </c>
      <c r="AT766" s="8">
        <v>0</v>
      </c>
      <c r="AU766" s="8">
        <v>0</v>
      </c>
      <c r="AV766" s="8">
        <v>0</v>
      </c>
      <c r="AW766" s="8">
        <v>0</v>
      </c>
      <c r="AX766" s="8"/>
      <c r="AY766" s="8"/>
      <c r="AZ766">
        <v>2</v>
      </c>
      <c r="BA766" t="s">
        <v>3396</v>
      </c>
      <c r="BB766" t="s">
        <v>3397</v>
      </c>
    </row>
    <row r="767" spans="1:54">
      <c r="A767" s="6">
        <v>45849</v>
      </c>
      <c r="B767" s="7" t="s">
        <v>3398</v>
      </c>
      <c r="C767" t="s">
        <v>387</v>
      </c>
      <c r="D767" t="s">
        <v>3139</v>
      </c>
      <c r="E767" t="s">
        <v>1275</v>
      </c>
      <c r="F767" t="s">
        <v>1275</v>
      </c>
      <c r="G767" t="s">
        <v>2781</v>
      </c>
      <c r="H767" s="8" t="s">
        <v>221</v>
      </c>
      <c r="I767" s="8" t="s">
        <v>221</v>
      </c>
      <c r="J767" s="8" t="s">
        <v>221</v>
      </c>
      <c r="K767" s="8" t="s">
        <v>221</v>
      </c>
      <c r="L767" s="8" t="s">
        <v>221</v>
      </c>
      <c r="M767" s="8" t="s">
        <v>221</v>
      </c>
      <c r="N767" s="8" t="s">
        <v>208</v>
      </c>
      <c r="O767" s="8" t="s">
        <v>208</v>
      </c>
      <c r="Q767" t="s">
        <v>3399</v>
      </c>
      <c r="R767" t="s">
        <v>3400</v>
      </c>
      <c r="U767" t="s">
        <v>3401</v>
      </c>
      <c r="V767" t="s">
        <v>89</v>
      </c>
      <c r="W767" t="s">
        <v>298</v>
      </c>
      <c r="X767" t="s">
        <v>298</v>
      </c>
      <c r="Y767" t="s">
        <v>1103</v>
      </c>
      <c r="Z767" t="s">
        <v>299</v>
      </c>
      <c r="AA767" t="s">
        <v>2561</v>
      </c>
      <c r="AB767" t="s">
        <v>603</v>
      </c>
      <c r="AC767" t="s">
        <v>408</v>
      </c>
      <c r="AD767" t="s">
        <v>3144</v>
      </c>
      <c r="AE767" t="s">
        <v>2562</v>
      </c>
      <c r="AG767" s="8" t="s">
        <v>218</v>
      </c>
      <c r="AH767" t="s">
        <v>2283</v>
      </c>
      <c r="AI767" s="8" t="s">
        <v>221</v>
      </c>
      <c r="AJ767" s="8" t="s">
        <v>221</v>
      </c>
      <c r="AK767" t="s">
        <v>3402</v>
      </c>
      <c r="AL767" s="8" t="s">
        <v>221</v>
      </c>
      <c r="AM767" s="9" t="s">
        <v>218</v>
      </c>
      <c r="AN767" s="8" t="s">
        <v>221</v>
      </c>
      <c r="AO767" s="8" t="s">
        <v>222</v>
      </c>
      <c r="AP767" s="8">
        <v>0</v>
      </c>
      <c r="AQ767" s="8">
        <v>0</v>
      </c>
      <c r="AR767" s="9">
        <v>17</v>
      </c>
      <c r="AS767" s="8">
        <v>0</v>
      </c>
      <c r="AT767" s="8">
        <v>0</v>
      </c>
      <c r="AU767" s="8">
        <v>0</v>
      </c>
      <c r="AV767" s="8">
        <v>0</v>
      </c>
      <c r="AW767" s="9">
        <v>17</v>
      </c>
      <c r="AX767" s="8"/>
      <c r="AY767" s="8"/>
      <c r="AZ767">
        <v>7</v>
      </c>
      <c r="BA767" t="s">
        <v>3403</v>
      </c>
      <c r="BB767" t="s">
        <v>3404</v>
      </c>
    </row>
    <row r="768" spans="1:54">
      <c r="A768" s="6">
        <v>45849</v>
      </c>
      <c r="B768" s="7" t="s">
        <v>3405</v>
      </c>
      <c r="C768" t="s">
        <v>387</v>
      </c>
      <c r="D768" t="s">
        <v>3139</v>
      </c>
      <c r="E768" t="s">
        <v>1275</v>
      </c>
      <c r="F768" t="s">
        <v>1275</v>
      </c>
      <c r="G768" t="s">
        <v>2781</v>
      </c>
      <c r="H768" s="8" t="s">
        <v>221</v>
      </c>
      <c r="I768" s="8" t="s">
        <v>221</v>
      </c>
      <c r="J768" s="8" t="s">
        <v>221</v>
      </c>
      <c r="K768" s="8" t="s">
        <v>221</v>
      </c>
      <c r="L768" s="8" t="s">
        <v>221</v>
      </c>
      <c r="M768" s="8" t="s">
        <v>221</v>
      </c>
      <c r="N768" s="8" t="s">
        <v>208</v>
      </c>
      <c r="O768" s="8" t="s">
        <v>208</v>
      </c>
      <c r="Q768" t="s">
        <v>3406</v>
      </c>
      <c r="R768" t="s">
        <v>3407</v>
      </c>
      <c r="U768" t="s">
        <v>3408</v>
      </c>
      <c r="V768" t="s">
        <v>89</v>
      </c>
      <c r="W768" t="s">
        <v>298</v>
      </c>
      <c r="X768" t="s">
        <v>298</v>
      </c>
      <c r="Y768" t="s">
        <v>1103</v>
      </c>
      <c r="Z768" t="s">
        <v>299</v>
      </c>
      <c r="AA768" t="s">
        <v>2561</v>
      </c>
      <c r="AB768" t="s">
        <v>301</v>
      </c>
      <c r="AC768" t="s">
        <v>312</v>
      </c>
      <c r="AD768" t="s">
        <v>3144</v>
      </c>
      <c r="AE768" t="s">
        <v>2562</v>
      </c>
      <c r="AG768" s="8" t="s">
        <v>218</v>
      </c>
      <c r="AH768" t="s">
        <v>2283</v>
      </c>
      <c r="AI768" s="8" t="s">
        <v>221</v>
      </c>
      <c r="AJ768" s="8" t="s">
        <v>221</v>
      </c>
      <c r="AK768" t="s">
        <v>3409</v>
      </c>
      <c r="AL768" s="8" t="s">
        <v>221</v>
      </c>
      <c r="AM768" s="9" t="s">
        <v>218</v>
      </c>
      <c r="AN768" s="8" t="s">
        <v>221</v>
      </c>
      <c r="AO768" s="8" t="s">
        <v>222</v>
      </c>
      <c r="AP768" s="8">
        <v>0</v>
      </c>
      <c r="AQ768" s="8">
        <v>0</v>
      </c>
      <c r="AR768" s="8">
        <v>0</v>
      </c>
      <c r="AS768" s="8">
        <v>0</v>
      </c>
      <c r="AT768" s="8">
        <v>0</v>
      </c>
      <c r="AU768" s="8">
        <v>0</v>
      </c>
      <c r="AV768" s="8">
        <v>0</v>
      </c>
      <c r="AW768" s="8">
        <v>0</v>
      </c>
      <c r="AX768" s="8"/>
      <c r="AY768" s="8"/>
      <c r="AZ768">
        <v>6</v>
      </c>
      <c r="BA768" t="s">
        <v>3410</v>
      </c>
      <c r="BB768" t="s">
        <v>3411</v>
      </c>
    </row>
    <row r="769" spans="1:54">
      <c r="A769" s="6">
        <v>45849</v>
      </c>
      <c r="B769" s="7" t="s">
        <v>3412</v>
      </c>
      <c r="C769" t="s">
        <v>668</v>
      </c>
      <c r="D769" t="s">
        <v>3139</v>
      </c>
      <c r="E769" t="s">
        <v>1275</v>
      </c>
      <c r="F769" t="s">
        <v>1275</v>
      </c>
      <c r="G769" t="s">
        <v>2781</v>
      </c>
      <c r="H769" s="8" t="s">
        <v>221</v>
      </c>
      <c r="I769" s="8" t="s">
        <v>221</v>
      </c>
      <c r="J769" s="8" t="s">
        <v>221</v>
      </c>
      <c r="K769" s="8" t="s">
        <v>221</v>
      </c>
      <c r="L769" s="8" t="s">
        <v>221</v>
      </c>
      <c r="M769" s="8" t="s">
        <v>221</v>
      </c>
      <c r="N769" s="8" t="s">
        <v>208</v>
      </c>
      <c r="O769" s="8" t="s">
        <v>208</v>
      </c>
      <c r="Q769" t="s">
        <v>3413</v>
      </c>
      <c r="R769" t="s">
        <v>3414</v>
      </c>
      <c r="U769" t="s">
        <v>3415</v>
      </c>
      <c r="V769" t="s">
        <v>138</v>
      </c>
      <c r="W769" t="s">
        <v>212</v>
      </c>
      <c r="X769" t="s">
        <v>212</v>
      </c>
      <c r="Y769" t="s">
        <v>275</v>
      </c>
      <c r="Z769" t="s">
        <v>213</v>
      </c>
      <c r="AA769" t="s">
        <v>214</v>
      </c>
      <c r="AB769" t="s">
        <v>701</v>
      </c>
      <c r="AC769" t="s">
        <v>242</v>
      </c>
      <c r="AD769" t="s">
        <v>3250</v>
      </c>
      <c r="AE769" t="s">
        <v>2121</v>
      </c>
      <c r="AG769" s="8" t="s">
        <v>218</v>
      </c>
      <c r="AH769" t="s">
        <v>2256</v>
      </c>
      <c r="AI769" s="8" t="s">
        <v>221</v>
      </c>
      <c r="AJ769" s="9" t="s">
        <v>218</v>
      </c>
      <c r="AK769" t="s">
        <v>3416</v>
      </c>
      <c r="AL769" s="8" t="s">
        <v>221</v>
      </c>
      <c r="AM769" s="9" t="s">
        <v>218</v>
      </c>
      <c r="AN769" s="8" t="s">
        <v>221</v>
      </c>
      <c r="AO769" s="8" t="s">
        <v>222</v>
      </c>
      <c r="AP769" s="8">
        <v>0</v>
      </c>
      <c r="AQ769" s="8">
        <v>0</v>
      </c>
      <c r="AR769" s="8">
        <v>0</v>
      </c>
      <c r="AS769" s="8">
        <v>0</v>
      </c>
      <c r="AT769" s="8">
        <v>0</v>
      </c>
      <c r="AU769" s="8">
        <v>0</v>
      </c>
      <c r="AV769" s="8">
        <v>0</v>
      </c>
      <c r="AW769" s="8">
        <v>0</v>
      </c>
      <c r="AX769" s="8"/>
      <c r="AY769" s="8"/>
      <c r="AZ769">
        <v>2</v>
      </c>
      <c r="BA769" t="s">
        <v>3417</v>
      </c>
      <c r="BB769" t="s">
        <v>3418</v>
      </c>
    </row>
    <row r="770" spans="1:54">
      <c r="A770" s="6">
        <v>45849</v>
      </c>
      <c r="B770" s="7" t="s">
        <v>1450</v>
      </c>
      <c r="C770" t="s">
        <v>205</v>
      </c>
      <c r="D770" t="s">
        <v>3419</v>
      </c>
      <c r="G770" t="s">
        <v>207</v>
      </c>
      <c r="H770" s="8" t="s">
        <v>208</v>
      </c>
      <c r="I770" s="8" t="s">
        <v>208</v>
      </c>
      <c r="J770" s="8" t="s">
        <v>208</v>
      </c>
      <c r="K770" s="8" t="s">
        <v>208</v>
      </c>
      <c r="L770" s="8" t="s">
        <v>208</v>
      </c>
      <c r="M770" s="8" t="s">
        <v>208</v>
      </c>
      <c r="N770" s="8" t="s">
        <v>221</v>
      </c>
      <c r="O770" s="8" t="s">
        <v>221</v>
      </c>
      <c r="Q770" t="s">
        <v>1451</v>
      </c>
      <c r="R770" t="s">
        <v>1452</v>
      </c>
      <c r="U770" t="s">
        <v>1453</v>
      </c>
      <c r="V770" t="s">
        <v>138</v>
      </c>
      <c r="W770" t="s">
        <v>212</v>
      </c>
      <c r="X770" t="s">
        <v>212</v>
      </c>
      <c r="Y770" t="s">
        <v>275</v>
      </c>
      <c r="Z770" t="s">
        <v>213</v>
      </c>
      <c r="AA770" t="s">
        <v>214</v>
      </c>
      <c r="AB770" t="s">
        <v>758</v>
      </c>
      <c r="AC770" t="s">
        <v>242</v>
      </c>
      <c r="AD770" t="s">
        <v>3258</v>
      </c>
      <c r="AE770" t="s">
        <v>217</v>
      </c>
      <c r="AG770" s="8" t="s">
        <v>218</v>
      </c>
      <c r="AH770" t="s">
        <v>2256</v>
      </c>
      <c r="AI770" s="8" t="s">
        <v>221</v>
      </c>
      <c r="AJ770" s="9" t="s">
        <v>218</v>
      </c>
      <c r="AK770" t="s">
        <v>1454</v>
      </c>
      <c r="AL770" s="8" t="s">
        <v>221</v>
      </c>
      <c r="AM770" s="9" t="s">
        <v>218</v>
      </c>
      <c r="AN770" s="8" t="s">
        <v>221</v>
      </c>
      <c r="AO770" s="8" t="s">
        <v>222</v>
      </c>
      <c r="AP770" s="8">
        <v>0</v>
      </c>
      <c r="AQ770" s="8">
        <v>0</v>
      </c>
      <c r="AR770" s="8">
        <v>0</v>
      </c>
      <c r="AS770" s="8">
        <v>0</v>
      </c>
      <c r="AT770" s="8">
        <v>0</v>
      </c>
      <c r="AU770" s="8">
        <v>0</v>
      </c>
      <c r="AV770" s="8">
        <v>0</v>
      </c>
      <c r="AW770" s="8">
        <v>0</v>
      </c>
      <c r="AX770" s="8"/>
      <c r="AY770" s="8"/>
      <c r="AZ770">
        <v>2</v>
      </c>
      <c r="BA770" t="s">
        <v>3420</v>
      </c>
      <c r="BB770" t="s">
        <v>1457</v>
      </c>
    </row>
    <row r="771" spans="1:54">
      <c r="A771" s="6">
        <v>45849</v>
      </c>
      <c r="B771" s="7" t="s">
        <v>3421</v>
      </c>
      <c r="C771" t="s">
        <v>205</v>
      </c>
      <c r="D771" t="s">
        <v>3419</v>
      </c>
      <c r="G771" t="s">
        <v>207</v>
      </c>
      <c r="H771" s="8" t="s">
        <v>208</v>
      </c>
      <c r="I771" s="8" t="s">
        <v>208</v>
      </c>
      <c r="J771" s="8" t="s">
        <v>208</v>
      </c>
      <c r="K771" s="8" t="s">
        <v>208</v>
      </c>
      <c r="L771" s="8" t="s">
        <v>208</v>
      </c>
      <c r="M771" s="8" t="s">
        <v>208</v>
      </c>
      <c r="N771" s="8" t="s">
        <v>221</v>
      </c>
      <c r="O771" s="8" t="s">
        <v>221</v>
      </c>
      <c r="Q771" t="s">
        <v>3422</v>
      </c>
      <c r="R771" t="s">
        <v>3423</v>
      </c>
      <c r="U771" t="s">
        <v>3424</v>
      </c>
      <c r="V771" t="s">
        <v>140</v>
      </c>
      <c r="W771" t="s">
        <v>212</v>
      </c>
      <c r="Y771" t="s">
        <v>275</v>
      </c>
      <c r="AA771" t="s">
        <v>214</v>
      </c>
      <c r="AB771" t="s">
        <v>242</v>
      </c>
      <c r="AD771" t="s">
        <v>3258</v>
      </c>
      <c r="AE771" t="s">
        <v>217</v>
      </c>
      <c r="AG771" s="8" t="s">
        <v>218</v>
      </c>
      <c r="AH771" t="s">
        <v>2256</v>
      </c>
      <c r="AI771" s="8" t="s">
        <v>221</v>
      </c>
      <c r="AJ771" s="9" t="s">
        <v>218</v>
      </c>
      <c r="AK771" t="s">
        <v>3425</v>
      </c>
      <c r="AL771" s="8" t="s">
        <v>221</v>
      </c>
      <c r="AM771" s="9" t="s">
        <v>218</v>
      </c>
      <c r="AN771" s="8" t="s">
        <v>221</v>
      </c>
      <c r="AO771" s="8" t="s">
        <v>222</v>
      </c>
      <c r="AP771" s="8">
        <v>0</v>
      </c>
      <c r="AQ771" s="8">
        <v>0</v>
      </c>
      <c r="AR771" s="8">
        <v>0</v>
      </c>
      <c r="AS771" s="8">
        <v>0</v>
      </c>
      <c r="AT771" s="8">
        <v>0</v>
      </c>
      <c r="AU771" s="8">
        <v>0</v>
      </c>
      <c r="AV771" s="8">
        <v>0</v>
      </c>
      <c r="AW771" s="8">
        <v>0</v>
      </c>
      <c r="AX771" s="8"/>
      <c r="AY771" s="8"/>
      <c r="AZ771">
        <v>0</v>
      </c>
    </row>
    <row r="772" spans="1:54">
      <c r="A772" s="6">
        <v>45849</v>
      </c>
      <c r="B772" s="7" t="s">
        <v>3426</v>
      </c>
      <c r="C772" t="s">
        <v>205</v>
      </c>
      <c r="D772" t="s">
        <v>3419</v>
      </c>
      <c r="G772" t="s">
        <v>207</v>
      </c>
      <c r="H772" s="8" t="s">
        <v>208</v>
      </c>
      <c r="I772" s="8" t="s">
        <v>208</v>
      </c>
      <c r="J772" s="8" t="s">
        <v>208</v>
      </c>
      <c r="K772" s="8" t="s">
        <v>208</v>
      </c>
      <c r="L772" s="8" t="s">
        <v>208</v>
      </c>
      <c r="M772" s="8" t="s">
        <v>208</v>
      </c>
      <c r="N772" s="8" t="s">
        <v>221</v>
      </c>
      <c r="O772" s="8" t="s">
        <v>221</v>
      </c>
      <c r="Q772" t="s">
        <v>3427</v>
      </c>
      <c r="R772" t="s">
        <v>3428</v>
      </c>
      <c r="U772" t="s">
        <v>3429</v>
      </c>
      <c r="V772" t="s">
        <v>140</v>
      </c>
      <c r="W772" t="s">
        <v>774</v>
      </c>
      <c r="Y772" t="s">
        <v>1082</v>
      </c>
      <c r="AA772" t="s">
        <v>1164</v>
      </c>
      <c r="AB772" t="s">
        <v>425</v>
      </c>
      <c r="AD772" t="s">
        <v>3224</v>
      </c>
      <c r="AE772" t="s">
        <v>2259</v>
      </c>
      <c r="AG772" s="8" t="s">
        <v>218</v>
      </c>
      <c r="AH772" t="s">
        <v>2256</v>
      </c>
      <c r="AI772" s="8" t="s">
        <v>221</v>
      </c>
      <c r="AJ772" s="9" t="s">
        <v>218</v>
      </c>
      <c r="AK772" t="s">
        <v>3430</v>
      </c>
      <c r="AL772" s="8" t="s">
        <v>221</v>
      </c>
      <c r="AM772" s="9" t="s">
        <v>218</v>
      </c>
      <c r="AN772" s="8" t="s">
        <v>221</v>
      </c>
      <c r="AO772" s="8" t="s">
        <v>222</v>
      </c>
      <c r="AP772" s="8">
        <v>0</v>
      </c>
      <c r="AQ772" s="8">
        <v>0</v>
      </c>
      <c r="AR772" s="8">
        <v>0</v>
      </c>
      <c r="AS772" s="8">
        <v>0</v>
      </c>
      <c r="AT772" s="8">
        <v>0</v>
      </c>
      <c r="AU772" s="8">
        <v>0</v>
      </c>
      <c r="AV772" s="8">
        <v>0</v>
      </c>
      <c r="AW772" s="8">
        <v>0</v>
      </c>
      <c r="AX772" s="8"/>
      <c r="AY772" s="8"/>
      <c r="AZ772">
        <v>0</v>
      </c>
    </row>
    <row r="773" spans="1:54">
      <c r="A773" s="6">
        <v>45849</v>
      </c>
      <c r="B773" s="7" t="s">
        <v>3431</v>
      </c>
      <c r="C773" t="s">
        <v>205</v>
      </c>
      <c r="D773" t="s">
        <v>3419</v>
      </c>
      <c r="G773" t="s">
        <v>207</v>
      </c>
      <c r="H773" s="8" t="s">
        <v>208</v>
      </c>
      <c r="I773" s="8" t="s">
        <v>208</v>
      </c>
      <c r="J773" s="8" t="s">
        <v>208</v>
      </c>
      <c r="K773" s="8" t="s">
        <v>208</v>
      </c>
      <c r="L773" s="8" t="s">
        <v>208</v>
      </c>
      <c r="M773" s="8" t="s">
        <v>208</v>
      </c>
      <c r="N773" s="8" t="s">
        <v>221</v>
      </c>
      <c r="O773" s="8" t="s">
        <v>221</v>
      </c>
      <c r="Q773" t="s">
        <v>3432</v>
      </c>
      <c r="R773" t="s">
        <v>3433</v>
      </c>
      <c r="U773" t="s">
        <v>3434</v>
      </c>
      <c r="V773" t="s">
        <v>138</v>
      </c>
      <c r="W773" t="s">
        <v>212</v>
      </c>
      <c r="X773" t="s">
        <v>212</v>
      </c>
      <c r="Y773" t="s">
        <v>275</v>
      </c>
      <c r="Z773" t="s">
        <v>213</v>
      </c>
      <c r="AA773" t="s">
        <v>214</v>
      </c>
      <c r="AB773" t="s">
        <v>701</v>
      </c>
      <c r="AC773" t="s">
        <v>242</v>
      </c>
      <c r="AD773" t="s">
        <v>3258</v>
      </c>
      <c r="AE773" t="s">
        <v>217</v>
      </c>
      <c r="AG773" s="8" t="s">
        <v>218</v>
      </c>
      <c r="AH773" t="s">
        <v>2256</v>
      </c>
      <c r="AI773" s="8" t="s">
        <v>221</v>
      </c>
      <c r="AJ773" s="9" t="s">
        <v>218</v>
      </c>
      <c r="AK773" t="s">
        <v>234</v>
      </c>
      <c r="AL773" s="8" t="s">
        <v>221</v>
      </c>
      <c r="AM773" s="9" t="s">
        <v>218</v>
      </c>
      <c r="AN773" s="8" t="s">
        <v>221</v>
      </c>
      <c r="AO773" s="8" t="s">
        <v>222</v>
      </c>
      <c r="AP773" s="8">
        <v>0</v>
      </c>
      <c r="AQ773" s="8">
        <v>0</v>
      </c>
      <c r="AR773" s="8">
        <v>0</v>
      </c>
      <c r="AS773" s="8">
        <v>0</v>
      </c>
      <c r="AT773" s="8">
        <v>0</v>
      </c>
      <c r="AU773" s="8">
        <v>0</v>
      </c>
      <c r="AV773" s="8">
        <v>0</v>
      </c>
      <c r="AW773" s="8">
        <v>0</v>
      </c>
      <c r="AX773" s="8"/>
      <c r="AY773" s="8"/>
      <c r="AZ773">
        <v>2</v>
      </c>
      <c r="BA773" t="s">
        <v>3435</v>
      </c>
      <c r="BB773" t="s">
        <v>3436</v>
      </c>
    </row>
    <row r="774" spans="1:54">
      <c r="A774" s="6">
        <v>45849</v>
      </c>
      <c r="B774" s="7" t="s">
        <v>3437</v>
      </c>
      <c r="C774" t="s">
        <v>205</v>
      </c>
      <c r="D774" t="s">
        <v>3419</v>
      </c>
      <c r="G774" t="s">
        <v>207</v>
      </c>
      <c r="H774" s="8" t="s">
        <v>208</v>
      </c>
      <c r="I774" s="8" t="s">
        <v>208</v>
      </c>
      <c r="J774" s="8" t="s">
        <v>208</v>
      </c>
      <c r="K774" s="8" t="s">
        <v>208</v>
      </c>
      <c r="L774" s="8" t="s">
        <v>208</v>
      </c>
      <c r="M774" s="8" t="s">
        <v>208</v>
      </c>
      <c r="N774" s="8" t="s">
        <v>221</v>
      </c>
      <c r="O774" s="8" t="s">
        <v>221</v>
      </c>
      <c r="Q774" t="s">
        <v>3438</v>
      </c>
      <c r="R774" t="s">
        <v>3439</v>
      </c>
      <c r="U774" t="s">
        <v>3440</v>
      </c>
      <c r="V774" t="s">
        <v>138</v>
      </c>
      <c r="W774" t="s">
        <v>212</v>
      </c>
      <c r="Y774" t="s">
        <v>275</v>
      </c>
      <c r="AA774" t="s">
        <v>214</v>
      </c>
      <c r="AB774" t="s">
        <v>242</v>
      </c>
      <c r="AD774" t="s">
        <v>3258</v>
      </c>
      <c r="AE774" t="s">
        <v>217</v>
      </c>
      <c r="AG774" s="8" t="s">
        <v>218</v>
      </c>
      <c r="AH774" t="s">
        <v>2256</v>
      </c>
      <c r="AI774" s="8" t="s">
        <v>221</v>
      </c>
      <c r="AJ774" s="9" t="s">
        <v>218</v>
      </c>
      <c r="AK774" t="s">
        <v>3430</v>
      </c>
      <c r="AL774" s="8" t="s">
        <v>221</v>
      </c>
      <c r="AM774" s="9" t="s">
        <v>218</v>
      </c>
      <c r="AN774" s="8" t="s">
        <v>221</v>
      </c>
      <c r="AO774" s="8" t="s">
        <v>222</v>
      </c>
      <c r="AP774" s="8">
        <v>0</v>
      </c>
      <c r="AQ774" s="8">
        <v>0</v>
      </c>
      <c r="AR774" s="8">
        <v>0</v>
      </c>
      <c r="AS774" s="8">
        <v>0</v>
      </c>
      <c r="AT774" s="8">
        <v>0</v>
      </c>
      <c r="AU774" s="8">
        <v>0</v>
      </c>
      <c r="AV774" s="8">
        <v>0</v>
      </c>
      <c r="AW774" s="8">
        <v>0</v>
      </c>
      <c r="AX774" s="8"/>
      <c r="AY774" s="8"/>
      <c r="AZ774">
        <v>0</v>
      </c>
    </row>
    <row r="775" spans="1:54">
      <c r="A775" s="6">
        <v>45849</v>
      </c>
      <c r="B775" s="7" t="s">
        <v>3441</v>
      </c>
      <c r="C775" t="s">
        <v>205</v>
      </c>
      <c r="D775" t="s">
        <v>3419</v>
      </c>
      <c r="G775" t="s">
        <v>207</v>
      </c>
      <c r="H775" s="8" t="s">
        <v>208</v>
      </c>
      <c r="I775" s="8" t="s">
        <v>208</v>
      </c>
      <c r="J775" s="8" t="s">
        <v>208</v>
      </c>
      <c r="K775" s="8" t="s">
        <v>208</v>
      </c>
      <c r="L775" s="8" t="s">
        <v>208</v>
      </c>
      <c r="M775" s="8" t="s">
        <v>208</v>
      </c>
      <c r="N775" s="8" t="s">
        <v>221</v>
      </c>
      <c r="O775" s="8" t="s">
        <v>221</v>
      </c>
      <c r="Q775" t="s">
        <v>3442</v>
      </c>
      <c r="R775" t="s">
        <v>3443</v>
      </c>
      <c r="U775" t="s">
        <v>3444</v>
      </c>
      <c r="V775" t="s">
        <v>140</v>
      </c>
      <c r="W775" t="s">
        <v>212</v>
      </c>
      <c r="Y775" t="s">
        <v>275</v>
      </c>
      <c r="AA775" t="s">
        <v>214</v>
      </c>
      <c r="AB775" t="s">
        <v>242</v>
      </c>
      <c r="AD775" t="s">
        <v>3258</v>
      </c>
      <c r="AE775" t="s">
        <v>217</v>
      </c>
      <c r="AG775" s="8" t="s">
        <v>218</v>
      </c>
      <c r="AH775" t="s">
        <v>2256</v>
      </c>
      <c r="AI775" s="8" t="s">
        <v>221</v>
      </c>
      <c r="AJ775" s="9" t="s">
        <v>218</v>
      </c>
      <c r="AK775" t="s">
        <v>3430</v>
      </c>
      <c r="AL775" s="8" t="s">
        <v>221</v>
      </c>
      <c r="AM775" s="9" t="s">
        <v>218</v>
      </c>
      <c r="AN775" s="8" t="s">
        <v>221</v>
      </c>
      <c r="AO775" s="8" t="s">
        <v>222</v>
      </c>
      <c r="AP775" s="8">
        <v>0</v>
      </c>
      <c r="AQ775" s="8">
        <v>0</v>
      </c>
      <c r="AR775" s="8">
        <v>0</v>
      </c>
      <c r="AS775" s="8">
        <v>0</v>
      </c>
      <c r="AT775" s="8">
        <v>0</v>
      </c>
      <c r="AU775" s="8">
        <v>0</v>
      </c>
      <c r="AV775" s="8">
        <v>0</v>
      </c>
      <c r="AW775" s="8">
        <v>0</v>
      </c>
      <c r="AX775" s="8"/>
      <c r="AY775" s="8"/>
      <c r="AZ775">
        <v>0</v>
      </c>
    </row>
    <row r="776" spans="1:54">
      <c r="A776" s="6">
        <v>45849</v>
      </c>
      <c r="B776" s="7" t="s">
        <v>3445</v>
      </c>
      <c r="C776" t="s">
        <v>205</v>
      </c>
      <c r="D776" t="s">
        <v>3419</v>
      </c>
      <c r="G776" t="s">
        <v>207</v>
      </c>
      <c r="H776" s="8" t="s">
        <v>208</v>
      </c>
      <c r="I776" s="8" t="s">
        <v>208</v>
      </c>
      <c r="J776" s="8" t="s">
        <v>208</v>
      </c>
      <c r="K776" s="8" t="s">
        <v>208</v>
      </c>
      <c r="L776" s="8" t="s">
        <v>208</v>
      </c>
      <c r="M776" s="8" t="s">
        <v>208</v>
      </c>
      <c r="N776" s="8" t="s">
        <v>221</v>
      </c>
      <c r="O776" s="8" t="s">
        <v>221</v>
      </c>
      <c r="Q776" t="s">
        <v>3446</v>
      </c>
      <c r="R776" t="s">
        <v>3447</v>
      </c>
      <c r="U776" t="s">
        <v>3448</v>
      </c>
      <c r="V776" t="s">
        <v>140</v>
      </c>
      <c r="W776" t="s">
        <v>212</v>
      </c>
      <c r="Y776" t="s">
        <v>275</v>
      </c>
      <c r="AA776" t="s">
        <v>214</v>
      </c>
      <c r="AB776" t="s">
        <v>242</v>
      </c>
      <c r="AD776" t="s">
        <v>3258</v>
      </c>
      <c r="AE776" t="s">
        <v>217</v>
      </c>
      <c r="AG776" s="8" t="s">
        <v>218</v>
      </c>
      <c r="AH776" t="s">
        <v>2256</v>
      </c>
      <c r="AI776" s="8" t="s">
        <v>221</v>
      </c>
      <c r="AJ776" s="9" t="s">
        <v>218</v>
      </c>
      <c r="AK776" t="s">
        <v>3449</v>
      </c>
      <c r="AL776" s="8" t="s">
        <v>221</v>
      </c>
      <c r="AM776" s="9" t="s">
        <v>218</v>
      </c>
      <c r="AN776" s="8" t="s">
        <v>221</v>
      </c>
      <c r="AO776" s="8" t="s">
        <v>222</v>
      </c>
      <c r="AP776" s="8">
        <v>0</v>
      </c>
      <c r="AQ776" s="8">
        <v>0</v>
      </c>
      <c r="AR776" s="8">
        <v>0</v>
      </c>
      <c r="AS776" s="8">
        <v>0</v>
      </c>
      <c r="AT776" s="8">
        <v>0</v>
      </c>
      <c r="AU776" s="8">
        <v>0</v>
      </c>
      <c r="AV776" s="8">
        <v>0</v>
      </c>
      <c r="AW776" s="8">
        <v>0</v>
      </c>
      <c r="AX776" s="8"/>
      <c r="AY776" s="8"/>
      <c r="AZ776">
        <v>0</v>
      </c>
    </row>
    <row r="777" spans="1:54">
      <c r="A777" s="6">
        <v>45849</v>
      </c>
      <c r="B777" s="7" t="s">
        <v>3450</v>
      </c>
      <c r="C777" t="s">
        <v>205</v>
      </c>
      <c r="D777" t="s">
        <v>3419</v>
      </c>
      <c r="G777" t="s">
        <v>207</v>
      </c>
      <c r="H777" s="8" t="s">
        <v>208</v>
      </c>
      <c r="I777" s="8" t="s">
        <v>208</v>
      </c>
      <c r="J777" s="8" t="s">
        <v>208</v>
      </c>
      <c r="K777" s="8" t="s">
        <v>208</v>
      </c>
      <c r="L777" s="8" t="s">
        <v>208</v>
      </c>
      <c r="M777" s="8" t="s">
        <v>208</v>
      </c>
      <c r="N777" s="8" t="s">
        <v>221</v>
      </c>
      <c r="O777" s="8" t="s">
        <v>221</v>
      </c>
      <c r="Q777" t="s">
        <v>3451</v>
      </c>
      <c r="R777" t="s">
        <v>3452</v>
      </c>
      <c r="U777" t="s">
        <v>3453</v>
      </c>
      <c r="V777" t="s">
        <v>138</v>
      </c>
      <c r="W777" t="s">
        <v>212</v>
      </c>
      <c r="Y777" t="s">
        <v>275</v>
      </c>
      <c r="AA777" t="s">
        <v>214</v>
      </c>
      <c r="AB777" t="s">
        <v>701</v>
      </c>
      <c r="AD777" t="s">
        <v>3258</v>
      </c>
      <c r="AE777" t="s">
        <v>217</v>
      </c>
      <c r="AG777" s="8" t="s">
        <v>218</v>
      </c>
      <c r="AH777" t="s">
        <v>2256</v>
      </c>
      <c r="AI777" s="8" t="s">
        <v>221</v>
      </c>
      <c r="AJ777" s="9" t="s">
        <v>218</v>
      </c>
      <c r="AK777" t="s">
        <v>3454</v>
      </c>
      <c r="AL777" s="8" t="s">
        <v>221</v>
      </c>
      <c r="AM777" s="9" t="s">
        <v>218</v>
      </c>
      <c r="AN777" s="8" t="s">
        <v>221</v>
      </c>
      <c r="AO777" s="8" t="s">
        <v>222</v>
      </c>
      <c r="AP777" s="8">
        <v>0</v>
      </c>
      <c r="AQ777" s="8">
        <v>0</v>
      </c>
      <c r="AR777" s="8">
        <v>0</v>
      </c>
      <c r="AS777" s="8">
        <v>0</v>
      </c>
      <c r="AT777" s="8">
        <v>0</v>
      </c>
      <c r="AU777" s="8">
        <v>0</v>
      </c>
      <c r="AV777" s="8">
        <v>0</v>
      </c>
      <c r="AW777" s="8">
        <v>0</v>
      </c>
      <c r="AX777" s="8"/>
      <c r="AY777" s="8"/>
      <c r="AZ777">
        <v>0</v>
      </c>
    </row>
    <row r="778" spans="1:54">
      <c r="A778" s="6">
        <v>45849</v>
      </c>
      <c r="B778" s="7" t="s">
        <v>3455</v>
      </c>
      <c r="C778" t="s">
        <v>205</v>
      </c>
      <c r="D778" t="s">
        <v>3419</v>
      </c>
      <c r="G778" t="s">
        <v>207</v>
      </c>
      <c r="H778" s="8" t="s">
        <v>208</v>
      </c>
      <c r="I778" s="8" t="s">
        <v>208</v>
      </c>
      <c r="J778" s="8" t="s">
        <v>208</v>
      </c>
      <c r="K778" s="8" t="s">
        <v>208</v>
      </c>
      <c r="L778" s="8" t="s">
        <v>208</v>
      </c>
      <c r="M778" s="8" t="s">
        <v>208</v>
      </c>
      <c r="N778" s="8" t="s">
        <v>221</v>
      </c>
      <c r="O778" s="8" t="s">
        <v>221</v>
      </c>
      <c r="Q778" t="s">
        <v>3456</v>
      </c>
      <c r="R778" t="s">
        <v>3457</v>
      </c>
      <c r="U778" t="s">
        <v>3458</v>
      </c>
      <c r="V778" t="s">
        <v>138</v>
      </c>
      <c r="W778" t="s">
        <v>212</v>
      </c>
      <c r="Y778" t="s">
        <v>275</v>
      </c>
      <c r="AA778" t="s">
        <v>214</v>
      </c>
      <c r="AB778" t="s">
        <v>701</v>
      </c>
      <c r="AD778" t="s">
        <v>3258</v>
      </c>
      <c r="AE778" t="s">
        <v>217</v>
      </c>
      <c r="AG778" s="8" t="s">
        <v>218</v>
      </c>
      <c r="AH778" t="s">
        <v>2256</v>
      </c>
      <c r="AI778" s="8" t="s">
        <v>221</v>
      </c>
      <c r="AJ778" s="9" t="s">
        <v>218</v>
      </c>
      <c r="AK778" t="s">
        <v>234</v>
      </c>
      <c r="AL778" s="8" t="s">
        <v>221</v>
      </c>
      <c r="AM778" s="9" t="s">
        <v>218</v>
      </c>
      <c r="AN778" s="8" t="s">
        <v>221</v>
      </c>
      <c r="AO778" s="8" t="s">
        <v>222</v>
      </c>
      <c r="AP778" s="8">
        <v>0</v>
      </c>
      <c r="AQ778" s="8">
        <v>0</v>
      </c>
      <c r="AR778" s="8">
        <v>0</v>
      </c>
      <c r="AS778" s="8">
        <v>0</v>
      </c>
      <c r="AT778" s="8">
        <v>0</v>
      </c>
      <c r="AU778" s="8">
        <v>0</v>
      </c>
      <c r="AV778" s="8">
        <v>0</v>
      </c>
      <c r="AW778" s="8">
        <v>0</v>
      </c>
      <c r="AX778" s="8"/>
      <c r="AY778" s="8"/>
      <c r="AZ778">
        <v>2</v>
      </c>
      <c r="BA778" t="s">
        <v>3459</v>
      </c>
    </row>
    <row r="779" spans="1:54">
      <c r="A779" s="6">
        <v>45849</v>
      </c>
      <c r="B779" s="7" t="s">
        <v>3460</v>
      </c>
      <c r="C779" t="s">
        <v>205</v>
      </c>
      <c r="D779" t="s">
        <v>3419</v>
      </c>
      <c r="G779" t="s">
        <v>207</v>
      </c>
      <c r="H779" s="8" t="s">
        <v>208</v>
      </c>
      <c r="I779" s="8" t="s">
        <v>208</v>
      </c>
      <c r="J779" s="8" t="s">
        <v>208</v>
      </c>
      <c r="K779" s="8" t="s">
        <v>208</v>
      </c>
      <c r="L779" s="8" t="s">
        <v>208</v>
      </c>
      <c r="M779" s="8" t="s">
        <v>208</v>
      </c>
      <c r="N779" s="8" t="s">
        <v>221</v>
      </c>
      <c r="O779" s="8" t="s">
        <v>221</v>
      </c>
      <c r="Q779" t="s">
        <v>3461</v>
      </c>
      <c r="R779" t="s">
        <v>3462</v>
      </c>
      <c r="U779" t="s">
        <v>3463</v>
      </c>
      <c r="V779" t="s">
        <v>140</v>
      </c>
      <c r="W779" t="s">
        <v>774</v>
      </c>
      <c r="Y779" t="s">
        <v>1082</v>
      </c>
      <c r="AA779" t="s">
        <v>1164</v>
      </c>
      <c r="AB779" t="s">
        <v>312</v>
      </c>
      <c r="AD779" t="s">
        <v>3224</v>
      </c>
      <c r="AE779" t="s">
        <v>2259</v>
      </c>
      <c r="AG779" s="8" t="s">
        <v>218</v>
      </c>
      <c r="AH779" t="s">
        <v>2256</v>
      </c>
      <c r="AI779" s="8" t="s">
        <v>221</v>
      </c>
      <c r="AJ779" s="9" t="s">
        <v>218</v>
      </c>
      <c r="AK779" t="s">
        <v>3430</v>
      </c>
      <c r="AL779" s="8" t="s">
        <v>221</v>
      </c>
      <c r="AM779" s="9" t="s">
        <v>218</v>
      </c>
      <c r="AN779" s="8" t="s">
        <v>221</v>
      </c>
      <c r="AO779" s="8" t="s">
        <v>222</v>
      </c>
      <c r="AP779" s="8">
        <v>0</v>
      </c>
      <c r="AQ779" s="8">
        <v>0</v>
      </c>
      <c r="AR779" s="8">
        <v>0</v>
      </c>
      <c r="AS779" s="8">
        <v>0</v>
      </c>
      <c r="AT779" s="8">
        <v>0</v>
      </c>
      <c r="AU779" s="8">
        <v>0</v>
      </c>
      <c r="AV779" s="8">
        <v>0</v>
      </c>
      <c r="AW779" s="8">
        <v>0</v>
      </c>
      <c r="AX779" s="8"/>
      <c r="AY779" s="8"/>
      <c r="AZ779">
        <v>0</v>
      </c>
    </row>
    <row r="780" spans="1:54">
      <c r="A780" s="6">
        <v>45849</v>
      </c>
      <c r="B780" s="7" t="s">
        <v>3464</v>
      </c>
      <c r="C780" t="s">
        <v>205</v>
      </c>
      <c r="D780" t="s">
        <v>3419</v>
      </c>
      <c r="G780" t="s">
        <v>207</v>
      </c>
      <c r="H780" s="8" t="s">
        <v>208</v>
      </c>
      <c r="I780" s="8" t="s">
        <v>208</v>
      </c>
      <c r="J780" s="8" t="s">
        <v>208</v>
      </c>
      <c r="K780" s="8" t="s">
        <v>208</v>
      </c>
      <c r="L780" s="8" t="s">
        <v>208</v>
      </c>
      <c r="M780" s="8" t="s">
        <v>208</v>
      </c>
      <c r="N780" s="8" t="s">
        <v>221</v>
      </c>
      <c r="O780" s="8" t="s">
        <v>221</v>
      </c>
      <c r="Q780" t="s">
        <v>3465</v>
      </c>
      <c r="R780" t="s">
        <v>3466</v>
      </c>
      <c r="U780" t="s">
        <v>3467</v>
      </c>
      <c r="V780" t="s">
        <v>140</v>
      </c>
      <c r="W780" t="s">
        <v>774</v>
      </c>
      <c r="Y780" t="s">
        <v>1082</v>
      </c>
      <c r="AA780" t="s">
        <v>1164</v>
      </c>
      <c r="AB780" t="s">
        <v>465</v>
      </c>
      <c r="AD780" t="s">
        <v>3224</v>
      </c>
      <c r="AE780" t="s">
        <v>2259</v>
      </c>
      <c r="AG780" s="8" t="s">
        <v>218</v>
      </c>
      <c r="AH780" t="s">
        <v>2256</v>
      </c>
      <c r="AI780" s="8" t="s">
        <v>221</v>
      </c>
      <c r="AJ780" s="9" t="s">
        <v>218</v>
      </c>
      <c r="AK780" t="s">
        <v>234</v>
      </c>
      <c r="AL780" s="8" t="s">
        <v>221</v>
      </c>
      <c r="AM780" s="9" t="s">
        <v>218</v>
      </c>
      <c r="AN780" s="8" t="s">
        <v>221</v>
      </c>
      <c r="AO780" s="8" t="s">
        <v>222</v>
      </c>
      <c r="AP780" s="8">
        <v>0</v>
      </c>
      <c r="AQ780" s="8">
        <v>0</v>
      </c>
      <c r="AR780" s="8">
        <v>0</v>
      </c>
      <c r="AS780" s="8">
        <v>0</v>
      </c>
      <c r="AT780" s="8">
        <v>0</v>
      </c>
      <c r="AU780" s="8">
        <v>0</v>
      </c>
      <c r="AV780" s="8">
        <v>0</v>
      </c>
      <c r="AW780" s="8">
        <v>0</v>
      </c>
      <c r="AX780" s="8"/>
      <c r="AY780" s="8"/>
      <c r="AZ780">
        <v>2</v>
      </c>
      <c r="BA780" t="s">
        <v>3468</v>
      </c>
    </row>
    <row r="781" spans="1:54">
      <c r="A781" s="6">
        <v>45849</v>
      </c>
      <c r="B781" s="7" t="s">
        <v>3469</v>
      </c>
      <c r="C781" t="s">
        <v>205</v>
      </c>
      <c r="D781" t="s">
        <v>3419</v>
      </c>
      <c r="G781" t="s">
        <v>207</v>
      </c>
      <c r="H781" s="8" t="s">
        <v>208</v>
      </c>
      <c r="I781" s="8" t="s">
        <v>208</v>
      </c>
      <c r="J781" s="8" t="s">
        <v>208</v>
      </c>
      <c r="K781" s="8" t="s">
        <v>208</v>
      </c>
      <c r="L781" s="8" t="s">
        <v>208</v>
      </c>
      <c r="M781" s="8" t="s">
        <v>208</v>
      </c>
      <c r="N781" s="8" t="s">
        <v>221</v>
      </c>
      <c r="O781" s="8" t="s">
        <v>221</v>
      </c>
      <c r="Q781" t="s">
        <v>3470</v>
      </c>
      <c r="R781" t="s">
        <v>3471</v>
      </c>
      <c r="U781" t="s">
        <v>2348</v>
      </c>
      <c r="V781" t="s">
        <v>140</v>
      </c>
      <c r="W781" t="s">
        <v>774</v>
      </c>
      <c r="Y781" t="s">
        <v>1082</v>
      </c>
      <c r="AA781" t="s">
        <v>1164</v>
      </c>
      <c r="AB781" t="s">
        <v>425</v>
      </c>
      <c r="AD781" t="s">
        <v>3224</v>
      </c>
      <c r="AE781" t="s">
        <v>2259</v>
      </c>
      <c r="AG781" s="8" t="s">
        <v>218</v>
      </c>
      <c r="AH781" t="s">
        <v>2256</v>
      </c>
      <c r="AI781" s="8" t="s">
        <v>221</v>
      </c>
      <c r="AJ781" s="9" t="s">
        <v>218</v>
      </c>
      <c r="AK781" t="s">
        <v>234</v>
      </c>
      <c r="AL781" s="8" t="s">
        <v>221</v>
      </c>
      <c r="AM781" s="9" t="s">
        <v>218</v>
      </c>
      <c r="AN781" s="8" t="s">
        <v>221</v>
      </c>
      <c r="AO781" s="8" t="s">
        <v>222</v>
      </c>
      <c r="AP781" s="8">
        <v>0</v>
      </c>
      <c r="AQ781" s="8">
        <v>0</v>
      </c>
      <c r="AR781" s="8">
        <v>0</v>
      </c>
      <c r="AS781" s="8">
        <v>0</v>
      </c>
      <c r="AT781" s="8">
        <v>0</v>
      </c>
      <c r="AU781" s="8">
        <v>0</v>
      </c>
      <c r="AV781" s="8">
        <v>0</v>
      </c>
      <c r="AW781" s="8">
        <v>0</v>
      </c>
      <c r="AX781" s="8"/>
      <c r="AY781" s="8"/>
      <c r="AZ781">
        <v>2</v>
      </c>
      <c r="BA781" t="s">
        <v>3472</v>
      </c>
    </row>
    <row r="782" spans="1:54">
      <c r="A782" s="6">
        <v>45849</v>
      </c>
      <c r="B782" s="7" t="s">
        <v>3473</v>
      </c>
      <c r="C782" t="s">
        <v>205</v>
      </c>
      <c r="D782" t="s">
        <v>3419</v>
      </c>
      <c r="G782" t="s">
        <v>207</v>
      </c>
      <c r="H782" s="8" t="s">
        <v>208</v>
      </c>
      <c r="I782" s="8" t="s">
        <v>208</v>
      </c>
      <c r="J782" s="8" t="s">
        <v>208</v>
      </c>
      <c r="K782" s="8" t="s">
        <v>208</v>
      </c>
      <c r="L782" s="8" t="s">
        <v>208</v>
      </c>
      <c r="M782" s="8" t="s">
        <v>208</v>
      </c>
      <c r="N782" s="8" t="s">
        <v>221</v>
      </c>
      <c r="O782" s="8" t="s">
        <v>221</v>
      </c>
      <c r="Q782" t="s">
        <v>3474</v>
      </c>
      <c r="R782" t="s">
        <v>3475</v>
      </c>
      <c r="U782" t="s">
        <v>3476</v>
      </c>
      <c r="V782" t="s">
        <v>140</v>
      </c>
      <c r="W782" t="s">
        <v>774</v>
      </c>
      <c r="Y782" t="s">
        <v>1082</v>
      </c>
      <c r="AA782" t="s">
        <v>1164</v>
      </c>
      <c r="AB782" t="s">
        <v>465</v>
      </c>
      <c r="AD782" t="s">
        <v>3224</v>
      </c>
      <c r="AE782" t="s">
        <v>2259</v>
      </c>
      <c r="AG782" s="8" t="s">
        <v>218</v>
      </c>
      <c r="AH782" t="s">
        <v>2256</v>
      </c>
      <c r="AI782" s="8" t="s">
        <v>221</v>
      </c>
      <c r="AJ782" s="9" t="s">
        <v>218</v>
      </c>
      <c r="AK782" t="s">
        <v>234</v>
      </c>
      <c r="AL782" s="8" t="s">
        <v>221</v>
      </c>
      <c r="AM782" s="9" t="s">
        <v>218</v>
      </c>
      <c r="AN782" s="8" t="s">
        <v>221</v>
      </c>
      <c r="AO782" s="8" t="s">
        <v>222</v>
      </c>
      <c r="AP782" s="8">
        <v>0</v>
      </c>
      <c r="AQ782" s="8">
        <v>0</v>
      </c>
      <c r="AR782" s="8">
        <v>0</v>
      </c>
      <c r="AS782" s="8">
        <v>0</v>
      </c>
      <c r="AT782" s="8">
        <v>0</v>
      </c>
      <c r="AU782" s="8">
        <v>0</v>
      </c>
      <c r="AV782" s="8">
        <v>0</v>
      </c>
      <c r="AW782" s="8">
        <v>0</v>
      </c>
      <c r="AX782" s="8"/>
      <c r="AY782" s="8"/>
      <c r="AZ782">
        <v>2</v>
      </c>
      <c r="BA782" t="s">
        <v>3477</v>
      </c>
    </row>
    <row r="783" spans="1:54">
      <c r="A783" s="6">
        <v>45849</v>
      </c>
      <c r="B783" s="7" t="s">
        <v>3478</v>
      </c>
      <c r="C783" t="s">
        <v>205</v>
      </c>
      <c r="D783" t="s">
        <v>3419</v>
      </c>
      <c r="G783" t="s">
        <v>207</v>
      </c>
      <c r="H783" s="8" t="s">
        <v>208</v>
      </c>
      <c r="I783" s="8" t="s">
        <v>208</v>
      </c>
      <c r="J783" s="8" t="s">
        <v>208</v>
      </c>
      <c r="K783" s="8" t="s">
        <v>208</v>
      </c>
      <c r="L783" s="8" t="s">
        <v>208</v>
      </c>
      <c r="M783" s="8" t="s">
        <v>208</v>
      </c>
      <c r="N783" s="8" t="s">
        <v>221</v>
      </c>
      <c r="O783" s="8" t="s">
        <v>221</v>
      </c>
      <c r="Q783" t="s">
        <v>3479</v>
      </c>
      <c r="R783" t="s">
        <v>3480</v>
      </c>
      <c r="U783" t="s">
        <v>3481</v>
      </c>
      <c r="V783" t="s">
        <v>138</v>
      </c>
      <c r="W783" t="s">
        <v>212</v>
      </c>
      <c r="Y783" t="s">
        <v>275</v>
      </c>
      <c r="AA783" t="s">
        <v>214</v>
      </c>
      <c r="AB783" t="s">
        <v>242</v>
      </c>
      <c r="AD783" t="s">
        <v>3258</v>
      </c>
      <c r="AE783" t="s">
        <v>217</v>
      </c>
      <c r="AG783" s="8" t="s">
        <v>218</v>
      </c>
      <c r="AH783" t="s">
        <v>2256</v>
      </c>
      <c r="AI783" s="8" t="s">
        <v>221</v>
      </c>
      <c r="AJ783" s="9" t="s">
        <v>218</v>
      </c>
      <c r="AK783" t="s">
        <v>3231</v>
      </c>
      <c r="AL783" s="8" t="s">
        <v>221</v>
      </c>
      <c r="AM783" s="9" t="s">
        <v>218</v>
      </c>
      <c r="AN783" s="8" t="s">
        <v>221</v>
      </c>
      <c r="AO783" s="8" t="s">
        <v>222</v>
      </c>
      <c r="AP783" s="8">
        <v>0</v>
      </c>
      <c r="AQ783" s="8">
        <v>0</v>
      </c>
      <c r="AR783" s="8">
        <v>0</v>
      </c>
      <c r="AS783" s="8">
        <v>0</v>
      </c>
      <c r="AT783" s="8">
        <v>0</v>
      </c>
      <c r="AU783" s="8">
        <v>0</v>
      </c>
      <c r="AV783" s="8">
        <v>0</v>
      </c>
      <c r="AW783" s="8">
        <v>0</v>
      </c>
      <c r="AX783" s="8"/>
      <c r="AY783" s="8"/>
      <c r="AZ783">
        <v>0</v>
      </c>
    </row>
    <row r="784" spans="1:54">
      <c r="A784" s="6">
        <v>45849</v>
      </c>
      <c r="B784" s="7" t="s">
        <v>3482</v>
      </c>
      <c r="C784" t="s">
        <v>205</v>
      </c>
      <c r="D784" t="s">
        <v>3419</v>
      </c>
      <c r="G784" t="s">
        <v>207</v>
      </c>
      <c r="H784" s="8" t="s">
        <v>208</v>
      </c>
      <c r="I784" s="8" t="s">
        <v>208</v>
      </c>
      <c r="J784" s="8" t="s">
        <v>208</v>
      </c>
      <c r="K784" s="8" t="s">
        <v>208</v>
      </c>
      <c r="L784" s="8" t="s">
        <v>208</v>
      </c>
      <c r="M784" s="8" t="s">
        <v>208</v>
      </c>
      <c r="N784" s="8" t="s">
        <v>221</v>
      </c>
      <c r="O784" s="8" t="s">
        <v>221</v>
      </c>
      <c r="Q784" t="s">
        <v>3483</v>
      </c>
      <c r="R784" t="s">
        <v>3484</v>
      </c>
      <c r="U784" t="s">
        <v>3485</v>
      </c>
      <c r="V784" t="s">
        <v>138</v>
      </c>
      <c r="W784" t="s">
        <v>212</v>
      </c>
      <c r="Y784" t="s">
        <v>275</v>
      </c>
      <c r="AA784" t="s">
        <v>214</v>
      </c>
      <c r="AB784" t="s">
        <v>242</v>
      </c>
      <c r="AD784" t="s">
        <v>3258</v>
      </c>
      <c r="AE784" t="s">
        <v>217</v>
      </c>
      <c r="AG784" s="8" t="s">
        <v>218</v>
      </c>
      <c r="AH784" t="s">
        <v>2256</v>
      </c>
      <c r="AI784" s="8" t="s">
        <v>221</v>
      </c>
      <c r="AJ784" s="9" t="s">
        <v>218</v>
      </c>
      <c r="AK784" t="s">
        <v>3486</v>
      </c>
      <c r="AL784" s="8" t="s">
        <v>221</v>
      </c>
      <c r="AM784" s="9" t="s">
        <v>218</v>
      </c>
      <c r="AN784" s="8" t="s">
        <v>221</v>
      </c>
      <c r="AO784" s="8" t="s">
        <v>222</v>
      </c>
      <c r="AP784" s="8">
        <v>0</v>
      </c>
      <c r="AQ784" s="8">
        <v>0</v>
      </c>
      <c r="AR784" s="8">
        <v>0</v>
      </c>
      <c r="AS784" s="8">
        <v>0</v>
      </c>
      <c r="AT784" s="8">
        <v>0</v>
      </c>
      <c r="AU784" s="8">
        <v>0</v>
      </c>
      <c r="AV784" s="8">
        <v>0</v>
      </c>
      <c r="AW784" s="8">
        <v>0</v>
      </c>
      <c r="AX784" s="8"/>
      <c r="AY784" s="8"/>
      <c r="AZ784">
        <v>0</v>
      </c>
    </row>
    <row r="785" spans="1:54">
      <c r="A785" s="6">
        <v>45849</v>
      </c>
      <c r="B785" s="7" t="s">
        <v>3487</v>
      </c>
      <c r="C785" t="s">
        <v>205</v>
      </c>
      <c r="D785" t="s">
        <v>3419</v>
      </c>
      <c r="G785" t="s">
        <v>207</v>
      </c>
      <c r="H785" s="8" t="s">
        <v>208</v>
      </c>
      <c r="I785" s="8" t="s">
        <v>208</v>
      </c>
      <c r="J785" s="8" t="s">
        <v>208</v>
      </c>
      <c r="K785" s="8" t="s">
        <v>208</v>
      </c>
      <c r="L785" s="8" t="s">
        <v>208</v>
      </c>
      <c r="M785" s="8" t="s">
        <v>208</v>
      </c>
      <c r="N785" s="8" t="s">
        <v>221</v>
      </c>
      <c r="O785" s="8" t="s">
        <v>221</v>
      </c>
      <c r="Q785" t="s">
        <v>3488</v>
      </c>
      <c r="R785" t="s">
        <v>3489</v>
      </c>
      <c r="U785" t="s">
        <v>3490</v>
      </c>
      <c r="V785" t="s">
        <v>138</v>
      </c>
      <c r="W785" t="s">
        <v>212</v>
      </c>
      <c r="Y785" t="s">
        <v>275</v>
      </c>
      <c r="AA785" t="s">
        <v>214</v>
      </c>
      <c r="AB785" t="s">
        <v>242</v>
      </c>
      <c r="AD785" t="s">
        <v>3258</v>
      </c>
      <c r="AE785" t="s">
        <v>217</v>
      </c>
      <c r="AG785" s="8" t="s">
        <v>218</v>
      </c>
      <c r="AH785" t="s">
        <v>2256</v>
      </c>
      <c r="AI785" s="8" t="s">
        <v>221</v>
      </c>
      <c r="AJ785" s="9" t="s">
        <v>218</v>
      </c>
      <c r="AK785" t="s">
        <v>3231</v>
      </c>
      <c r="AL785" s="8" t="s">
        <v>221</v>
      </c>
      <c r="AM785" s="9" t="s">
        <v>218</v>
      </c>
      <c r="AN785" s="8" t="s">
        <v>221</v>
      </c>
      <c r="AO785" s="8" t="s">
        <v>222</v>
      </c>
      <c r="AP785" s="8">
        <v>0</v>
      </c>
      <c r="AQ785" s="8">
        <v>0</v>
      </c>
      <c r="AR785" s="8">
        <v>0</v>
      </c>
      <c r="AS785" s="8">
        <v>0</v>
      </c>
      <c r="AT785" s="8">
        <v>0</v>
      </c>
      <c r="AU785" s="8">
        <v>0</v>
      </c>
      <c r="AV785" s="8">
        <v>0</v>
      </c>
      <c r="AW785" s="8">
        <v>0</v>
      </c>
      <c r="AX785" s="8"/>
      <c r="AY785" s="8"/>
      <c r="AZ785">
        <v>0</v>
      </c>
    </row>
    <row r="786" spans="1:54">
      <c r="A786" s="6">
        <v>45849</v>
      </c>
      <c r="B786" s="7" t="s">
        <v>3491</v>
      </c>
      <c r="C786" t="s">
        <v>205</v>
      </c>
      <c r="D786" t="s">
        <v>3419</v>
      </c>
      <c r="G786" t="s">
        <v>207</v>
      </c>
      <c r="H786" s="8" t="s">
        <v>208</v>
      </c>
      <c r="I786" s="8" t="s">
        <v>208</v>
      </c>
      <c r="J786" s="8" t="s">
        <v>208</v>
      </c>
      <c r="K786" s="8" t="s">
        <v>208</v>
      </c>
      <c r="L786" s="8" t="s">
        <v>208</v>
      </c>
      <c r="M786" s="8" t="s">
        <v>208</v>
      </c>
      <c r="N786" s="8" t="s">
        <v>221</v>
      </c>
      <c r="O786" s="8" t="s">
        <v>221</v>
      </c>
      <c r="Q786" t="s">
        <v>3492</v>
      </c>
      <c r="R786" t="s">
        <v>3493</v>
      </c>
      <c r="U786" t="s">
        <v>3494</v>
      </c>
      <c r="V786" t="s">
        <v>138</v>
      </c>
      <c r="W786" t="s">
        <v>212</v>
      </c>
      <c r="Y786" t="s">
        <v>275</v>
      </c>
      <c r="AA786" t="s">
        <v>214</v>
      </c>
      <c r="AB786" t="s">
        <v>242</v>
      </c>
      <c r="AD786" t="s">
        <v>3258</v>
      </c>
      <c r="AE786" t="s">
        <v>217</v>
      </c>
      <c r="AG786" s="8" t="s">
        <v>218</v>
      </c>
      <c r="AH786" t="s">
        <v>2256</v>
      </c>
      <c r="AI786" s="8" t="s">
        <v>221</v>
      </c>
      <c r="AJ786" s="9" t="s">
        <v>218</v>
      </c>
      <c r="AK786" t="s">
        <v>3454</v>
      </c>
      <c r="AL786" s="8" t="s">
        <v>221</v>
      </c>
      <c r="AM786" s="9" t="s">
        <v>218</v>
      </c>
      <c r="AN786" s="8" t="s">
        <v>221</v>
      </c>
      <c r="AO786" s="8" t="s">
        <v>222</v>
      </c>
      <c r="AP786" s="8">
        <v>0</v>
      </c>
      <c r="AQ786" s="8">
        <v>0</v>
      </c>
      <c r="AR786" s="8">
        <v>0</v>
      </c>
      <c r="AS786" s="8">
        <v>0</v>
      </c>
      <c r="AT786" s="8">
        <v>0</v>
      </c>
      <c r="AU786" s="8">
        <v>0</v>
      </c>
      <c r="AV786" s="8">
        <v>0</v>
      </c>
      <c r="AW786" s="8">
        <v>0</v>
      </c>
      <c r="AX786" s="8"/>
      <c r="AY786" s="8"/>
      <c r="AZ786">
        <v>0</v>
      </c>
    </row>
    <row r="787" spans="1:54">
      <c r="A787" s="6">
        <v>45849</v>
      </c>
      <c r="B787" s="7" t="s">
        <v>3495</v>
      </c>
      <c r="C787" t="s">
        <v>205</v>
      </c>
      <c r="D787" t="s">
        <v>3419</v>
      </c>
      <c r="G787" t="s">
        <v>207</v>
      </c>
      <c r="H787" s="8" t="s">
        <v>208</v>
      </c>
      <c r="I787" s="8" t="s">
        <v>208</v>
      </c>
      <c r="J787" s="8" t="s">
        <v>208</v>
      </c>
      <c r="K787" s="8" t="s">
        <v>208</v>
      </c>
      <c r="L787" s="8" t="s">
        <v>208</v>
      </c>
      <c r="M787" s="8" t="s">
        <v>208</v>
      </c>
      <c r="N787" s="8" t="s">
        <v>221</v>
      </c>
      <c r="O787" s="8" t="s">
        <v>221</v>
      </c>
      <c r="Q787" t="s">
        <v>3496</v>
      </c>
      <c r="R787" t="s">
        <v>3497</v>
      </c>
      <c r="U787" t="s">
        <v>3498</v>
      </c>
      <c r="V787" t="s">
        <v>138</v>
      </c>
      <c r="W787" t="s">
        <v>212</v>
      </c>
      <c r="Y787" t="s">
        <v>275</v>
      </c>
      <c r="AA787" t="s">
        <v>214</v>
      </c>
      <c r="AB787" t="s">
        <v>242</v>
      </c>
      <c r="AD787" t="s">
        <v>3258</v>
      </c>
      <c r="AE787" t="s">
        <v>217</v>
      </c>
      <c r="AG787" s="8" t="s">
        <v>218</v>
      </c>
      <c r="AH787" t="s">
        <v>2256</v>
      </c>
      <c r="AI787" s="8" t="s">
        <v>221</v>
      </c>
      <c r="AJ787" s="9" t="s">
        <v>218</v>
      </c>
      <c r="AK787" t="s">
        <v>3454</v>
      </c>
      <c r="AL787" s="8" t="s">
        <v>221</v>
      </c>
      <c r="AM787" s="9" t="s">
        <v>218</v>
      </c>
      <c r="AN787" s="8" t="s">
        <v>221</v>
      </c>
      <c r="AO787" s="8" t="s">
        <v>222</v>
      </c>
      <c r="AP787" s="8">
        <v>0</v>
      </c>
      <c r="AQ787" s="8">
        <v>0</v>
      </c>
      <c r="AR787" s="8">
        <v>0</v>
      </c>
      <c r="AS787" s="8">
        <v>0</v>
      </c>
      <c r="AT787" s="8">
        <v>0</v>
      </c>
      <c r="AU787" s="8">
        <v>0</v>
      </c>
      <c r="AV787" s="8">
        <v>0</v>
      </c>
      <c r="AW787" s="8">
        <v>0</v>
      </c>
      <c r="AX787" s="8"/>
      <c r="AY787" s="8"/>
      <c r="AZ787">
        <v>0</v>
      </c>
    </row>
    <row r="788" spans="1:54">
      <c r="A788" s="6">
        <v>45849</v>
      </c>
      <c r="B788" s="7" t="s">
        <v>3499</v>
      </c>
      <c r="C788" t="s">
        <v>205</v>
      </c>
      <c r="D788" t="s">
        <v>3419</v>
      </c>
      <c r="G788" t="s">
        <v>207</v>
      </c>
      <c r="H788" s="8" t="s">
        <v>208</v>
      </c>
      <c r="I788" s="8" t="s">
        <v>208</v>
      </c>
      <c r="J788" s="8" t="s">
        <v>208</v>
      </c>
      <c r="K788" s="8" t="s">
        <v>208</v>
      </c>
      <c r="L788" s="8" t="s">
        <v>208</v>
      </c>
      <c r="M788" s="8" t="s">
        <v>208</v>
      </c>
      <c r="N788" s="8" t="s">
        <v>221</v>
      </c>
      <c r="O788" s="8" t="s">
        <v>221</v>
      </c>
      <c r="Q788" t="s">
        <v>3500</v>
      </c>
      <c r="R788" t="s">
        <v>3501</v>
      </c>
      <c r="U788" t="s">
        <v>3502</v>
      </c>
      <c r="V788" t="s">
        <v>138</v>
      </c>
      <c r="W788" t="s">
        <v>212</v>
      </c>
      <c r="Y788" t="s">
        <v>275</v>
      </c>
      <c r="AA788" t="s">
        <v>214</v>
      </c>
      <c r="AB788" t="s">
        <v>242</v>
      </c>
      <c r="AD788" t="s">
        <v>3258</v>
      </c>
      <c r="AE788" t="s">
        <v>217</v>
      </c>
      <c r="AG788" s="8" t="s">
        <v>218</v>
      </c>
      <c r="AH788" t="s">
        <v>2256</v>
      </c>
      <c r="AI788" s="8" t="s">
        <v>221</v>
      </c>
      <c r="AJ788" s="9" t="s">
        <v>218</v>
      </c>
      <c r="AK788" t="s">
        <v>3503</v>
      </c>
      <c r="AL788" s="8" t="s">
        <v>221</v>
      </c>
      <c r="AM788" s="9" t="s">
        <v>218</v>
      </c>
      <c r="AN788" s="8" t="s">
        <v>221</v>
      </c>
      <c r="AO788" s="8" t="s">
        <v>222</v>
      </c>
      <c r="AP788" s="8">
        <v>0</v>
      </c>
      <c r="AQ788" s="8">
        <v>0</v>
      </c>
      <c r="AR788" s="8">
        <v>0</v>
      </c>
      <c r="AS788" s="8">
        <v>0</v>
      </c>
      <c r="AT788" s="8">
        <v>0</v>
      </c>
      <c r="AU788" s="8">
        <v>0</v>
      </c>
      <c r="AV788" s="8">
        <v>0</v>
      </c>
      <c r="AW788" s="8">
        <v>0</v>
      </c>
      <c r="AX788" s="8"/>
      <c r="AY788" s="8"/>
      <c r="AZ788">
        <v>0</v>
      </c>
    </row>
    <row r="789" spans="1:54">
      <c r="A789" s="6">
        <v>45849</v>
      </c>
      <c r="B789" s="7" t="s">
        <v>3504</v>
      </c>
      <c r="C789" t="s">
        <v>205</v>
      </c>
      <c r="D789" t="s">
        <v>3419</v>
      </c>
      <c r="G789" t="s">
        <v>207</v>
      </c>
      <c r="H789" s="8" t="s">
        <v>208</v>
      </c>
      <c r="I789" s="8" t="s">
        <v>208</v>
      </c>
      <c r="J789" s="8" t="s">
        <v>208</v>
      </c>
      <c r="K789" s="8" t="s">
        <v>208</v>
      </c>
      <c r="L789" s="8" t="s">
        <v>208</v>
      </c>
      <c r="M789" s="8" t="s">
        <v>208</v>
      </c>
      <c r="N789" s="8" t="s">
        <v>221</v>
      </c>
      <c r="O789" s="8" t="s">
        <v>221</v>
      </c>
      <c r="Q789" t="s">
        <v>3505</v>
      </c>
      <c r="R789" t="s">
        <v>3506</v>
      </c>
      <c r="U789" t="s">
        <v>3507</v>
      </c>
      <c r="V789" t="s">
        <v>138</v>
      </c>
      <c r="W789" t="s">
        <v>212</v>
      </c>
      <c r="Y789" t="s">
        <v>275</v>
      </c>
      <c r="AA789" t="s">
        <v>214</v>
      </c>
      <c r="AB789" t="s">
        <v>242</v>
      </c>
      <c r="AD789" t="s">
        <v>3258</v>
      </c>
      <c r="AE789" t="s">
        <v>217</v>
      </c>
      <c r="AG789" s="8" t="s">
        <v>218</v>
      </c>
      <c r="AH789" t="s">
        <v>2256</v>
      </c>
      <c r="AI789" s="8" t="s">
        <v>221</v>
      </c>
      <c r="AJ789" s="9" t="s">
        <v>218</v>
      </c>
      <c r="AK789" t="s">
        <v>3449</v>
      </c>
      <c r="AL789" s="8" t="s">
        <v>221</v>
      </c>
      <c r="AM789" s="9" t="s">
        <v>218</v>
      </c>
      <c r="AN789" s="8" t="s">
        <v>221</v>
      </c>
      <c r="AO789" s="8" t="s">
        <v>222</v>
      </c>
      <c r="AP789" s="8">
        <v>0</v>
      </c>
      <c r="AQ789" s="8">
        <v>0</v>
      </c>
      <c r="AR789" s="8">
        <v>0</v>
      </c>
      <c r="AS789" s="8">
        <v>0</v>
      </c>
      <c r="AT789" s="8">
        <v>0</v>
      </c>
      <c r="AU789" s="8">
        <v>0</v>
      </c>
      <c r="AV789" s="8">
        <v>0</v>
      </c>
      <c r="AW789" s="8">
        <v>0</v>
      </c>
      <c r="AX789" s="8"/>
      <c r="AY789" s="8"/>
      <c r="AZ789">
        <v>0</v>
      </c>
    </row>
    <row r="790" spans="1:54">
      <c r="A790" s="6">
        <v>45849</v>
      </c>
      <c r="B790" s="7" t="s">
        <v>3508</v>
      </c>
      <c r="C790" t="s">
        <v>205</v>
      </c>
      <c r="D790" t="s">
        <v>3419</v>
      </c>
      <c r="G790" t="s">
        <v>207</v>
      </c>
      <c r="H790" s="8" t="s">
        <v>208</v>
      </c>
      <c r="I790" s="8" t="s">
        <v>208</v>
      </c>
      <c r="J790" s="8" t="s">
        <v>208</v>
      </c>
      <c r="K790" s="8" t="s">
        <v>208</v>
      </c>
      <c r="L790" s="8" t="s">
        <v>208</v>
      </c>
      <c r="M790" s="8" t="s">
        <v>208</v>
      </c>
      <c r="N790" s="8" t="s">
        <v>221</v>
      </c>
      <c r="O790" s="8" t="s">
        <v>221</v>
      </c>
      <c r="Q790" t="s">
        <v>3509</v>
      </c>
      <c r="R790" t="s">
        <v>3510</v>
      </c>
      <c r="U790" t="s">
        <v>3511</v>
      </c>
      <c r="V790" t="s">
        <v>138</v>
      </c>
      <c r="W790" t="s">
        <v>212</v>
      </c>
      <c r="Y790" t="s">
        <v>275</v>
      </c>
      <c r="AA790" t="s">
        <v>214</v>
      </c>
      <c r="AB790" t="s">
        <v>242</v>
      </c>
      <c r="AD790" t="s">
        <v>3258</v>
      </c>
      <c r="AE790" t="s">
        <v>217</v>
      </c>
      <c r="AG790" s="8" t="s">
        <v>218</v>
      </c>
      <c r="AH790" t="s">
        <v>2256</v>
      </c>
      <c r="AI790" s="8" t="s">
        <v>221</v>
      </c>
      <c r="AJ790" s="9" t="s">
        <v>218</v>
      </c>
      <c r="AK790" t="s">
        <v>3449</v>
      </c>
      <c r="AL790" s="8" t="s">
        <v>221</v>
      </c>
      <c r="AM790" s="9" t="s">
        <v>218</v>
      </c>
      <c r="AN790" s="8" t="s">
        <v>221</v>
      </c>
      <c r="AO790" s="8" t="s">
        <v>222</v>
      </c>
      <c r="AP790" s="8">
        <v>0</v>
      </c>
      <c r="AQ790" s="8">
        <v>0</v>
      </c>
      <c r="AR790" s="8">
        <v>0</v>
      </c>
      <c r="AS790" s="8">
        <v>0</v>
      </c>
      <c r="AT790" s="8">
        <v>0</v>
      </c>
      <c r="AU790" s="8">
        <v>0</v>
      </c>
      <c r="AV790" s="8">
        <v>0</v>
      </c>
      <c r="AW790" s="8">
        <v>0</v>
      </c>
      <c r="AX790" s="8"/>
      <c r="AY790" s="8"/>
      <c r="AZ790">
        <v>0</v>
      </c>
    </row>
    <row r="791" spans="1:54">
      <c r="A791" s="6">
        <v>45849</v>
      </c>
      <c r="B791" s="7" t="s">
        <v>3512</v>
      </c>
      <c r="C791" t="s">
        <v>205</v>
      </c>
      <c r="D791" t="s">
        <v>3419</v>
      </c>
      <c r="G791" t="s">
        <v>207</v>
      </c>
      <c r="H791" s="8" t="s">
        <v>208</v>
      </c>
      <c r="I791" s="8" t="s">
        <v>208</v>
      </c>
      <c r="J791" s="8" t="s">
        <v>208</v>
      </c>
      <c r="K791" s="8" t="s">
        <v>208</v>
      </c>
      <c r="L791" s="8" t="s">
        <v>208</v>
      </c>
      <c r="M791" s="8" t="s">
        <v>208</v>
      </c>
      <c r="N791" s="8" t="s">
        <v>221</v>
      </c>
      <c r="O791" s="8" t="s">
        <v>221</v>
      </c>
      <c r="Q791" t="s">
        <v>3513</v>
      </c>
      <c r="R791" t="s">
        <v>3514</v>
      </c>
      <c r="U791" t="s">
        <v>3515</v>
      </c>
      <c r="V791" t="s">
        <v>138</v>
      </c>
      <c r="W791" t="s">
        <v>212</v>
      </c>
      <c r="Y791" t="s">
        <v>275</v>
      </c>
      <c r="AA791" t="s">
        <v>214</v>
      </c>
      <c r="AB791" t="s">
        <v>242</v>
      </c>
      <c r="AD791" t="s">
        <v>3258</v>
      </c>
      <c r="AE791" t="s">
        <v>217</v>
      </c>
      <c r="AG791" s="8" t="s">
        <v>218</v>
      </c>
      <c r="AH791" t="s">
        <v>2256</v>
      </c>
      <c r="AI791" s="8" t="s">
        <v>221</v>
      </c>
      <c r="AJ791" s="9" t="s">
        <v>218</v>
      </c>
      <c r="AK791" t="s">
        <v>3454</v>
      </c>
      <c r="AL791" s="8" t="s">
        <v>221</v>
      </c>
      <c r="AM791" s="9" t="s">
        <v>218</v>
      </c>
      <c r="AN791" s="8" t="s">
        <v>221</v>
      </c>
      <c r="AO791" s="8" t="s">
        <v>222</v>
      </c>
      <c r="AP791" s="8">
        <v>0</v>
      </c>
      <c r="AQ791" s="8">
        <v>0</v>
      </c>
      <c r="AR791" s="8">
        <v>0</v>
      </c>
      <c r="AS791" s="8">
        <v>0</v>
      </c>
      <c r="AT791" s="8">
        <v>0</v>
      </c>
      <c r="AU791" s="8">
        <v>0</v>
      </c>
      <c r="AV791" s="8">
        <v>0</v>
      </c>
      <c r="AW791" s="8">
        <v>0</v>
      </c>
      <c r="AX791" s="8"/>
      <c r="AY791" s="8"/>
      <c r="AZ791">
        <v>0</v>
      </c>
    </row>
    <row r="792" spans="1:54">
      <c r="A792" s="6">
        <v>45849</v>
      </c>
      <c r="B792" s="7" t="s">
        <v>3516</v>
      </c>
      <c r="C792" t="s">
        <v>205</v>
      </c>
      <c r="D792" t="s">
        <v>3419</v>
      </c>
      <c r="G792" t="s">
        <v>207</v>
      </c>
      <c r="H792" s="8" t="s">
        <v>208</v>
      </c>
      <c r="I792" s="8" t="s">
        <v>208</v>
      </c>
      <c r="J792" s="8" t="s">
        <v>208</v>
      </c>
      <c r="K792" s="8" t="s">
        <v>208</v>
      </c>
      <c r="L792" s="8" t="s">
        <v>208</v>
      </c>
      <c r="M792" s="8" t="s">
        <v>208</v>
      </c>
      <c r="N792" s="8" t="s">
        <v>221</v>
      </c>
      <c r="O792" s="8" t="s">
        <v>221</v>
      </c>
      <c r="Q792" t="s">
        <v>3517</v>
      </c>
      <c r="R792" t="s">
        <v>3518</v>
      </c>
      <c r="U792" t="s">
        <v>3519</v>
      </c>
      <c r="V792" t="s">
        <v>138</v>
      </c>
      <c r="W792" t="s">
        <v>212</v>
      </c>
      <c r="Y792" t="s">
        <v>275</v>
      </c>
      <c r="AA792" t="s">
        <v>214</v>
      </c>
      <c r="AB792" t="s">
        <v>242</v>
      </c>
      <c r="AD792" t="s">
        <v>3258</v>
      </c>
      <c r="AE792" t="s">
        <v>217</v>
      </c>
      <c r="AG792" s="8" t="s">
        <v>218</v>
      </c>
      <c r="AH792" t="s">
        <v>2256</v>
      </c>
      <c r="AI792" s="8" t="s">
        <v>221</v>
      </c>
      <c r="AJ792" s="9" t="s">
        <v>218</v>
      </c>
      <c r="AK792" t="s">
        <v>3503</v>
      </c>
      <c r="AL792" s="8" t="s">
        <v>221</v>
      </c>
      <c r="AM792" s="9" t="s">
        <v>218</v>
      </c>
      <c r="AN792" s="8" t="s">
        <v>221</v>
      </c>
      <c r="AO792" s="8" t="s">
        <v>222</v>
      </c>
      <c r="AP792" s="8">
        <v>0</v>
      </c>
      <c r="AQ792" s="8">
        <v>0</v>
      </c>
      <c r="AR792" s="8">
        <v>0</v>
      </c>
      <c r="AS792" s="8">
        <v>0</v>
      </c>
      <c r="AT792" s="8">
        <v>0</v>
      </c>
      <c r="AU792" s="8">
        <v>0</v>
      </c>
      <c r="AV792" s="8">
        <v>0</v>
      </c>
      <c r="AW792" s="8">
        <v>0</v>
      </c>
      <c r="AX792" s="8"/>
      <c r="AY792" s="8"/>
      <c r="AZ792">
        <v>0</v>
      </c>
    </row>
    <row r="793" spans="1:54">
      <c r="A793" s="6">
        <v>45849</v>
      </c>
      <c r="B793" s="7" t="s">
        <v>3520</v>
      </c>
      <c r="C793" t="s">
        <v>205</v>
      </c>
      <c r="D793" t="s">
        <v>3419</v>
      </c>
      <c r="G793" t="s">
        <v>207</v>
      </c>
      <c r="H793" s="8" t="s">
        <v>208</v>
      </c>
      <c r="I793" s="8" t="s">
        <v>208</v>
      </c>
      <c r="J793" s="8" t="s">
        <v>208</v>
      </c>
      <c r="K793" s="8" t="s">
        <v>208</v>
      </c>
      <c r="L793" s="8" t="s">
        <v>208</v>
      </c>
      <c r="M793" s="8" t="s">
        <v>208</v>
      </c>
      <c r="N793" s="8" t="s">
        <v>221</v>
      </c>
      <c r="O793" s="8" t="s">
        <v>221</v>
      </c>
      <c r="Q793" t="s">
        <v>3521</v>
      </c>
      <c r="R793" t="s">
        <v>3522</v>
      </c>
      <c r="U793" t="s">
        <v>3523</v>
      </c>
      <c r="V793" t="s">
        <v>138</v>
      </c>
      <c r="W793" t="s">
        <v>212</v>
      </c>
      <c r="Y793" t="s">
        <v>275</v>
      </c>
      <c r="AA793" t="s">
        <v>214</v>
      </c>
      <c r="AB793" t="s">
        <v>242</v>
      </c>
      <c r="AD793" t="s">
        <v>3258</v>
      </c>
      <c r="AE793" t="s">
        <v>217</v>
      </c>
      <c r="AG793" s="8" t="s">
        <v>218</v>
      </c>
      <c r="AH793" t="s">
        <v>2256</v>
      </c>
      <c r="AI793" s="8" t="s">
        <v>221</v>
      </c>
      <c r="AJ793" s="9" t="s">
        <v>218</v>
      </c>
      <c r="AK793" t="s">
        <v>3449</v>
      </c>
      <c r="AL793" s="8" t="s">
        <v>221</v>
      </c>
      <c r="AM793" s="9" t="s">
        <v>218</v>
      </c>
      <c r="AN793" s="8" t="s">
        <v>221</v>
      </c>
      <c r="AO793" s="8" t="s">
        <v>222</v>
      </c>
      <c r="AP793" s="8">
        <v>0</v>
      </c>
      <c r="AQ793" s="8">
        <v>0</v>
      </c>
      <c r="AR793" s="8">
        <v>0</v>
      </c>
      <c r="AS793" s="8">
        <v>0</v>
      </c>
      <c r="AT793" s="8">
        <v>0</v>
      </c>
      <c r="AU793" s="8">
        <v>0</v>
      </c>
      <c r="AV793" s="8">
        <v>0</v>
      </c>
      <c r="AW793" s="8">
        <v>0</v>
      </c>
      <c r="AX793" s="8"/>
      <c r="AY793" s="8"/>
      <c r="AZ793">
        <v>0</v>
      </c>
    </row>
    <row r="794" spans="1:54">
      <c r="A794" s="6">
        <v>45849</v>
      </c>
      <c r="B794" s="7" t="s">
        <v>3524</v>
      </c>
      <c r="C794" t="s">
        <v>205</v>
      </c>
      <c r="D794" t="s">
        <v>3419</v>
      </c>
      <c r="G794" t="s">
        <v>207</v>
      </c>
      <c r="H794" s="8" t="s">
        <v>208</v>
      </c>
      <c r="I794" s="8" t="s">
        <v>208</v>
      </c>
      <c r="J794" s="8" t="s">
        <v>208</v>
      </c>
      <c r="K794" s="8" t="s">
        <v>208</v>
      </c>
      <c r="L794" s="8" t="s">
        <v>208</v>
      </c>
      <c r="M794" s="8" t="s">
        <v>208</v>
      </c>
      <c r="N794" s="8" t="s">
        <v>221</v>
      </c>
      <c r="O794" s="8" t="s">
        <v>221</v>
      </c>
      <c r="Q794" t="s">
        <v>3525</v>
      </c>
      <c r="R794" t="s">
        <v>3526</v>
      </c>
      <c r="U794" t="s">
        <v>3527</v>
      </c>
      <c r="V794" t="s">
        <v>138</v>
      </c>
      <c r="W794" t="s">
        <v>212</v>
      </c>
      <c r="Y794" t="s">
        <v>275</v>
      </c>
      <c r="AA794" t="s">
        <v>214</v>
      </c>
      <c r="AB794" t="s">
        <v>242</v>
      </c>
      <c r="AD794" t="s">
        <v>3258</v>
      </c>
      <c r="AE794" t="s">
        <v>217</v>
      </c>
      <c r="AG794" s="8" t="s">
        <v>218</v>
      </c>
      <c r="AH794" t="s">
        <v>2256</v>
      </c>
      <c r="AI794" s="8" t="s">
        <v>221</v>
      </c>
      <c r="AJ794" s="9" t="s">
        <v>218</v>
      </c>
      <c r="AK794" t="s">
        <v>3449</v>
      </c>
      <c r="AL794" s="8" t="s">
        <v>221</v>
      </c>
      <c r="AM794" s="9" t="s">
        <v>218</v>
      </c>
      <c r="AN794" s="8" t="s">
        <v>221</v>
      </c>
      <c r="AO794" s="8" t="s">
        <v>222</v>
      </c>
      <c r="AP794" s="8">
        <v>0</v>
      </c>
      <c r="AQ794" s="8">
        <v>0</v>
      </c>
      <c r="AR794" s="8">
        <v>0</v>
      </c>
      <c r="AS794" s="8">
        <v>0</v>
      </c>
      <c r="AT794" s="8">
        <v>0</v>
      </c>
      <c r="AU794" s="8">
        <v>0</v>
      </c>
      <c r="AV794" s="8">
        <v>0</v>
      </c>
      <c r="AW794" s="8">
        <v>0</v>
      </c>
      <c r="AX794" s="8"/>
      <c r="AY794" s="8"/>
      <c r="AZ794">
        <v>0</v>
      </c>
    </row>
    <row r="795" spans="1:54">
      <c r="A795" s="6">
        <v>45849</v>
      </c>
      <c r="B795" s="7" t="s">
        <v>3528</v>
      </c>
      <c r="C795" t="s">
        <v>205</v>
      </c>
      <c r="D795" t="s">
        <v>3419</v>
      </c>
      <c r="G795" t="s">
        <v>207</v>
      </c>
      <c r="H795" s="8" t="s">
        <v>208</v>
      </c>
      <c r="I795" s="8" t="s">
        <v>208</v>
      </c>
      <c r="J795" s="8" t="s">
        <v>208</v>
      </c>
      <c r="K795" s="8" t="s">
        <v>208</v>
      </c>
      <c r="L795" s="8" t="s">
        <v>208</v>
      </c>
      <c r="M795" s="8" t="s">
        <v>208</v>
      </c>
      <c r="N795" s="8" t="s">
        <v>221</v>
      </c>
      <c r="O795" s="8" t="s">
        <v>221</v>
      </c>
      <c r="Q795" t="s">
        <v>3529</v>
      </c>
      <c r="R795" t="s">
        <v>3530</v>
      </c>
      <c r="U795" t="s">
        <v>3531</v>
      </c>
      <c r="V795" t="s">
        <v>138</v>
      </c>
      <c r="W795" t="s">
        <v>212</v>
      </c>
      <c r="X795" t="s">
        <v>212</v>
      </c>
      <c r="Y795" t="s">
        <v>275</v>
      </c>
      <c r="Z795" t="s">
        <v>213</v>
      </c>
      <c r="AA795" t="s">
        <v>214</v>
      </c>
      <c r="AB795" t="s">
        <v>701</v>
      </c>
      <c r="AC795" t="s">
        <v>242</v>
      </c>
      <c r="AD795" t="s">
        <v>3258</v>
      </c>
      <c r="AE795" t="s">
        <v>217</v>
      </c>
      <c r="AG795" s="8" t="s">
        <v>218</v>
      </c>
      <c r="AH795" t="s">
        <v>2256</v>
      </c>
      <c r="AI795" s="8" t="s">
        <v>221</v>
      </c>
      <c r="AJ795" s="9" t="s">
        <v>218</v>
      </c>
      <c r="AK795" t="s">
        <v>234</v>
      </c>
      <c r="AL795" s="8" t="s">
        <v>221</v>
      </c>
      <c r="AM795" s="9" t="s">
        <v>218</v>
      </c>
      <c r="AN795" s="8" t="s">
        <v>221</v>
      </c>
      <c r="AO795" s="8" t="s">
        <v>222</v>
      </c>
      <c r="AP795" s="8">
        <v>0</v>
      </c>
      <c r="AQ795" s="8">
        <v>0</v>
      </c>
      <c r="AR795" s="8">
        <v>0</v>
      </c>
      <c r="AS795" s="8">
        <v>0</v>
      </c>
      <c r="AT795" s="8">
        <v>0</v>
      </c>
      <c r="AU795" s="8">
        <v>0</v>
      </c>
      <c r="AV795" s="8">
        <v>0</v>
      </c>
      <c r="AW795" s="8">
        <v>0</v>
      </c>
      <c r="AX795" s="8"/>
      <c r="AY795" s="8"/>
      <c r="AZ795">
        <v>2</v>
      </c>
      <c r="BA795" t="s">
        <v>3532</v>
      </c>
      <c r="BB795" t="s">
        <v>3533</v>
      </c>
    </row>
    <row r="796" spans="1:54">
      <c r="A796" s="6">
        <v>45849</v>
      </c>
      <c r="B796" s="7" t="s">
        <v>3534</v>
      </c>
      <c r="C796" t="s">
        <v>205</v>
      </c>
      <c r="D796" t="s">
        <v>3419</v>
      </c>
      <c r="G796" t="s">
        <v>207</v>
      </c>
      <c r="H796" s="8" t="s">
        <v>208</v>
      </c>
      <c r="I796" s="8" t="s">
        <v>208</v>
      </c>
      <c r="J796" s="8" t="s">
        <v>208</v>
      </c>
      <c r="K796" s="8" t="s">
        <v>208</v>
      </c>
      <c r="L796" s="8" t="s">
        <v>208</v>
      </c>
      <c r="M796" s="8" t="s">
        <v>208</v>
      </c>
      <c r="N796" s="8" t="s">
        <v>221</v>
      </c>
      <c r="O796" s="8" t="s">
        <v>221</v>
      </c>
      <c r="Q796" t="s">
        <v>3535</v>
      </c>
      <c r="R796" t="s">
        <v>3536</v>
      </c>
      <c r="U796" t="s">
        <v>3537</v>
      </c>
      <c r="V796" t="s">
        <v>138</v>
      </c>
      <c r="W796" t="s">
        <v>212</v>
      </c>
      <c r="X796" t="s">
        <v>212</v>
      </c>
      <c r="Y796" t="s">
        <v>275</v>
      </c>
      <c r="Z796" t="s">
        <v>213</v>
      </c>
      <c r="AA796" t="s">
        <v>214</v>
      </c>
      <c r="AB796" t="s">
        <v>215</v>
      </c>
      <c r="AC796" t="s">
        <v>242</v>
      </c>
      <c r="AD796" t="s">
        <v>3258</v>
      </c>
      <c r="AE796" t="s">
        <v>217</v>
      </c>
      <c r="AG796" s="8" t="s">
        <v>218</v>
      </c>
      <c r="AH796" t="s">
        <v>2256</v>
      </c>
      <c r="AI796" s="8" t="s">
        <v>221</v>
      </c>
      <c r="AJ796" s="9" t="s">
        <v>218</v>
      </c>
      <c r="AK796" t="s">
        <v>234</v>
      </c>
      <c r="AL796" s="8" t="s">
        <v>221</v>
      </c>
      <c r="AM796" s="9" t="s">
        <v>218</v>
      </c>
      <c r="AN796" s="8" t="s">
        <v>221</v>
      </c>
      <c r="AO796" s="8" t="s">
        <v>222</v>
      </c>
      <c r="AP796" s="8">
        <v>0</v>
      </c>
      <c r="AQ796" s="8">
        <v>0</v>
      </c>
      <c r="AR796" s="8">
        <v>0</v>
      </c>
      <c r="AS796" s="8">
        <v>0</v>
      </c>
      <c r="AT796" s="8">
        <v>0</v>
      </c>
      <c r="AU796" s="8">
        <v>0</v>
      </c>
      <c r="AV796" s="8">
        <v>0</v>
      </c>
      <c r="AW796" s="8">
        <v>0</v>
      </c>
      <c r="AX796" s="8"/>
      <c r="AY796" s="8"/>
      <c r="AZ796">
        <v>2</v>
      </c>
      <c r="BA796" t="s">
        <v>3538</v>
      </c>
      <c r="BB796" t="s">
        <v>3539</v>
      </c>
    </row>
    <row r="797" spans="1:54">
      <c r="A797" s="6">
        <v>45849</v>
      </c>
      <c r="B797" s="7" t="s">
        <v>2310</v>
      </c>
      <c r="C797" t="s">
        <v>205</v>
      </c>
      <c r="D797" t="s">
        <v>3419</v>
      </c>
      <c r="G797" t="s">
        <v>207</v>
      </c>
      <c r="H797" s="8" t="s">
        <v>208</v>
      </c>
      <c r="I797" s="8" t="s">
        <v>208</v>
      </c>
      <c r="J797" s="8" t="s">
        <v>208</v>
      </c>
      <c r="K797" s="8" t="s">
        <v>208</v>
      </c>
      <c r="L797" s="8" t="s">
        <v>208</v>
      </c>
      <c r="M797" s="8" t="s">
        <v>208</v>
      </c>
      <c r="N797" s="8" t="s">
        <v>221</v>
      </c>
      <c r="O797" s="8" t="s">
        <v>221</v>
      </c>
      <c r="Q797" t="s">
        <v>2311</v>
      </c>
      <c r="R797" t="s">
        <v>2312</v>
      </c>
      <c r="U797" t="s">
        <v>2313</v>
      </c>
      <c r="V797" t="s">
        <v>140</v>
      </c>
      <c r="W797" t="s">
        <v>212</v>
      </c>
      <c r="X797" t="s">
        <v>212</v>
      </c>
      <c r="Y797" t="s">
        <v>275</v>
      </c>
      <c r="Z797" t="s">
        <v>213</v>
      </c>
      <c r="AA797" t="s">
        <v>214</v>
      </c>
      <c r="AB797" t="s">
        <v>215</v>
      </c>
      <c r="AC797" t="s">
        <v>242</v>
      </c>
      <c r="AD797" t="s">
        <v>3258</v>
      </c>
      <c r="AE797" t="s">
        <v>217</v>
      </c>
      <c r="AG797" s="8" t="s">
        <v>218</v>
      </c>
      <c r="AH797" t="s">
        <v>2256</v>
      </c>
      <c r="AI797" s="8" t="s">
        <v>221</v>
      </c>
      <c r="AJ797" s="9" t="s">
        <v>218</v>
      </c>
      <c r="AK797" t="s">
        <v>2314</v>
      </c>
      <c r="AL797" s="8" t="s">
        <v>221</v>
      </c>
      <c r="AM797" s="9" t="s">
        <v>218</v>
      </c>
      <c r="AN797" s="8" t="s">
        <v>221</v>
      </c>
      <c r="AO797" s="8" t="s">
        <v>222</v>
      </c>
      <c r="AP797" s="8">
        <v>0</v>
      </c>
      <c r="AQ797" s="8">
        <v>0</v>
      </c>
      <c r="AR797" s="8">
        <v>0</v>
      </c>
      <c r="AS797" s="8">
        <v>0</v>
      </c>
      <c r="AT797" s="8">
        <v>0</v>
      </c>
      <c r="AU797" s="8">
        <v>0</v>
      </c>
      <c r="AV797" s="8">
        <v>0</v>
      </c>
      <c r="AW797" s="8">
        <v>0</v>
      </c>
      <c r="AX797" s="8"/>
      <c r="AY797" s="8"/>
      <c r="AZ797">
        <v>2</v>
      </c>
      <c r="BA797" t="s">
        <v>3540</v>
      </c>
      <c r="BB797" t="s">
        <v>2317</v>
      </c>
    </row>
    <row r="798" spans="1:54">
      <c r="A798" s="6">
        <v>45849</v>
      </c>
      <c r="B798" s="7" t="s">
        <v>3541</v>
      </c>
      <c r="C798" t="s">
        <v>205</v>
      </c>
      <c r="D798" t="s">
        <v>3419</v>
      </c>
      <c r="G798" t="s">
        <v>207</v>
      </c>
      <c r="H798" s="8" t="s">
        <v>208</v>
      </c>
      <c r="I798" s="8" t="s">
        <v>208</v>
      </c>
      <c r="J798" s="8" t="s">
        <v>208</v>
      </c>
      <c r="K798" s="8" t="s">
        <v>208</v>
      </c>
      <c r="L798" s="8" t="s">
        <v>208</v>
      </c>
      <c r="M798" s="8" t="s">
        <v>208</v>
      </c>
      <c r="N798" s="8" t="s">
        <v>221</v>
      </c>
      <c r="O798" s="8" t="s">
        <v>221</v>
      </c>
      <c r="Q798" t="s">
        <v>3542</v>
      </c>
      <c r="R798" t="s">
        <v>3543</v>
      </c>
      <c r="U798" t="s">
        <v>3544</v>
      </c>
      <c r="V798" t="s">
        <v>138</v>
      </c>
      <c r="W798" t="s">
        <v>212</v>
      </c>
      <c r="X798" t="s">
        <v>212</v>
      </c>
      <c r="Y798" t="s">
        <v>275</v>
      </c>
      <c r="Z798" t="s">
        <v>213</v>
      </c>
      <c r="AA798" t="s">
        <v>214</v>
      </c>
      <c r="AB798" t="s">
        <v>701</v>
      </c>
      <c r="AC798" t="s">
        <v>242</v>
      </c>
      <c r="AD798" t="s">
        <v>3258</v>
      </c>
      <c r="AE798" t="s">
        <v>217</v>
      </c>
      <c r="AG798" s="8" t="s">
        <v>218</v>
      </c>
      <c r="AH798" t="s">
        <v>2256</v>
      </c>
      <c r="AI798" s="8" t="s">
        <v>221</v>
      </c>
      <c r="AJ798" s="9" t="s">
        <v>218</v>
      </c>
      <c r="AK798" t="s">
        <v>234</v>
      </c>
      <c r="AL798" s="8" t="s">
        <v>221</v>
      </c>
      <c r="AM798" s="9" t="s">
        <v>218</v>
      </c>
      <c r="AN798" s="8" t="s">
        <v>221</v>
      </c>
      <c r="AO798" s="8" t="s">
        <v>222</v>
      </c>
      <c r="AP798" s="8">
        <v>0</v>
      </c>
      <c r="AQ798" s="8">
        <v>0</v>
      </c>
      <c r="AR798" s="8">
        <v>0</v>
      </c>
      <c r="AS798" s="8">
        <v>0</v>
      </c>
      <c r="AT798" s="8">
        <v>0</v>
      </c>
      <c r="AU798" s="8">
        <v>0</v>
      </c>
      <c r="AV798" s="8">
        <v>0</v>
      </c>
      <c r="AW798" s="8">
        <v>0</v>
      </c>
      <c r="AX798" s="8"/>
      <c r="AY798" s="8"/>
      <c r="AZ798">
        <v>2</v>
      </c>
      <c r="BA798" t="s">
        <v>3545</v>
      </c>
      <c r="BB798" t="s">
        <v>3546</v>
      </c>
    </row>
    <row r="799" spans="1:54">
      <c r="A799" s="6">
        <v>45849</v>
      </c>
      <c r="B799" s="7" t="s">
        <v>3547</v>
      </c>
      <c r="C799" t="s">
        <v>205</v>
      </c>
      <c r="D799" t="s">
        <v>3419</v>
      </c>
      <c r="G799" t="s">
        <v>207</v>
      </c>
      <c r="H799" s="8" t="s">
        <v>208</v>
      </c>
      <c r="I799" s="8" t="s">
        <v>208</v>
      </c>
      <c r="J799" s="8" t="s">
        <v>208</v>
      </c>
      <c r="K799" s="8" t="s">
        <v>208</v>
      </c>
      <c r="L799" s="8" t="s">
        <v>208</v>
      </c>
      <c r="M799" s="8" t="s">
        <v>208</v>
      </c>
      <c r="N799" s="8" t="s">
        <v>221</v>
      </c>
      <c r="O799" s="8" t="s">
        <v>221</v>
      </c>
      <c r="Q799" t="s">
        <v>3548</v>
      </c>
      <c r="R799" t="s">
        <v>3549</v>
      </c>
      <c r="U799" t="s">
        <v>3550</v>
      </c>
      <c r="V799" t="s">
        <v>138</v>
      </c>
      <c r="W799" t="s">
        <v>212</v>
      </c>
      <c r="X799" t="s">
        <v>212</v>
      </c>
      <c r="Y799" t="s">
        <v>275</v>
      </c>
      <c r="Z799" t="s">
        <v>213</v>
      </c>
      <c r="AA799" t="s">
        <v>214</v>
      </c>
      <c r="AB799" t="s">
        <v>215</v>
      </c>
      <c r="AC799" t="s">
        <v>701</v>
      </c>
      <c r="AD799" t="s">
        <v>3551</v>
      </c>
      <c r="AE799" t="s">
        <v>217</v>
      </c>
      <c r="AG799" s="8" t="s">
        <v>218</v>
      </c>
      <c r="AH799" t="s">
        <v>2256</v>
      </c>
      <c r="AI799" s="8" t="s">
        <v>221</v>
      </c>
      <c r="AJ799" s="9" t="s">
        <v>218</v>
      </c>
      <c r="AK799" t="s">
        <v>234</v>
      </c>
      <c r="AL799" s="8" t="s">
        <v>221</v>
      </c>
      <c r="AM799" s="9" t="s">
        <v>218</v>
      </c>
      <c r="AN799" s="8" t="s">
        <v>221</v>
      </c>
      <c r="AO799" s="8" t="s">
        <v>222</v>
      </c>
      <c r="AP799" s="8">
        <v>0</v>
      </c>
      <c r="AQ799" s="8">
        <v>0</v>
      </c>
      <c r="AR799" s="8">
        <v>0</v>
      </c>
      <c r="AS799" s="8">
        <v>0</v>
      </c>
      <c r="AT799" s="8">
        <v>0</v>
      </c>
      <c r="AU799" s="8">
        <v>0</v>
      </c>
      <c r="AV799" s="8">
        <v>0</v>
      </c>
      <c r="AW799" s="8">
        <v>0</v>
      </c>
      <c r="AX799" s="8"/>
      <c r="AY799" s="8"/>
      <c r="AZ799">
        <v>3</v>
      </c>
      <c r="BA799" t="s">
        <v>3552</v>
      </c>
      <c r="BB799" t="s">
        <v>3553</v>
      </c>
    </row>
    <row r="800" spans="1:54">
      <c r="A800" s="6">
        <v>45849</v>
      </c>
      <c r="B800" s="7" t="s">
        <v>3554</v>
      </c>
      <c r="C800" t="s">
        <v>205</v>
      </c>
      <c r="D800" t="s">
        <v>3419</v>
      </c>
      <c r="G800" t="s">
        <v>207</v>
      </c>
      <c r="H800" s="8" t="s">
        <v>208</v>
      </c>
      <c r="I800" s="8" t="s">
        <v>208</v>
      </c>
      <c r="J800" s="8" t="s">
        <v>208</v>
      </c>
      <c r="K800" s="8" t="s">
        <v>208</v>
      </c>
      <c r="L800" s="8" t="s">
        <v>208</v>
      </c>
      <c r="M800" s="8" t="s">
        <v>208</v>
      </c>
      <c r="N800" s="8" t="s">
        <v>221</v>
      </c>
      <c r="O800" s="8" t="s">
        <v>221</v>
      </c>
      <c r="Q800" t="s">
        <v>3555</v>
      </c>
      <c r="R800" t="s">
        <v>3556</v>
      </c>
      <c r="U800" t="s">
        <v>3557</v>
      </c>
      <c r="V800" t="s">
        <v>138</v>
      </c>
      <c r="W800" t="s">
        <v>212</v>
      </c>
      <c r="X800" t="s">
        <v>212</v>
      </c>
      <c r="Y800" t="s">
        <v>275</v>
      </c>
      <c r="Z800" t="s">
        <v>213</v>
      </c>
      <c r="AA800" t="s">
        <v>1164</v>
      </c>
      <c r="AB800" t="s">
        <v>701</v>
      </c>
      <c r="AC800" t="s">
        <v>242</v>
      </c>
      <c r="AD800" t="s">
        <v>3258</v>
      </c>
      <c r="AE800" t="s">
        <v>217</v>
      </c>
      <c r="AG800" s="8" t="s">
        <v>218</v>
      </c>
      <c r="AH800" t="s">
        <v>2256</v>
      </c>
      <c r="AI800" s="8" t="s">
        <v>221</v>
      </c>
      <c r="AJ800" s="9" t="s">
        <v>218</v>
      </c>
      <c r="AK800" t="s">
        <v>234</v>
      </c>
      <c r="AL800" s="8" t="s">
        <v>221</v>
      </c>
      <c r="AM800" s="9" t="s">
        <v>218</v>
      </c>
      <c r="AN800" s="8" t="s">
        <v>221</v>
      </c>
      <c r="AO800" s="8" t="s">
        <v>222</v>
      </c>
      <c r="AP800" s="8">
        <v>0</v>
      </c>
      <c r="AQ800" s="8">
        <v>0</v>
      </c>
      <c r="AR800" s="8">
        <v>0</v>
      </c>
      <c r="AS800" s="8">
        <v>0</v>
      </c>
      <c r="AT800" s="8">
        <v>0</v>
      </c>
      <c r="AU800" s="8">
        <v>0</v>
      </c>
      <c r="AV800" s="8">
        <v>0</v>
      </c>
      <c r="AW800" s="8">
        <v>0</v>
      </c>
      <c r="AX800" s="8"/>
      <c r="AY800" s="8"/>
      <c r="AZ800">
        <v>2</v>
      </c>
      <c r="BA800" t="s">
        <v>3545</v>
      </c>
      <c r="BB800" t="s">
        <v>3558</v>
      </c>
    </row>
    <row r="801" spans="1:54">
      <c r="A801" s="6">
        <v>45849</v>
      </c>
      <c r="B801" s="7" t="s">
        <v>3559</v>
      </c>
      <c r="C801" t="s">
        <v>205</v>
      </c>
      <c r="D801" t="s">
        <v>3419</v>
      </c>
      <c r="G801" t="s">
        <v>207</v>
      </c>
      <c r="H801" s="8" t="s">
        <v>208</v>
      </c>
      <c r="I801" s="8" t="s">
        <v>208</v>
      </c>
      <c r="J801" s="8" t="s">
        <v>208</v>
      </c>
      <c r="K801" s="8" t="s">
        <v>208</v>
      </c>
      <c r="L801" s="8" t="s">
        <v>208</v>
      </c>
      <c r="M801" s="8" t="s">
        <v>208</v>
      </c>
      <c r="N801" s="8" t="s">
        <v>221</v>
      </c>
      <c r="O801" s="8" t="s">
        <v>221</v>
      </c>
      <c r="Q801" t="s">
        <v>3560</v>
      </c>
      <c r="R801" t="s">
        <v>3561</v>
      </c>
      <c r="U801" t="s">
        <v>3562</v>
      </c>
      <c r="V801" t="s">
        <v>140</v>
      </c>
      <c r="W801" t="s">
        <v>774</v>
      </c>
      <c r="X801" t="s">
        <v>774</v>
      </c>
      <c r="Y801" t="s">
        <v>1082</v>
      </c>
      <c r="Z801" t="s">
        <v>775</v>
      </c>
      <c r="AA801" t="s">
        <v>1164</v>
      </c>
      <c r="AB801" t="s">
        <v>301</v>
      </c>
      <c r="AC801" t="s">
        <v>312</v>
      </c>
      <c r="AD801" t="s">
        <v>3224</v>
      </c>
      <c r="AE801" t="s">
        <v>2259</v>
      </c>
      <c r="AG801" s="8" t="s">
        <v>218</v>
      </c>
      <c r="AH801" t="s">
        <v>2256</v>
      </c>
      <c r="AI801" s="8" t="s">
        <v>221</v>
      </c>
      <c r="AJ801" s="9" t="s">
        <v>218</v>
      </c>
      <c r="AK801" t="s">
        <v>3563</v>
      </c>
      <c r="AL801" s="8" t="s">
        <v>221</v>
      </c>
      <c r="AM801" s="9" t="s">
        <v>218</v>
      </c>
      <c r="AN801" s="8" t="s">
        <v>221</v>
      </c>
      <c r="AO801" s="8" t="s">
        <v>222</v>
      </c>
      <c r="AP801" s="8">
        <v>0</v>
      </c>
      <c r="AQ801" s="8">
        <v>0</v>
      </c>
      <c r="AR801" s="8">
        <v>0</v>
      </c>
      <c r="AS801" s="8">
        <v>0</v>
      </c>
      <c r="AT801" s="8">
        <v>0</v>
      </c>
      <c r="AU801" s="8">
        <v>0</v>
      </c>
      <c r="AV801" s="8">
        <v>0</v>
      </c>
      <c r="AW801" s="8">
        <v>0</v>
      </c>
      <c r="AX801" s="8"/>
      <c r="AY801" s="8"/>
      <c r="AZ801">
        <v>2</v>
      </c>
      <c r="BA801" t="s">
        <v>3564</v>
      </c>
      <c r="BB801" t="s">
        <v>3565</v>
      </c>
    </row>
    <row r="802" spans="1:54">
      <c r="A802" s="6">
        <v>45849</v>
      </c>
      <c r="B802" s="7" t="s">
        <v>667</v>
      </c>
      <c r="C802" t="s">
        <v>205</v>
      </c>
      <c r="D802" t="s">
        <v>3419</v>
      </c>
      <c r="G802" t="s">
        <v>207</v>
      </c>
      <c r="H802" s="8" t="s">
        <v>208</v>
      </c>
      <c r="I802" s="8" t="s">
        <v>208</v>
      </c>
      <c r="J802" s="8" t="s">
        <v>208</v>
      </c>
      <c r="K802" s="8" t="s">
        <v>208</v>
      </c>
      <c r="L802" s="8" t="s">
        <v>208</v>
      </c>
      <c r="M802" s="8" t="s">
        <v>208</v>
      </c>
      <c r="N802" s="8" t="s">
        <v>221</v>
      </c>
      <c r="O802" s="8" t="s">
        <v>221</v>
      </c>
      <c r="Q802" t="s">
        <v>669</v>
      </c>
      <c r="R802" t="s">
        <v>670</v>
      </c>
      <c r="U802" t="s">
        <v>671</v>
      </c>
      <c r="V802" t="s">
        <v>138</v>
      </c>
      <c r="W802" t="s">
        <v>212</v>
      </c>
      <c r="X802" t="s">
        <v>212</v>
      </c>
      <c r="Y802" t="s">
        <v>275</v>
      </c>
      <c r="Z802" t="s">
        <v>213</v>
      </c>
      <c r="AA802" t="s">
        <v>214</v>
      </c>
      <c r="AB802" t="s">
        <v>832</v>
      </c>
      <c r="AC802" t="s">
        <v>1335</v>
      </c>
      <c r="AD802" t="s">
        <v>3258</v>
      </c>
      <c r="AE802" t="s">
        <v>217</v>
      </c>
      <c r="AG802" s="9" t="s">
        <v>221</v>
      </c>
      <c r="AH802" t="s">
        <v>2256</v>
      </c>
      <c r="AI802" s="8" t="s">
        <v>221</v>
      </c>
      <c r="AJ802" s="9" t="s">
        <v>218</v>
      </c>
      <c r="AK802" t="s">
        <v>234</v>
      </c>
      <c r="AL802" s="8" t="s">
        <v>221</v>
      </c>
      <c r="AM802" s="9" t="s">
        <v>218</v>
      </c>
      <c r="AN802" s="8" t="s">
        <v>221</v>
      </c>
      <c r="AO802" s="8" t="s">
        <v>222</v>
      </c>
      <c r="AP802" s="8">
        <v>0</v>
      </c>
      <c r="AQ802" s="8">
        <v>0</v>
      </c>
      <c r="AR802" s="9">
        <v>130</v>
      </c>
      <c r="AS802" s="8">
        <v>0</v>
      </c>
      <c r="AT802" s="8">
        <v>0</v>
      </c>
      <c r="AU802" s="8">
        <v>0</v>
      </c>
      <c r="AV802" s="8">
        <v>0</v>
      </c>
      <c r="AW802" s="9">
        <v>130</v>
      </c>
      <c r="AX802" s="8"/>
      <c r="AY802" s="9" t="s">
        <v>674</v>
      </c>
      <c r="AZ802">
        <v>2</v>
      </c>
      <c r="BA802" t="s">
        <v>3566</v>
      </c>
      <c r="BB802" t="s">
        <v>675</v>
      </c>
    </row>
    <row r="803" spans="1:54">
      <c r="A803" s="6">
        <v>45849</v>
      </c>
      <c r="B803" s="7" t="s">
        <v>1618</v>
      </c>
      <c r="C803" t="s">
        <v>205</v>
      </c>
      <c r="D803" t="s">
        <v>3419</v>
      </c>
      <c r="G803" t="s">
        <v>207</v>
      </c>
      <c r="H803" s="8" t="s">
        <v>208</v>
      </c>
      <c r="I803" s="8" t="s">
        <v>208</v>
      </c>
      <c r="J803" s="8" t="s">
        <v>208</v>
      </c>
      <c r="K803" s="8" t="s">
        <v>208</v>
      </c>
      <c r="L803" s="8" t="s">
        <v>208</v>
      </c>
      <c r="M803" s="8" t="s">
        <v>208</v>
      </c>
      <c r="N803" s="8" t="s">
        <v>221</v>
      </c>
      <c r="O803" s="8" t="s">
        <v>221</v>
      </c>
      <c r="Q803" t="s">
        <v>1619</v>
      </c>
      <c r="R803" t="s">
        <v>1620</v>
      </c>
      <c r="U803" t="s">
        <v>1621</v>
      </c>
      <c r="V803" t="s">
        <v>140</v>
      </c>
      <c r="W803" t="s">
        <v>212</v>
      </c>
      <c r="X803" t="s">
        <v>212</v>
      </c>
      <c r="Y803" t="s">
        <v>275</v>
      </c>
      <c r="Z803" t="s">
        <v>213</v>
      </c>
      <c r="AA803" t="s">
        <v>214</v>
      </c>
      <c r="AB803" t="s">
        <v>277</v>
      </c>
      <c r="AC803" t="s">
        <v>215</v>
      </c>
      <c r="AD803" t="s">
        <v>3258</v>
      </c>
      <c r="AE803" t="s">
        <v>217</v>
      </c>
      <c r="AG803" s="8" t="s">
        <v>218</v>
      </c>
      <c r="AH803" t="s">
        <v>2256</v>
      </c>
      <c r="AI803" s="8" t="s">
        <v>221</v>
      </c>
      <c r="AJ803" s="9" t="s">
        <v>218</v>
      </c>
      <c r="AK803" t="s">
        <v>234</v>
      </c>
      <c r="AL803" s="8" t="s">
        <v>221</v>
      </c>
      <c r="AM803" s="9" t="s">
        <v>218</v>
      </c>
      <c r="AN803" s="8" t="s">
        <v>221</v>
      </c>
      <c r="AO803" s="8" t="s">
        <v>222</v>
      </c>
      <c r="AP803" s="8">
        <v>0</v>
      </c>
      <c r="AQ803" s="8">
        <v>0</v>
      </c>
      <c r="AR803" s="9">
        <v>33</v>
      </c>
      <c r="AS803" s="8">
        <v>0</v>
      </c>
      <c r="AT803" s="8">
        <v>0</v>
      </c>
      <c r="AU803" s="8">
        <v>0</v>
      </c>
      <c r="AV803" s="8">
        <v>0</v>
      </c>
      <c r="AW803" s="9">
        <v>33</v>
      </c>
      <c r="AX803" s="8"/>
      <c r="AY803" s="8"/>
      <c r="AZ803">
        <v>2</v>
      </c>
      <c r="BA803" t="s">
        <v>3567</v>
      </c>
      <c r="BB803" t="s">
        <v>1624</v>
      </c>
    </row>
    <row r="804" spans="1:54">
      <c r="A804" s="6">
        <v>45849</v>
      </c>
      <c r="B804" s="7" t="s">
        <v>1158</v>
      </c>
      <c r="C804" t="s">
        <v>205</v>
      </c>
      <c r="D804" t="s">
        <v>3419</v>
      </c>
      <c r="G804" t="s">
        <v>207</v>
      </c>
      <c r="H804" s="8" t="s">
        <v>208</v>
      </c>
      <c r="I804" s="8" t="s">
        <v>208</v>
      </c>
      <c r="J804" s="8" t="s">
        <v>208</v>
      </c>
      <c r="K804" s="8" t="s">
        <v>208</v>
      </c>
      <c r="L804" s="8" t="s">
        <v>208</v>
      </c>
      <c r="M804" s="8" t="s">
        <v>208</v>
      </c>
      <c r="N804" s="8" t="s">
        <v>221</v>
      </c>
      <c r="O804" s="8" t="s">
        <v>221</v>
      </c>
      <c r="Q804" t="s">
        <v>1161</v>
      </c>
      <c r="R804" t="s">
        <v>1162</v>
      </c>
      <c r="U804" t="s">
        <v>1163</v>
      </c>
      <c r="V804" t="s">
        <v>140</v>
      </c>
      <c r="W804" t="s">
        <v>774</v>
      </c>
      <c r="X804" t="s">
        <v>774</v>
      </c>
      <c r="Y804" t="s">
        <v>1082</v>
      </c>
      <c r="Z804" t="s">
        <v>775</v>
      </c>
      <c r="AA804" t="s">
        <v>1164</v>
      </c>
      <c r="AB804" t="s">
        <v>391</v>
      </c>
      <c r="AC804" t="s">
        <v>312</v>
      </c>
      <c r="AD804" t="s">
        <v>3224</v>
      </c>
      <c r="AE804" t="s">
        <v>2259</v>
      </c>
      <c r="AG804" s="8" t="s">
        <v>218</v>
      </c>
      <c r="AH804" t="s">
        <v>2256</v>
      </c>
      <c r="AI804" s="8" t="s">
        <v>221</v>
      </c>
      <c r="AJ804" s="9" t="s">
        <v>218</v>
      </c>
      <c r="AK804" t="s">
        <v>1167</v>
      </c>
      <c r="AL804" s="8" t="s">
        <v>221</v>
      </c>
      <c r="AM804" s="9" t="s">
        <v>218</v>
      </c>
      <c r="AN804" s="8" t="s">
        <v>221</v>
      </c>
      <c r="AO804" s="8" t="s">
        <v>222</v>
      </c>
      <c r="AP804" s="8">
        <v>0</v>
      </c>
      <c r="AQ804" s="8">
        <v>0</v>
      </c>
      <c r="AR804" s="8">
        <v>0</v>
      </c>
      <c r="AS804" s="8">
        <v>0</v>
      </c>
      <c r="AT804" s="8">
        <v>0</v>
      </c>
      <c r="AU804" s="8">
        <v>0</v>
      </c>
      <c r="AV804" s="8">
        <v>0</v>
      </c>
      <c r="AW804" s="8">
        <v>0</v>
      </c>
      <c r="AX804" s="8"/>
      <c r="AY804" s="8"/>
      <c r="AZ804">
        <v>3</v>
      </c>
      <c r="BA804" t="s">
        <v>3568</v>
      </c>
      <c r="BB804" t="s">
        <v>1170</v>
      </c>
    </row>
    <row r="805" spans="1:54">
      <c r="A805" s="6">
        <v>45849</v>
      </c>
      <c r="B805" s="7" t="s">
        <v>1322</v>
      </c>
      <c r="C805" t="s">
        <v>205</v>
      </c>
      <c r="D805" t="s">
        <v>3419</v>
      </c>
      <c r="G805" t="s">
        <v>207</v>
      </c>
      <c r="H805" s="8" t="s">
        <v>208</v>
      </c>
      <c r="I805" s="8" t="s">
        <v>208</v>
      </c>
      <c r="J805" s="8" t="s">
        <v>208</v>
      </c>
      <c r="K805" s="8" t="s">
        <v>208</v>
      </c>
      <c r="L805" s="8" t="s">
        <v>208</v>
      </c>
      <c r="M805" s="8" t="s">
        <v>208</v>
      </c>
      <c r="N805" s="8" t="s">
        <v>221</v>
      </c>
      <c r="O805" s="8" t="s">
        <v>221</v>
      </c>
      <c r="Q805" t="s">
        <v>1323</v>
      </c>
      <c r="R805" t="s">
        <v>1324</v>
      </c>
      <c r="U805" t="s">
        <v>1325</v>
      </c>
      <c r="V805" t="s">
        <v>140</v>
      </c>
      <c r="W805" t="s">
        <v>774</v>
      </c>
      <c r="X805" t="s">
        <v>774</v>
      </c>
      <c r="Y805" t="s">
        <v>1082</v>
      </c>
      <c r="Z805" t="s">
        <v>775</v>
      </c>
      <c r="AA805" t="s">
        <v>1164</v>
      </c>
      <c r="AB805" t="s">
        <v>3292</v>
      </c>
      <c r="AC805" t="s">
        <v>1147</v>
      </c>
      <c r="AD805" t="s">
        <v>3224</v>
      </c>
      <c r="AE805" t="s">
        <v>2259</v>
      </c>
      <c r="AG805" s="9" t="s">
        <v>221</v>
      </c>
      <c r="AH805" t="s">
        <v>2256</v>
      </c>
      <c r="AI805" s="8" t="s">
        <v>221</v>
      </c>
      <c r="AJ805" s="9" t="s">
        <v>218</v>
      </c>
      <c r="AK805" t="s">
        <v>234</v>
      </c>
      <c r="AL805" s="8" t="s">
        <v>221</v>
      </c>
      <c r="AM805" s="9" t="s">
        <v>218</v>
      </c>
      <c r="AN805" s="8" t="s">
        <v>221</v>
      </c>
      <c r="AO805" s="8" t="s">
        <v>222</v>
      </c>
      <c r="AP805" s="8">
        <v>0</v>
      </c>
      <c r="AQ805" s="8">
        <v>0</v>
      </c>
      <c r="AR805" s="9">
        <v>176</v>
      </c>
      <c r="AS805" s="8">
        <v>0</v>
      </c>
      <c r="AT805" s="8">
        <v>0</v>
      </c>
      <c r="AU805" s="8">
        <v>0</v>
      </c>
      <c r="AV805" s="8">
        <v>0</v>
      </c>
      <c r="AW805" s="9">
        <v>176</v>
      </c>
      <c r="AX805" s="8"/>
      <c r="AY805" s="8"/>
      <c r="AZ805">
        <v>2</v>
      </c>
      <c r="BA805" t="s">
        <v>3293</v>
      </c>
      <c r="BB805" t="s">
        <v>1329</v>
      </c>
    </row>
    <row r="806" spans="1:54">
      <c r="A806" s="6">
        <v>45849</v>
      </c>
      <c r="B806" s="7" t="s">
        <v>1292</v>
      </c>
      <c r="C806" t="s">
        <v>205</v>
      </c>
      <c r="D806" t="s">
        <v>3419</v>
      </c>
      <c r="G806" t="s">
        <v>207</v>
      </c>
      <c r="H806" s="8" t="s">
        <v>208</v>
      </c>
      <c r="I806" s="8" t="s">
        <v>208</v>
      </c>
      <c r="J806" s="8" t="s">
        <v>208</v>
      </c>
      <c r="K806" s="8" t="s">
        <v>208</v>
      </c>
      <c r="L806" s="8" t="s">
        <v>208</v>
      </c>
      <c r="M806" s="8" t="s">
        <v>208</v>
      </c>
      <c r="N806" s="8" t="s">
        <v>221</v>
      </c>
      <c r="O806" s="8" t="s">
        <v>221</v>
      </c>
      <c r="Q806" t="s">
        <v>1293</v>
      </c>
      <c r="R806" t="s">
        <v>1294</v>
      </c>
      <c r="U806" t="s">
        <v>1295</v>
      </c>
      <c r="V806" t="s">
        <v>138</v>
      </c>
      <c r="W806" t="s">
        <v>212</v>
      </c>
      <c r="X806" t="s">
        <v>212</v>
      </c>
      <c r="Y806" t="s">
        <v>275</v>
      </c>
      <c r="Z806" t="s">
        <v>213</v>
      </c>
      <c r="AA806" t="s">
        <v>214</v>
      </c>
      <c r="AB806" t="s">
        <v>285</v>
      </c>
      <c r="AC806" t="s">
        <v>701</v>
      </c>
      <c r="AD806" t="s">
        <v>3258</v>
      </c>
      <c r="AE806" t="s">
        <v>217</v>
      </c>
      <c r="AG806" s="8" t="s">
        <v>218</v>
      </c>
      <c r="AH806" t="s">
        <v>2256</v>
      </c>
      <c r="AI806" s="8" t="s">
        <v>221</v>
      </c>
      <c r="AJ806" s="9" t="s">
        <v>218</v>
      </c>
      <c r="AK806" t="s">
        <v>234</v>
      </c>
      <c r="AL806" s="8" t="s">
        <v>221</v>
      </c>
      <c r="AM806" s="9" t="s">
        <v>218</v>
      </c>
      <c r="AN806" s="8" t="s">
        <v>221</v>
      </c>
      <c r="AO806" s="8" t="s">
        <v>222</v>
      </c>
      <c r="AP806" s="8">
        <v>0</v>
      </c>
      <c r="AQ806" s="8">
        <v>0</v>
      </c>
      <c r="AR806" s="9">
        <v>19</v>
      </c>
      <c r="AS806" s="8">
        <v>0</v>
      </c>
      <c r="AT806" s="8">
        <v>0</v>
      </c>
      <c r="AU806" s="8">
        <v>0</v>
      </c>
      <c r="AV806" s="8">
        <v>0</v>
      </c>
      <c r="AW806" s="9">
        <v>19</v>
      </c>
      <c r="AX806" s="8"/>
      <c r="AY806" s="8"/>
      <c r="AZ806">
        <v>3</v>
      </c>
      <c r="BA806" t="s">
        <v>3569</v>
      </c>
      <c r="BB806" t="s">
        <v>1297</v>
      </c>
    </row>
    <row r="807" spans="1:54">
      <c r="A807" s="6">
        <v>45849</v>
      </c>
      <c r="B807" s="7" t="s">
        <v>3570</v>
      </c>
      <c r="C807" t="s">
        <v>205</v>
      </c>
      <c r="D807" t="s">
        <v>3419</v>
      </c>
      <c r="G807" t="s">
        <v>207</v>
      </c>
      <c r="H807" s="8" t="s">
        <v>208</v>
      </c>
      <c r="I807" s="8" t="s">
        <v>208</v>
      </c>
      <c r="J807" s="8" t="s">
        <v>208</v>
      </c>
      <c r="K807" s="8" t="s">
        <v>208</v>
      </c>
      <c r="L807" s="8" t="s">
        <v>208</v>
      </c>
      <c r="M807" s="8" t="s">
        <v>208</v>
      </c>
      <c r="N807" s="8" t="s">
        <v>221</v>
      </c>
      <c r="O807" s="8" t="s">
        <v>221</v>
      </c>
      <c r="Q807" t="s">
        <v>3571</v>
      </c>
      <c r="R807" t="s">
        <v>3572</v>
      </c>
      <c r="U807" t="s">
        <v>3573</v>
      </c>
      <c r="V807" t="s">
        <v>138</v>
      </c>
      <c r="W807" t="s">
        <v>212</v>
      </c>
      <c r="X807" t="s">
        <v>212</v>
      </c>
      <c r="Y807" t="s">
        <v>275</v>
      </c>
      <c r="Z807" t="s">
        <v>213</v>
      </c>
      <c r="AA807" t="s">
        <v>214</v>
      </c>
      <c r="AB807" t="s">
        <v>701</v>
      </c>
      <c r="AC807" t="s">
        <v>242</v>
      </c>
      <c r="AD807" t="s">
        <v>3258</v>
      </c>
      <c r="AE807" t="s">
        <v>217</v>
      </c>
      <c r="AG807" s="8" t="s">
        <v>218</v>
      </c>
      <c r="AH807" t="s">
        <v>2256</v>
      </c>
      <c r="AI807" s="8" t="s">
        <v>221</v>
      </c>
      <c r="AJ807" s="9" t="s">
        <v>218</v>
      </c>
      <c r="AK807" t="s">
        <v>234</v>
      </c>
      <c r="AL807" s="8" t="s">
        <v>221</v>
      </c>
      <c r="AM807" s="9" t="s">
        <v>218</v>
      </c>
      <c r="AN807" s="8" t="s">
        <v>221</v>
      </c>
      <c r="AO807" s="8" t="s">
        <v>222</v>
      </c>
      <c r="AP807" s="8">
        <v>0</v>
      </c>
      <c r="AQ807" s="8">
        <v>0</v>
      </c>
      <c r="AR807" s="8">
        <v>0</v>
      </c>
      <c r="AS807" s="8">
        <v>0</v>
      </c>
      <c r="AT807" s="8">
        <v>0</v>
      </c>
      <c r="AU807" s="8">
        <v>0</v>
      </c>
      <c r="AV807" s="8">
        <v>0</v>
      </c>
      <c r="AW807" s="8">
        <v>0</v>
      </c>
      <c r="AX807" s="8"/>
      <c r="AY807" s="8"/>
      <c r="AZ807">
        <v>2</v>
      </c>
      <c r="BA807" t="s">
        <v>3574</v>
      </c>
      <c r="BB807" t="s">
        <v>3575</v>
      </c>
    </row>
    <row r="808" spans="1:54">
      <c r="A808" s="6">
        <v>45849</v>
      </c>
      <c r="B808" s="7" t="s">
        <v>3082</v>
      </c>
      <c r="C808" t="s">
        <v>205</v>
      </c>
      <c r="D808" t="s">
        <v>3419</v>
      </c>
      <c r="G808" t="s">
        <v>207</v>
      </c>
      <c r="H808" s="8" t="s">
        <v>208</v>
      </c>
      <c r="I808" s="8" t="s">
        <v>208</v>
      </c>
      <c r="J808" s="8" t="s">
        <v>208</v>
      </c>
      <c r="K808" s="8" t="s">
        <v>208</v>
      </c>
      <c r="L808" s="8" t="s">
        <v>208</v>
      </c>
      <c r="M808" s="8" t="s">
        <v>208</v>
      </c>
      <c r="N808" s="8" t="s">
        <v>221</v>
      </c>
      <c r="O808" s="8" t="s">
        <v>221</v>
      </c>
      <c r="Q808" t="s">
        <v>3083</v>
      </c>
      <c r="R808" t="s">
        <v>3084</v>
      </c>
      <c r="U808" t="s">
        <v>3085</v>
      </c>
      <c r="V808" t="s">
        <v>138</v>
      </c>
      <c r="W808" t="s">
        <v>212</v>
      </c>
      <c r="X808" t="s">
        <v>212</v>
      </c>
      <c r="Y808" t="s">
        <v>275</v>
      </c>
      <c r="Z808" t="s">
        <v>213</v>
      </c>
      <c r="AA808" t="s">
        <v>214</v>
      </c>
      <c r="AB808" t="s">
        <v>285</v>
      </c>
      <c r="AC808" t="s">
        <v>701</v>
      </c>
      <c r="AD808" t="s">
        <v>3258</v>
      </c>
      <c r="AE808" t="s">
        <v>217</v>
      </c>
      <c r="AG808" s="8" t="s">
        <v>218</v>
      </c>
      <c r="AH808" t="s">
        <v>2256</v>
      </c>
      <c r="AI808" s="8" t="s">
        <v>221</v>
      </c>
      <c r="AJ808" s="9" t="s">
        <v>218</v>
      </c>
      <c r="AK808" t="s">
        <v>234</v>
      </c>
      <c r="AL808" s="8" t="s">
        <v>221</v>
      </c>
      <c r="AM808" s="9" t="s">
        <v>218</v>
      </c>
      <c r="AN808" s="8" t="s">
        <v>221</v>
      </c>
      <c r="AO808" s="8" t="s">
        <v>222</v>
      </c>
      <c r="AP808" s="8">
        <v>0</v>
      </c>
      <c r="AQ808" s="8">
        <v>0</v>
      </c>
      <c r="AR808" s="9">
        <v>19</v>
      </c>
      <c r="AS808" s="8">
        <v>0</v>
      </c>
      <c r="AT808" s="8">
        <v>0</v>
      </c>
      <c r="AU808" s="8">
        <v>0</v>
      </c>
      <c r="AV808" s="8">
        <v>0</v>
      </c>
      <c r="AW808" s="9">
        <v>19</v>
      </c>
      <c r="AX808" s="8"/>
      <c r="AY808" s="8"/>
      <c r="AZ808">
        <v>2</v>
      </c>
      <c r="BA808" t="s">
        <v>3545</v>
      </c>
      <c r="BB808" t="s">
        <v>3087</v>
      </c>
    </row>
    <row r="809" spans="1:54">
      <c r="A809" s="6">
        <v>45849</v>
      </c>
      <c r="B809" s="7" t="s">
        <v>3576</v>
      </c>
      <c r="C809" t="s">
        <v>205</v>
      </c>
      <c r="D809" t="s">
        <v>3419</v>
      </c>
      <c r="G809" t="s">
        <v>207</v>
      </c>
      <c r="H809" s="8" t="s">
        <v>208</v>
      </c>
      <c r="I809" s="8" t="s">
        <v>208</v>
      </c>
      <c r="J809" s="8" t="s">
        <v>208</v>
      </c>
      <c r="K809" s="8" t="s">
        <v>208</v>
      </c>
      <c r="L809" s="8" t="s">
        <v>208</v>
      </c>
      <c r="M809" s="8" t="s">
        <v>208</v>
      </c>
      <c r="N809" s="8" t="s">
        <v>221</v>
      </c>
      <c r="O809" s="8" t="s">
        <v>221</v>
      </c>
      <c r="Q809" t="s">
        <v>3577</v>
      </c>
      <c r="R809" t="s">
        <v>3578</v>
      </c>
      <c r="U809" t="s">
        <v>3579</v>
      </c>
      <c r="V809" t="s">
        <v>140</v>
      </c>
      <c r="W809" t="s">
        <v>774</v>
      </c>
      <c r="X809" t="s">
        <v>774</v>
      </c>
      <c r="Y809" t="s">
        <v>1082</v>
      </c>
      <c r="Z809" t="s">
        <v>775</v>
      </c>
      <c r="AA809" t="s">
        <v>1164</v>
      </c>
      <c r="AB809" t="s">
        <v>465</v>
      </c>
      <c r="AC809" t="s">
        <v>301</v>
      </c>
      <c r="AD809" t="s">
        <v>3224</v>
      </c>
      <c r="AE809" t="s">
        <v>2259</v>
      </c>
      <c r="AG809" s="8" t="s">
        <v>218</v>
      </c>
      <c r="AH809" t="s">
        <v>2256</v>
      </c>
      <c r="AI809" s="8" t="s">
        <v>221</v>
      </c>
      <c r="AJ809" s="9" t="s">
        <v>218</v>
      </c>
      <c r="AK809" t="s">
        <v>234</v>
      </c>
      <c r="AL809" s="8" t="s">
        <v>221</v>
      </c>
      <c r="AM809" s="9" t="s">
        <v>218</v>
      </c>
      <c r="AN809" s="8" t="s">
        <v>221</v>
      </c>
      <c r="AO809" s="8" t="s">
        <v>222</v>
      </c>
      <c r="AP809" s="8">
        <v>0</v>
      </c>
      <c r="AQ809" s="8">
        <v>0</v>
      </c>
      <c r="AR809" s="9">
        <v>4</v>
      </c>
      <c r="AS809" s="8">
        <v>0</v>
      </c>
      <c r="AT809" s="8">
        <v>0</v>
      </c>
      <c r="AU809" s="8">
        <v>0</v>
      </c>
      <c r="AV809" s="8">
        <v>0</v>
      </c>
      <c r="AW809" s="9">
        <v>4</v>
      </c>
      <c r="AX809" s="8"/>
      <c r="AY809" s="8"/>
      <c r="AZ809">
        <v>2</v>
      </c>
      <c r="BA809" t="s">
        <v>3580</v>
      </c>
      <c r="BB809" t="s">
        <v>3581</v>
      </c>
    </row>
    <row r="810" spans="1:54">
      <c r="A810" s="6">
        <v>45849</v>
      </c>
      <c r="B810" s="7" t="s">
        <v>1314</v>
      </c>
      <c r="C810" t="s">
        <v>205</v>
      </c>
      <c r="D810" t="s">
        <v>3419</v>
      </c>
      <c r="G810" t="s">
        <v>207</v>
      </c>
      <c r="H810" s="8" t="s">
        <v>208</v>
      </c>
      <c r="I810" s="8" t="s">
        <v>208</v>
      </c>
      <c r="J810" s="8" t="s">
        <v>208</v>
      </c>
      <c r="K810" s="8" t="s">
        <v>208</v>
      </c>
      <c r="L810" s="8" t="s">
        <v>208</v>
      </c>
      <c r="M810" s="8" t="s">
        <v>208</v>
      </c>
      <c r="N810" s="8" t="s">
        <v>221</v>
      </c>
      <c r="O810" s="8" t="s">
        <v>221</v>
      </c>
      <c r="Q810" t="s">
        <v>1315</v>
      </c>
      <c r="R810" t="s">
        <v>1316</v>
      </c>
      <c r="U810" t="s">
        <v>1317</v>
      </c>
      <c r="V810" t="s">
        <v>137</v>
      </c>
      <c r="W810" t="s">
        <v>774</v>
      </c>
      <c r="X810" t="s">
        <v>774</v>
      </c>
      <c r="Y810" t="s">
        <v>1082</v>
      </c>
      <c r="Z810" t="s">
        <v>775</v>
      </c>
      <c r="AA810" t="s">
        <v>1309</v>
      </c>
      <c r="AB810" t="s">
        <v>408</v>
      </c>
      <c r="AC810" t="s">
        <v>425</v>
      </c>
      <c r="AD810" t="s">
        <v>3258</v>
      </c>
      <c r="AE810" t="s">
        <v>1309</v>
      </c>
      <c r="AG810" s="8" t="s">
        <v>218</v>
      </c>
      <c r="AH810" t="s">
        <v>2256</v>
      </c>
      <c r="AI810" s="8" t="s">
        <v>221</v>
      </c>
      <c r="AJ810" s="9" t="s">
        <v>218</v>
      </c>
      <c r="AK810" t="s">
        <v>234</v>
      </c>
      <c r="AL810" s="8" t="s">
        <v>221</v>
      </c>
      <c r="AM810" s="9" t="s">
        <v>218</v>
      </c>
      <c r="AN810" s="8" t="s">
        <v>221</v>
      </c>
      <c r="AO810" s="8" t="s">
        <v>222</v>
      </c>
      <c r="AP810" s="8">
        <v>0</v>
      </c>
      <c r="AQ810" s="8">
        <v>0</v>
      </c>
      <c r="AR810" s="9">
        <v>39</v>
      </c>
      <c r="AS810" s="8">
        <v>0</v>
      </c>
      <c r="AT810" s="8">
        <v>0</v>
      </c>
      <c r="AU810" s="8">
        <v>0</v>
      </c>
      <c r="AV810" s="8">
        <v>0</v>
      </c>
      <c r="AW810" s="9">
        <v>39</v>
      </c>
      <c r="AX810" s="8"/>
      <c r="AY810" s="8"/>
      <c r="AZ810">
        <v>2</v>
      </c>
      <c r="BA810" t="s">
        <v>3582</v>
      </c>
      <c r="BB810" t="s">
        <v>1320</v>
      </c>
    </row>
    <row r="811" spans="1:54">
      <c r="A811" s="6">
        <v>45849</v>
      </c>
      <c r="B811" s="7" t="s">
        <v>2357</v>
      </c>
      <c r="C811" t="s">
        <v>205</v>
      </c>
      <c r="D811" t="s">
        <v>3583</v>
      </c>
      <c r="G811" t="s">
        <v>207</v>
      </c>
      <c r="H811" s="8" t="s">
        <v>208</v>
      </c>
      <c r="I811" s="8" t="s">
        <v>208</v>
      </c>
      <c r="J811" s="8" t="s">
        <v>208</v>
      </c>
      <c r="K811" s="8" t="s">
        <v>208</v>
      </c>
      <c r="L811" s="8" t="s">
        <v>208</v>
      </c>
      <c r="M811" s="8" t="s">
        <v>208</v>
      </c>
      <c r="N811" s="8" t="s">
        <v>221</v>
      </c>
      <c r="O811" s="8" t="s">
        <v>221</v>
      </c>
      <c r="Q811" t="s">
        <v>2358</v>
      </c>
      <c r="R811" t="s">
        <v>2359</v>
      </c>
      <c r="U811" t="s">
        <v>2360</v>
      </c>
      <c r="V811" t="s">
        <v>140</v>
      </c>
      <c r="W811" t="s">
        <v>774</v>
      </c>
      <c r="X811" t="s">
        <v>212</v>
      </c>
      <c r="Y811" t="s">
        <v>1082</v>
      </c>
      <c r="Z811" t="s">
        <v>213</v>
      </c>
      <c r="AA811" t="s">
        <v>1164</v>
      </c>
      <c r="AB811" t="s">
        <v>312</v>
      </c>
      <c r="AC811" t="s">
        <v>215</v>
      </c>
      <c r="AD811" t="s">
        <v>3224</v>
      </c>
      <c r="AE811" t="s">
        <v>2259</v>
      </c>
      <c r="AG811" s="9" t="s">
        <v>221</v>
      </c>
      <c r="AH811" t="s">
        <v>2256</v>
      </c>
      <c r="AI811" s="8" t="s">
        <v>221</v>
      </c>
      <c r="AJ811" s="9" t="s">
        <v>218</v>
      </c>
      <c r="AK811" t="s">
        <v>234</v>
      </c>
      <c r="AL811" s="8" t="s">
        <v>221</v>
      </c>
      <c r="AM811" s="9" t="s">
        <v>218</v>
      </c>
      <c r="AN811" s="8" t="s">
        <v>221</v>
      </c>
      <c r="AO811" s="8" t="s">
        <v>222</v>
      </c>
      <c r="AP811" s="8">
        <v>0</v>
      </c>
      <c r="AQ811" s="8">
        <v>0</v>
      </c>
      <c r="AR811" s="9">
        <v>46</v>
      </c>
      <c r="AS811" s="8">
        <v>0</v>
      </c>
      <c r="AT811" s="8">
        <v>0</v>
      </c>
      <c r="AU811" s="8">
        <v>0</v>
      </c>
      <c r="AV811" s="8">
        <v>0</v>
      </c>
      <c r="AW811" s="9">
        <v>46</v>
      </c>
      <c r="AX811" s="8"/>
      <c r="AY811" s="8"/>
      <c r="AZ811">
        <v>1</v>
      </c>
      <c r="BA811" t="s">
        <v>3291</v>
      </c>
      <c r="BB811" t="s">
        <v>2362</v>
      </c>
    </row>
    <row r="812" spans="1:54">
      <c r="A812" s="6">
        <v>45849</v>
      </c>
      <c r="B812" s="7" t="s">
        <v>1578</v>
      </c>
      <c r="C812" t="s">
        <v>205</v>
      </c>
      <c r="D812" t="s">
        <v>3584</v>
      </c>
      <c r="G812" t="s">
        <v>207</v>
      </c>
      <c r="H812" s="8" t="s">
        <v>208</v>
      </c>
      <c r="I812" s="8" t="s">
        <v>208</v>
      </c>
      <c r="J812" s="8" t="s">
        <v>208</v>
      </c>
      <c r="K812" s="8" t="s">
        <v>208</v>
      </c>
      <c r="L812" s="8" t="s">
        <v>208</v>
      </c>
      <c r="M812" s="8" t="s">
        <v>208</v>
      </c>
      <c r="N812" s="8" t="s">
        <v>221</v>
      </c>
      <c r="O812" s="8" t="s">
        <v>221</v>
      </c>
      <c r="Q812" t="s">
        <v>1579</v>
      </c>
      <c r="R812" t="s">
        <v>1580</v>
      </c>
      <c r="U812" t="s">
        <v>1581</v>
      </c>
      <c r="V812" t="s">
        <v>140</v>
      </c>
      <c r="W812" t="s">
        <v>774</v>
      </c>
      <c r="X812" t="s">
        <v>774</v>
      </c>
      <c r="Y812" t="s">
        <v>1082</v>
      </c>
      <c r="Z812" t="s">
        <v>775</v>
      </c>
      <c r="AA812" t="s">
        <v>1164</v>
      </c>
      <c r="AB812" t="s">
        <v>417</v>
      </c>
      <c r="AC812" t="s">
        <v>391</v>
      </c>
      <c r="AD812" t="s">
        <v>3551</v>
      </c>
      <c r="AE812" t="s">
        <v>2259</v>
      </c>
      <c r="AG812" s="8" t="s">
        <v>218</v>
      </c>
      <c r="AH812" t="s">
        <v>2256</v>
      </c>
      <c r="AI812" s="8" t="s">
        <v>221</v>
      </c>
      <c r="AJ812" s="9" t="s">
        <v>218</v>
      </c>
      <c r="AK812" t="s">
        <v>234</v>
      </c>
      <c r="AL812" s="8" t="s">
        <v>221</v>
      </c>
      <c r="AM812" s="9" t="s">
        <v>218</v>
      </c>
      <c r="AN812" s="8" t="s">
        <v>221</v>
      </c>
      <c r="AO812" s="8" t="s">
        <v>222</v>
      </c>
      <c r="AP812" s="8">
        <v>0</v>
      </c>
      <c r="AQ812" s="8">
        <v>0</v>
      </c>
      <c r="AR812" s="9">
        <v>4</v>
      </c>
      <c r="AS812" s="8">
        <v>0</v>
      </c>
      <c r="AT812" s="8">
        <v>0</v>
      </c>
      <c r="AU812" s="8">
        <v>0</v>
      </c>
      <c r="AV812" s="8">
        <v>0</v>
      </c>
      <c r="AW812" s="9">
        <v>4</v>
      </c>
      <c r="AX812" s="8"/>
      <c r="AY812" s="8"/>
      <c r="AZ812">
        <v>2</v>
      </c>
      <c r="BA812" t="s">
        <v>3585</v>
      </c>
      <c r="BB812" t="s">
        <v>1584</v>
      </c>
    </row>
    <row r="813" spans="1:54">
      <c r="A813" s="6">
        <v>45849</v>
      </c>
      <c r="B813" s="7" t="s">
        <v>2208</v>
      </c>
      <c r="C813" t="s">
        <v>205</v>
      </c>
      <c r="D813" t="s">
        <v>3584</v>
      </c>
      <c r="G813" t="s">
        <v>207</v>
      </c>
      <c r="H813" s="8" t="s">
        <v>208</v>
      </c>
      <c r="I813" s="8" t="s">
        <v>208</v>
      </c>
      <c r="J813" s="8" t="s">
        <v>208</v>
      </c>
      <c r="K813" s="8" t="s">
        <v>208</v>
      </c>
      <c r="L813" s="8" t="s">
        <v>208</v>
      </c>
      <c r="M813" s="8" t="s">
        <v>208</v>
      </c>
      <c r="N813" s="8" t="s">
        <v>221</v>
      </c>
      <c r="O813" s="8" t="s">
        <v>221</v>
      </c>
      <c r="Q813" t="s">
        <v>2209</v>
      </c>
      <c r="R813" t="s">
        <v>2210</v>
      </c>
      <c r="U813" t="s">
        <v>2211</v>
      </c>
      <c r="V813" t="s">
        <v>140</v>
      </c>
      <c r="W813" t="s">
        <v>774</v>
      </c>
      <c r="X813" t="s">
        <v>774</v>
      </c>
      <c r="Y813" t="s">
        <v>1082</v>
      </c>
      <c r="Z813" t="s">
        <v>775</v>
      </c>
      <c r="AA813" t="s">
        <v>1164</v>
      </c>
      <c r="AB813" t="s">
        <v>425</v>
      </c>
      <c r="AC813" t="s">
        <v>301</v>
      </c>
      <c r="AD813" t="s">
        <v>3551</v>
      </c>
      <c r="AE813" t="s">
        <v>2259</v>
      </c>
      <c r="AG813" s="8" t="s">
        <v>218</v>
      </c>
      <c r="AH813" t="s">
        <v>2256</v>
      </c>
      <c r="AI813" s="8" t="s">
        <v>221</v>
      </c>
      <c r="AJ813" s="9" t="s">
        <v>218</v>
      </c>
      <c r="AK813" t="s">
        <v>234</v>
      </c>
      <c r="AL813" s="8" t="s">
        <v>221</v>
      </c>
      <c r="AM813" s="9" t="s">
        <v>218</v>
      </c>
      <c r="AN813" s="8" t="s">
        <v>221</v>
      </c>
      <c r="AO813" s="8" t="s">
        <v>222</v>
      </c>
      <c r="AP813" s="8">
        <v>0</v>
      </c>
      <c r="AQ813" s="8">
        <v>0</v>
      </c>
      <c r="AR813" s="8">
        <v>0</v>
      </c>
      <c r="AS813" s="8">
        <v>0</v>
      </c>
      <c r="AT813" s="8">
        <v>0</v>
      </c>
      <c r="AU813" s="8">
        <v>0</v>
      </c>
      <c r="AV813" s="8">
        <v>0</v>
      </c>
      <c r="AW813" s="8">
        <v>0</v>
      </c>
      <c r="AX813" s="8"/>
      <c r="AY813" s="8"/>
      <c r="AZ813">
        <v>2</v>
      </c>
      <c r="BA813" t="s">
        <v>3586</v>
      </c>
      <c r="BB813" t="s">
        <v>2214</v>
      </c>
    </row>
    <row r="814" spans="1:54">
      <c r="A814" s="6">
        <v>45849</v>
      </c>
      <c r="B814" s="7" t="s">
        <v>1467</v>
      </c>
      <c r="C814" t="s">
        <v>205</v>
      </c>
      <c r="D814" t="s">
        <v>3584</v>
      </c>
      <c r="G814" t="s">
        <v>207</v>
      </c>
      <c r="H814" s="8" t="s">
        <v>208</v>
      </c>
      <c r="I814" s="8" t="s">
        <v>208</v>
      </c>
      <c r="J814" s="8" t="s">
        <v>208</v>
      </c>
      <c r="K814" s="8" t="s">
        <v>208</v>
      </c>
      <c r="L814" s="8" t="s">
        <v>208</v>
      </c>
      <c r="M814" s="8" t="s">
        <v>208</v>
      </c>
      <c r="N814" s="8" t="s">
        <v>221</v>
      </c>
      <c r="O814" s="8" t="s">
        <v>221</v>
      </c>
      <c r="Q814" t="s">
        <v>1468</v>
      </c>
      <c r="R814" t="s">
        <v>1469</v>
      </c>
      <c r="U814" t="s">
        <v>1470</v>
      </c>
      <c r="V814" t="s">
        <v>140</v>
      </c>
      <c r="W814" t="s">
        <v>774</v>
      </c>
      <c r="X814" t="s">
        <v>774</v>
      </c>
      <c r="Y814" t="s">
        <v>1082</v>
      </c>
      <c r="Z814" t="s">
        <v>775</v>
      </c>
      <c r="AA814" t="s">
        <v>1164</v>
      </c>
      <c r="AB814" t="s">
        <v>425</v>
      </c>
      <c r="AC814" t="s">
        <v>312</v>
      </c>
      <c r="AD814" t="s">
        <v>3551</v>
      </c>
      <c r="AE814" t="s">
        <v>2259</v>
      </c>
      <c r="AG814" s="8" t="s">
        <v>218</v>
      </c>
      <c r="AH814" t="s">
        <v>2256</v>
      </c>
      <c r="AI814" s="8" t="s">
        <v>221</v>
      </c>
      <c r="AJ814" s="9" t="s">
        <v>218</v>
      </c>
      <c r="AK814" t="s">
        <v>1471</v>
      </c>
      <c r="AL814" s="8" t="s">
        <v>221</v>
      </c>
      <c r="AM814" s="9" t="s">
        <v>218</v>
      </c>
      <c r="AN814" s="8" t="s">
        <v>221</v>
      </c>
      <c r="AO814" s="8" t="s">
        <v>222</v>
      </c>
      <c r="AP814" s="8">
        <v>0</v>
      </c>
      <c r="AQ814" s="8">
        <v>0</v>
      </c>
      <c r="AR814" s="8">
        <v>0</v>
      </c>
      <c r="AS814" s="8">
        <v>0</v>
      </c>
      <c r="AT814" s="8">
        <v>0</v>
      </c>
      <c r="AU814" s="8">
        <v>0</v>
      </c>
      <c r="AV814" s="8">
        <v>0</v>
      </c>
      <c r="AW814" s="8">
        <v>0</v>
      </c>
      <c r="AX814" s="8"/>
      <c r="AY814" s="8"/>
      <c r="AZ814">
        <v>2</v>
      </c>
      <c r="BA814" t="s">
        <v>3587</v>
      </c>
      <c r="BB814" t="s">
        <v>1474</v>
      </c>
    </row>
    <row r="815" spans="1:54">
      <c r="A815" s="6">
        <v>45849</v>
      </c>
      <c r="B815" s="7" t="s">
        <v>2198</v>
      </c>
      <c r="C815" t="s">
        <v>205</v>
      </c>
      <c r="D815" t="s">
        <v>3584</v>
      </c>
      <c r="G815" t="s">
        <v>207</v>
      </c>
      <c r="H815" s="8" t="s">
        <v>208</v>
      </c>
      <c r="I815" s="8" t="s">
        <v>208</v>
      </c>
      <c r="J815" s="8" t="s">
        <v>208</v>
      </c>
      <c r="K815" s="8" t="s">
        <v>208</v>
      </c>
      <c r="L815" s="8" t="s">
        <v>208</v>
      </c>
      <c r="M815" s="8" t="s">
        <v>208</v>
      </c>
      <c r="N815" s="8" t="s">
        <v>221</v>
      </c>
      <c r="O815" s="8" t="s">
        <v>221</v>
      </c>
      <c r="Q815" t="s">
        <v>2199</v>
      </c>
      <c r="R815" t="s">
        <v>2200</v>
      </c>
      <c r="U815" t="s">
        <v>2201</v>
      </c>
      <c r="V815" t="s">
        <v>140</v>
      </c>
      <c r="W815" t="s">
        <v>774</v>
      </c>
      <c r="X815" t="s">
        <v>774</v>
      </c>
      <c r="Y815" t="s">
        <v>1082</v>
      </c>
      <c r="Z815" t="s">
        <v>775</v>
      </c>
      <c r="AA815" t="s">
        <v>1164</v>
      </c>
      <c r="AB815" t="s">
        <v>391</v>
      </c>
      <c r="AC815" t="s">
        <v>465</v>
      </c>
      <c r="AD815" t="s">
        <v>3551</v>
      </c>
      <c r="AE815" t="s">
        <v>2259</v>
      </c>
      <c r="AG815" s="8" t="s">
        <v>218</v>
      </c>
      <c r="AH815" t="s">
        <v>2256</v>
      </c>
      <c r="AI815" s="8" t="s">
        <v>221</v>
      </c>
      <c r="AJ815" s="9" t="s">
        <v>218</v>
      </c>
      <c r="AK815" t="s">
        <v>234</v>
      </c>
      <c r="AL815" s="8" t="s">
        <v>221</v>
      </c>
      <c r="AM815" s="9" t="s">
        <v>218</v>
      </c>
      <c r="AN815" s="8" t="s">
        <v>221</v>
      </c>
      <c r="AO815" s="8" t="s">
        <v>222</v>
      </c>
      <c r="AP815" s="8">
        <v>0</v>
      </c>
      <c r="AQ815" s="8">
        <v>0</v>
      </c>
      <c r="AR815" s="9">
        <v>2</v>
      </c>
      <c r="AS815" s="8">
        <v>0</v>
      </c>
      <c r="AT815" s="8">
        <v>0</v>
      </c>
      <c r="AU815" s="8">
        <v>0</v>
      </c>
      <c r="AV815" s="8">
        <v>0</v>
      </c>
      <c r="AW815" s="9">
        <v>2</v>
      </c>
      <c r="AX815" s="8"/>
      <c r="AY815" s="8"/>
      <c r="AZ815">
        <v>3</v>
      </c>
      <c r="BA815" t="s">
        <v>3588</v>
      </c>
      <c r="BB815" t="s">
        <v>2204</v>
      </c>
    </row>
    <row r="816" spans="1:54">
      <c r="A816" s="6">
        <v>45849</v>
      </c>
      <c r="B816" s="7" t="s">
        <v>1586</v>
      </c>
      <c r="C816" t="s">
        <v>205</v>
      </c>
      <c r="D816" t="s">
        <v>3584</v>
      </c>
      <c r="G816" t="s">
        <v>207</v>
      </c>
      <c r="H816" s="8" t="s">
        <v>208</v>
      </c>
      <c r="I816" s="8" t="s">
        <v>208</v>
      </c>
      <c r="J816" s="8" t="s">
        <v>208</v>
      </c>
      <c r="K816" s="8" t="s">
        <v>208</v>
      </c>
      <c r="L816" s="8" t="s">
        <v>208</v>
      </c>
      <c r="M816" s="8" t="s">
        <v>208</v>
      </c>
      <c r="N816" s="8" t="s">
        <v>221</v>
      </c>
      <c r="O816" s="8" t="s">
        <v>221</v>
      </c>
      <c r="Q816" t="s">
        <v>1587</v>
      </c>
      <c r="R816" t="s">
        <v>1588</v>
      </c>
      <c r="U816" t="s">
        <v>1589</v>
      </c>
      <c r="V816" t="s">
        <v>140</v>
      </c>
      <c r="W816" t="s">
        <v>774</v>
      </c>
      <c r="X816" t="s">
        <v>774</v>
      </c>
      <c r="Y816" t="s">
        <v>1082</v>
      </c>
      <c r="Z816" t="s">
        <v>775</v>
      </c>
      <c r="AA816" t="s">
        <v>1164</v>
      </c>
      <c r="AB816" t="s">
        <v>408</v>
      </c>
      <c r="AC816" t="s">
        <v>301</v>
      </c>
      <c r="AD816" t="s">
        <v>3551</v>
      </c>
      <c r="AE816" t="s">
        <v>2259</v>
      </c>
      <c r="AG816" s="8" t="s">
        <v>218</v>
      </c>
      <c r="AH816" t="s">
        <v>2256</v>
      </c>
      <c r="AI816" s="8" t="s">
        <v>221</v>
      </c>
      <c r="AJ816" s="9" t="s">
        <v>218</v>
      </c>
      <c r="AK816" t="s">
        <v>234</v>
      </c>
      <c r="AL816" s="8" t="s">
        <v>221</v>
      </c>
      <c r="AM816" s="9" t="s">
        <v>218</v>
      </c>
      <c r="AN816" s="8" t="s">
        <v>221</v>
      </c>
      <c r="AO816" s="8" t="s">
        <v>222</v>
      </c>
      <c r="AP816" s="8">
        <v>0</v>
      </c>
      <c r="AQ816" s="8">
        <v>0</v>
      </c>
      <c r="AR816" s="8">
        <v>0</v>
      </c>
      <c r="AS816" s="8">
        <v>0</v>
      </c>
      <c r="AT816" s="8">
        <v>0</v>
      </c>
      <c r="AU816" s="8">
        <v>0</v>
      </c>
      <c r="AV816" s="8">
        <v>0</v>
      </c>
      <c r="AW816" s="8">
        <v>0</v>
      </c>
      <c r="AX816" s="8"/>
      <c r="AY816" s="8"/>
      <c r="AZ816">
        <v>2</v>
      </c>
      <c r="BA816" t="s">
        <v>3589</v>
      </c>
      <c r="BB816" t="s">
        <v>1592</v>
      </c>
    </row>
    <row r="817" spans="1:54">
      <c r="A817" s="6">
        <v>45849</v>
      </c>
      <c r="B817" s="7" t="s">
        <v>2188</v>
      </c>
      <c r="C817" t="s">
        <v>205</v>
      </c>
      <c r="D817" t="s">
        <v>3584</v>
      </c>
      <c r="G817" t="s">
        <v>207</v>
      </c>
      <c r="H817" s="8" t="s">
        <v>208</v>
      </c>
      <c r="I817" s="8" t="s">
        <v>208</v>
      </c>
      <c r="J817" s="8" t="s">
        <v>208</v>
      </c>
      <c r="K817" s="8" t="s">
        <v>208</v>
      </c>
      <c r="L817" s="8" t="s">
        <v>208</v>
      </c>
      <c r="M817" s="8" t="s">
        <v>208</v>
      </c>
      <c r="N817" s="8" t="s">
        <v>221</v>
      </c>
      <c r="O817" s="8" t="s">
        <v>221</v>
      </c>
      <c r="Q817" t="s">
        <v>2189</v>
      </c>
      <c r="R817" t="s">
        <v>2190</v>
      </c>
      <c r="U817" t="s">
        <v>2191</v>
      </c>
      <c r="V817" t="s">
        <v>140</v>
      </c>
      <c r="W817" t="s">
        <v>774</v>
      </c>
      <c r="X817" t="s">
        <v>774</v>
      </c>
      <c r="Y817" t="s">
        <v>1082</v>
      </c>
      <c r="Z817" t="s">
        <v>775</v>
      </c>
      <c r="AA817" t="s">
        <v>1164</v>
      </c>
      <c r="AB817" t="s">
        <v>1791</v>
      </c>
      <c r="AC817" t="s">
        <v>1480</v>
      </c>
      <c r="AD817" t="s">
        <v>3551</v>
      </c>
      <c r="AE817" t="s">
        <v>2259</v>
      </c>
      <c r="AG817" s="8" t="s">
        <v>218</v>
      </c>
      <c r="AH817" t="s">
        <v>2256</v>
      </c>
      <c r="AI817" s="8" t="s">
        <v>221</v>
      </c>
      <c r="AJ817" s="9" t="s">
        <v>218</v>
      </c>
      <c r="AK817" t="s">
        <v>234</v>
      </c>
      <c r="AL817" s="8" t="s">
        <v>221</v>
      </c>
      <c r="AM817" s="9" t="s">
        <v>218</v>
      </c>
      <c r="AN817" s="8" t="s">
        <v>221</v>
      </c>
      <c r="AO817" s="8" t="s">
        <v>222</v>
      </c>
      <c r="AP817" s="8">
        <v>0</v>
      </c>
      <c r="AQ817" s="8">
        <v>0</v>
      </c>
      <c r="AR817" s="8">
        <v>0</v>
      </c>
      <c r="AS817" s="8">
        <v>0</v>
      </c>
      <c r="AT817" s="8">
        <v>0</v>
      </c>
      <c r="AU817" s="8">
        <v>0</v>
      </c>
      <c r="AV817" s="8">
        <v>0</v>
      </c>
      <c r="AW817" s="8">
        <v>0</v>
      </c>
      <c r="AX817" s="8"/>
      <c r="AY817" s="8"/>
      <c r="AZ817">
        <v>2</v>
      </c>
      <c r="BA817" t="s">
        <v>3590</v>
      </c>
      <c r="BB817" t="s">
        <v>2194</v>
      </c>
    </row>
    <row r="818" spans="1:54">
      <c r="A818" s="6">
        <v>45849</v>
      </c>
      <c r="B818" s="7" t="s">
        <v>3591</v>
      </c>
      <c r="C818" t="s">
        <v>205</v>
      </c>
      <c r="D818" t="s">
        <v>3592</v>
      </c>
      <c r="G818" t="s">
        <v>754</v>
      </c>
      <c r="H818" s="8" t="s">
        <v>208</v>
      </c>
      <c r="I818" s="8" t="s">
        <v>208</v>
      </c>
      <c r="J818" s="8" t="s">
        <v>208</v>
      </c>
      <c r="K818" s="8" t="s">
        <v>208</v>
      </c>
      <c r="L818" s="8" t="s">
        <v>208</v>
      </c>
      <c r="M818" s="8" t="s">
        <v>208</v>
      </c>
      <c r="N818" s="8" t="s">
        <v>221</v>
      </c>
      <c r="O818" s="8" t="s">
        <v>208</v>
      </c>
      <c r="Q818" t="s">
        <v>3593</v>
      </c>
      <c r="R818" t="s">
        <v>3594</v>
      </c>
      <c r="U818" t="s">
        <v>16</v>
      </c>
      <c r="V818" t="s">
        <v>14</v>
      </c>
      <c r="W818" t="s">
        <v>232</v>
      </c>
      <c r="X818" t="s">
        <v>232</v>
      </c>
      <c r="Y818" t="s">
        <v>765</v>
      </c>
      <c r="Z818" t="s">
        <v>765</v>
      </c>
      <c r="AA818" t="s">
        <v>214</v>
      </c>
      <c r="AB818" t="s">
        <v>1335</v>
      </c>
      <c r="AC818" t="s">
        <v>285</v>
      </c>
      <c r="AD818" t="s">
        <v>3595</v>
      </c>
      <c r="AE818" t="s">
        <v>11</v>
      </c>
      <c r="AG818" s="9" t="s">
        <v>221</v>
      </c>
      <c r="AH818" t="s">
        <v>2256</v>
      </c>
      <c r="AI818" s="8" t="s">
        <v>221</v>
      </c>
      <c r="AJ818" s="9" t="s">
        <v>218</v>
      </c>
      <c r="AK818" t="s">
        <v>234</v>
      </c>
      <c r="AL818" s="9" t="s">
        <v>218</v>
      </c>
      <c r="AM818" s="8" t="s">
        <v>221</v>
      </c>
      <c r="AN818" s="8" t="s">
        <v>221</v>
      </c>
      <c r="AO818" s="8" t="s">
        <v>222</v>
      </c>
      <c r="AP818" s="8">
        <v>0</v>
      </c>
      <c r="AQ818" s="8">
        <v>0</v>
      </c>
      <c r="AR818" s="8">
        <v>0</v>
      </c>
      <c r="AS818" s="8">
        <v>0</v>
      </c>
      <c r="AT818" s="8">
        <v>0</v>
      </c>
      <c r="AU818" s="8">
        <v>0</v>
      </c>
      <c r="AV818" s="8">
        <v>0</v>
      </c>
      <c r="AW818" s="8">
        <v>0</v>
      </c>
      <c r="AX818" s="8"/>
      <c r="AY818" s="8"/>
      <c r="AZ818">
        <v>1</v>
      </c>
      <c r="BA818" t="s">
        <v>3596</v>
      </c>
      <c r="BB818" t="s">
        <v>3597</v>
      </c>
    </row>
    <row r="819" spans="1:54">
      <c r="A819" s="6">
        <v>45849</v>
      </c>
      <c r="B819" s="7" t="s">
        <v>3598</v>
      </c>
      <c r="C819" t="s">
        <v>205</v>
      </c>
      <c r="D819" t="s">
        <v>3592</v>
      </c>
      <c r="G819" t="s">
        <v>754</v>
      </c>
      <c r="H819" s="8" t="s">
        <v>208</v>
      </c>
      <c r="I819" s="8" t="s">
        <v>208</v>
      </c>
      <c r="J819" s="8" t="s">
        <v>208</v>
      </c>
      <c r="K819" s="8" t="s">
        <v>208</v>
      </c>
      <c r="L819" s="8" t="s">
        <v>208</v>
      </c>
      <c r="M819" s="8" t="s">
        <v>208</v>
      </c>
      <c r="N819" s="8" t="s">
        <v>221</v>
      </c>
      <c r="O819" s="8" t="s">
        <v>208</v>
      </c>
      <c r="Q819" t="s">
        <v>3599</v>
      </c>
      <c r="R819" t="s">
        <v>3600</v>
      </c>
      <c r="U819" t="s">
        <v>3601</v>
      </c>
      <c r="V819" t="s">
        <v>140</v>
      </c>
      <c r="Y819" t="s">
        <v>765</v>
      </c>
      <c r="AA819" t="s">
        <v>11</v>
      </c>
      <c r="AB819" t="s">
        <v>312</v>
      </c>
      <c r="AD819" t="s">
        <v>3595</v>
      </c>
      <c r="AE819" t="s">
        <v>11</v>
      </c>
      <c r="AG819" s="8" t="s">
        <v>218</v>
      </c>
      <c r="AH819" t="s">
        <v>2256</v>
      </c>
      <c r="AI819" s="8" t="s">
        <v>221</v>
      </c>
      <c r="AJ819" s="9" t="s">
        <v>218</v>
      </c>
      <c r="AK819" t="s">
        <v>3602</v>
      </c>
      <c r="AL819" s="9" t="s">
        <v>218</v>
      </c>
      <c r="AM819" s="8" t="s">
        <v>221</v>
      </c>
      <c r="AN819" s="8" t="s">
        <v>221</v>
      </c>
      <c r="AO819" s="8" t="s">
        <v>222</v>
      </c>
      <c r="AP819" s="8">
        <v>0</v>
      </c>
      <c r="AQ819" s="8">
        <v>0</v>
      </c>
      <c r="AR819" s="8">
        <v>0</v>
      </c>
      <c r="AS819" s="8">
        <v>0</v>
      </c>
      <c r="AT819" s="8">
        <v>0</v>
      </c>
      <c r="AU819" s="8">
        <v>0</v>
      </c>
      <c r="AV819" s="8">
        <v>0</v>
      </c>
      <c r="AW819" s="8">
        <v>0</v>
      </c>
      <c r="AX819" s="8"/>
      <c r="AY819" s="8"/>
    </row>
    <row r="820" spans="1:54">
      <c r="A820" s="6">
        <v>45849</v>
      </c>
      <c r="B820" s="7" t="s">
        <v>3603</v>
      </c>
      <c r="C820" t="s">
        <v>205</v>
      </c>
      <c r="D820" t="s">
        <v>3604</v>
      </c>
      <c r="G820" t="s">
        <v>754</v>
      </c>
      <c r="H820" s="8" t="s">
        <v>208</v>
      </c>
      <c r="I820" s="8" t="s">
        <v>208</v>
      </c>
      <c r="J820" s="8" t="s">
        <v>208</v>
      </c>
      <c r="K820" s="8" t="s">
        <v>208</v>
      </c>
      <c r="L820" s="8" t="s">
        <v>208</v>
      </c>
      <c r="M820" s="8" t="s">
        <v>208</v>
      </c>
      <c r="N820" s="8" t="s">
        <v>221</v>
      </c>
      <c r="O820" s="8" t="s">
        <v>208</v>
      </c>
      <c r="Q820" t="s">
        <v>3605</v>
      </c>
      <c r="R820" t="s">
        <v>3606</v>
      </c>
      <c r="U820" t="s">
        <v>3607</v>
      </c>
      <c r="V820" t="s">
        <v>14</v>
      </c>
      <c r="W820" t="s">
        <v>232</v>
      </c>
      <c r="X820" t="s">
        <v>232</v>
      </c>
      <c r="Y820" t="s">
        <v>765</v>
      </c>
      <c r="Z820" t="s">
        <v>765</v>
      </c>
      <c r="AA820" t="s">
        <v>214</v>
      </c>
      <c r="AB820" t="s">
        <v>701</v>
      </c>
      <c r="AC820" t="s">
        <v>242</v>
      </c>
      <c r="AD820" t="s">
        <v>3595</v>
      </c>
      <c r="AE820" t="s">
        <v>11</v>
      </c>
      <c r="AG820" s="8" t="s">
        <v>218</v>
      </c>
      <c r="AH820" t="s">
        <v>2256</v>
      </c>
      <c r="AI820" s="8" t="s">
        <v>221</v>
      </c>
      <c r="AJ820" s="9" t="s">
        <v>218</v>
      </c>
      <c r="AK820" t="s">
        <v>3608</v>
      </c>
      <c r="AL820" s="9" t="s">
        <v>218</v>
      </c>
      <c r="AM820" s="8" t="s">
        <v>221</v>
      </c>
      <c r="AN820" s="8" t="s">
        <v>221</v>
      </c>
      <c r="AO820" s="8" t="s">
        <v>222</v>
      </c>
      <c r="AP820" s="8">
        <v>0</v>
      </c>
      <c r="AQ820" s="8">
        <v>0</v>
      </c>
      <c r="AR820" s="8">
        <v>0</v>
      </c>
      <c r="AS820" s="8">
        <v>0</v>
      </c>
      <c r="AT820" s="8">
        <v>0</v>
      </c>
      <c r="AU820" s="8">
        <v>0</v>
      </c>
      <c r="AV820" s="8">
        <v>0</v>
      </c>
      <c r="AW820" s="8">
        <v>0</v>
      </c>
      <c r="AX820" s="8"/>
      <c r="AY820" s="8"/>
      <c r="AZ820">
        <v>0</v>
      </c>
      <c r="BB820" t="s">
        <v>3609</v>
      </c>
    </row>
    <row r="821" spans="1:54">
      <c r="A821" s="6">
        <v>45863</v>
      </c>
      <c r="B821" s="7" t="s">
        <v>1747</v>
      </c>
      <c r="C821" t="s">
        <v>668</v>
      </c>
      <c r="D821" t="s">
        <v>3610</v>
      </c>
      <c r="E821" t="s">
        <v>3610</v>
      </c>
      <c r="F821" t="s">
        <v>3611</v>
      </c>
      <c r="G821" t="s">
        <v>754</v>
      </c>
      <c r="H821" s="8" t="s">
        <v>221</v>
      </c>
      <c r="I821" s="8" t="s">
        <v>221</v>
      </c>
      <c r="J821" s="9" t="s">
        <v>218</v>
      </c>
      <c r="K821" s="9" t="s">
        <v>218</v>
      </c>
      <c r="L821" s="8" t="s">
        <v>221</v>
      </c>
      <c r="M821" s="8" t="s">
        <v>221</v>
      </c>
      <c r="N821" s="8" t="s">
        <v>221</v>
      </c>
      <c r="O821" s="8" t="s">
        <v>208</v>
      </c>
      <c r="Q821" t="s">
        <v>1748</v>
      </c>
      <c r="R821" t="s">
        <v>1749</v>
      </c>
      <c r="U821" t="s">
        <v>1750</v>
      </c>
      <c r="V821" t="s">
        <v>1751</v>
      </c>
      <c r="W821" t="s">
        <v>212</v>
      </c>
      <c r="X821" t="s">
        <v>212</v>
      </c>
      <c r="Y821" t="s">
        <v>213</v>
      </c>
      <c r="Z821" t="s">
        <v>213</v>
      </c>
      <c r="AA821" t="s">
        <v>214</v>
      </c>
      <c r="AB821" t="s">
        <v>1336</v>
      </c>
      <c r="AC821" t="s">
        <v>1336</v>
      </c>
      <c r="AD821" t="s">
        <v>216</v>
      </c>
      <c r="AE821" t="s">
        <v>1296</v>
      </c>
      <c r="AG821" s="8" t="s">
        <v>218</v>
      </c>
      <c r="AH821" t="s">
        <v>219</v>
      </c>
      <c r="AI821" s="9" t="s">
        <v>218</v>
      </c>
      <c r="AJ821" s="9" t="s">
        <v>218</v>
      </c>
      <c r="AK821" t="s">
        <v>234</v>
      </c>
      <c r="AL821" s="9" t="s">
        <v>218</v>
      </c>
      <c r="AM821" s="8" t="s">
        <v>221</v>
      </c>
      <c r="AN821" s="8" t="s">
        <v>221</v>
      </c>
      <c r="AO821" s="8" t="s">
        <v>222</v>
      </c>
      <c r="AP821" s="8">
        <v>0</v>
      </c>
      <c r="AQ821" s="8">
        <v>0</v>
      </c>
      <c r="AR821" s="9">
        <v>68</v>
      </c>
      <c r="AS821" s="8">
        <v>0</v>
      </c>
      <c r="AT821" s="8">
        <v>0</v>
      </c>
      <c r="AU821" s="8">
        <v>0</v>
      </c>
      <c r="AV821" s="8">
        <v>0</v>
      </c>
      <c r="AW821" s="9">
        <v>68</v>
      </c>
      <c r="AX821" s="8"/>
      <c r="AY821" s="8"/>
      <c r="AZ821">
        <v>0</v>
      </c>
      <c r="BB821" t="s">
        <v>1754</v>
      </c>
    </row>
    <row r="822" spans="1:54">
      <c r="A822" s="6">
        <v>45863</v>
      </c>
      <c r="B822" s="7" t="s">
        <v>667</v>
      </c>
      <c r="C822" t="s">
        <v>668</v>
      </c>
      <c r="D822" t="s">
        <v>3610</v>
      </c>
      <c r="E822" t="s">
        <v>3610</v>
      </c>
      <c r="F822" t="s">
        <v>3611</v>
      </c>
      <c r="G822" t="s">
        <v>754</v>
      </c>
      <c r="H822" s="8" t="s">
        <v>221</v>
      </c>
      <c r="I822" s="8" t="s">
        <v>221</v>
      </c>
      <c r="J822" s="9" t="s">
        <v>218</v>
      </c>
      <c r="K822" s="9" t="s">
        <v>218</v>
      </c>
      <c r="L822" s="8" t="s">
        <v>221</v>
      </c>
      <c r="M822" s="8" t="s">
        <v>221</v>
      </c>
      <c r="N822" s="8" t="s">
        <v>221</v>
      </c>
      <c r="O822" s="8" t="s">
        <v>208</v>
      </c>
      <c r="Q822" t="s">
        <v>669</v>
      </c>
      <c r="R822" t="s">
        <v>670</v>
      </c>
      <c r="U822" t="s">
        <v>671</v>
      </c>
      <c r="V822" t="s">
        <v>138</v>
      </c>
      <c r="W822" t="s">
        <v>212</v>
      </c>
      <c r="X822" t="s">
        <v>212</v>
      </c>
      <c r="Y822" t="s">
        <v>213</v>
      </c>
      <c r="Z822" t="s">
        <v>213</v>
      </c>
      <c r="AA822" t="s">
        <v>214</v>
      </c>
      <c r="AB822" t="s">
        <v>832</v>
      </c>
      <c r="AC822" t="s">
        <v>832</v>
      </c>
      <c r="AD822" t="s">
        <v>216</v>
      </c>
      <c r="AE822" t="s">
        <v>217</v>
      </c>
      <c r="AG822" s="8" t="s">
        <v>218</v>
      </c>
      <c r="AH822" t="s">
        <v>219</v>
      </c>
      <c r="AI822" s="9" t="s">
        <v>218</v>
      </c>
      <c r="AJ822" s="9" t="s">
        <v>218</v>
      </c>
      <c r="AK822" t="s">
        <v>234</v>
      </c>
      <c r="AL822" s="9" t="s">
        <v>218</v>
      </c>
      <c r="AM822" s="8" t="s">
        <v>221</v>
      </c>
      <c r="AN822" s="8" t="s">
        <v>221</v>
      </c>
      <c r="AO822" s="8" t="s">
        <v>222</v>
      </c>
      <c r="AP822" s="8">
        <v>0</v>
      </c>
      <c r="AQ822" s="8">
        <v>0</v>
      </c>
      <c r="AR822" s="9">
        <v>130</v>
      </c>
      <c r="AS822" s="8">
        <v>0</v>
      </c>
      <c r="AT822" s="8">
        <v>0</v>
      </c>
      <c r="AU822" s="8">
        <v>0</v>
      </c>
      <c r="AV822" s="8">
        <v>0</v>
      </c>
      <c r="AW822" s="9">
        <v>130</v>
      </c>
      <c r="AX822" s="8"/>
      <c r="AY822" s="9" t="s">
        <v>674</v>
      </c>
      <c r="AZ822">
        <v>0</v>
      </c>
      <c r="BB822" t="s">
        <v>675</v>
      </c>
    </row>
    <row r="823" spans="1:54">
      <c r="A823" s="6">
        <v>45863</v>
      </c>
      <c r="B823" s="7" t="s">
        <v>3612</v>
      </c>
      <c r="C823" t="s">
        <v>668</v>
      </c>
      <c r="D823" t="s">
        <v>3610</v>
      </c>
      <c r="E823" t="s">
        <v>3610</v>
      </c>
      <c r="F823" t="s">
        <v>3611</v>
      </c>
      <c r="G823" t="s">
        <v>754</v>
      </c>
      <c r="H823" s="8" t="s">
        <v>221</v>
      </c>
      <c r="I823" s="8" t="s">
        <v>221</v>
      </c>
      <c r="J823" s="9" t="s">
        <v>218</v>
      </c>
      <c r="K823" s="9" t="s">
        <v>218</v>
      </c>
      <c r="L823" s="8" t="s">
        <v>221</v>
      </c>
      <c r="M823" s="8" t="s">
        <v>221</v>
      </c>
      <c r="N823" s="8" t="s">
        <v>221</v>
      </c>
      <c r="O823" s="8" t="s">
        <v>208</v>
      </c>
      <c r="Q823" t="s">
        <v>3613</v>
      </c>
      <c r="R823" t="s">
        <v>3614</v>
      </c>
      <c r="U823" t="s">
        <v>3615</v>
      </c>
      <c r="V823" t="s">
        <v>138</v>
      </c>
      <c r="W823" t="s">
        <v>212</v>
      </c>
      <c r="X823" t="s">
        <v>212</v>
      </c>
      <c r="Y823" t="s">
        <v>275</v>
      </c>
      <c r="Z823" t="s">
        <v>213</v>
      </c>
      <c r="AA823" t="s">
        <v>214</v>
      </c>
      <c r="AB823" t="s">
        <v>285</v>
      </c>
      <c r="AC823" t="s">
        <v>215</v>
      </c>
      <c r="AD823" t="s">
        <v>3616</v>
      </c>
      <c r="AE823" t="s">
        <v>11</v>
      </c>
      <c r="AG823" s="8" t="s">
        <v>218</v>
      </c>
      <c r="AH823" t="s">
        <v>2256</v>
      </c>
      <c r="AI823" s="8" t="s">
        <v>221</v>
      </c>
      <c r="AJ823" s="9" t="s">
        <v>218</v>
      </c>
      <c r="AK823" t="s">
        <v>234</v>
      </c>
      <c r="AL823" s="8" t="s">
        <v>221</v>
      </c>
      <c r="AM823" s="9" t="s">
        <v>218</v>
      </c>
      <c r="AN823" s="8" t="s">
        <v>221</v>
      </c>
      <c r="AO823" s="8" t="s">
        <v>222</v>
      </c>
      <c r="AP823" s="8">
        <v>0</v>
      </c>
      <c r="AQ823" s="8">
        <v>0</v>
      </c>
      <c r="AR823" s="9">
        <v>6</v>
      </c>
      <c r="AS823" s="8">
        <v>0</v>
      </c>
      <c r="AT823" s="8">
        <v>0</v>
      </c>
      <c r="AU823" s="8">
        <v>0</v>
      </c>
      <c r="AV823" s="8">
        <v>0</v>
      </c>
      <c r="AW823" s="9">
        <v>6</v>
      </c>
      <c r="AX823" s="8"/>
      <c r="AY823" s="8"/>
      <c r="AZ823">
        <v>2</v>
      </c>
      <c r="BA823" t="s">
        <v>3617</v>
      </c>
      <c r="BB823" t="s">
        <v>3618</v>
      </c>
    </row>
    <row r="824" spans="1:54">
      <c r="A824" s="6">
        <v>45863</v>
      </c>
      <c r="B824" s="7" t="s">
        <v>3619</v>
      </c>
      <c r="C824" t="s">
        <v>668</v>
      </c>
      <c r="D824" t="s">
        <v>3610</v>
      </c>
      <c r="E824" t="s">
        <v>3610</v>
      </c>
      <c r="F824" t="s">
        <v>3611</v>
      </c>
      <c r="G824" t="s">
        <v>754</v>
      </c>
      <c r="H824" s="8" t="s">
        <v>221</v>
      </c>
      <c r="I824" s="8" t="s">
        <v>221</v>
      </c>
      <c r="J824" s="9" t="s">
        <v>218</v>
      </c>
      <c r="K824" s="9" t="s">
        <v>218</v>
      </c>
      <c r="L824" s="8" t="s">
        <v>221</v>
      </c>
      <c r="M824" s="8" t="s">
        <v>221</v>
      </c>
      <c r="N824" s="8" t="s">
        <v>221</v>
      </c>
      <c r="O824" s="8" t="s">
        <v>208</v>
      </c>
      <c r="Q824" t="s">
        <v>3620</v>
      </c>
      <c r="R824" t="s">
        <v>3621</v>
      </c>
      <c r="U824" t="s">
        <v>1145</v>
      </c>
      <c r="V824" t="s">
        <v>137</v>
      </c>
      <c r="W824" t="s">
        <v>212</v>
      </c>
      <c r="X824" t="s">
        <v>212</v>
      </c>
      <c r="Y824" t="s">
        <v>275</v>
      </c>
      <c r="Z824" t="s">
        <v>213</v>
      </c>
      <c r="AA824" t="s">
        <v>214</v>
      </c>
      <c r="AB824" t="s">
        <v>215</v>
      </c>
      <c r="AC824" t="s">
        <v>701</v>
      </c>
      <c r="AD824" t="s">
        <v>3616</v>
      </c>
      <c r="AE824" t="s">
        <v>11</v>
      </c>
      <c r="AG824" s="8" t="s">
        <v>218</v>
      </c>
      <c r="AH824" t="s">
        <v>2256</v>
      </c>
      <c r="AI824" s="8" t="s">
        <v>221</v>
      </c>
      <c r="AJ824" s="9" t="s">
        <v>218</v>
      </c>
      <c r="AK824" t="s">
        <v>234</v>
      </c>
      <c r="AL824" s="8" t="s">
        <v>221</v>
      </c>
      <c r="AM824" s="9" t="s">
        <v>218</v>
      </c>
      <c r="AN824" s="8" t="s">
        <v>221</v>
      </c>
      <c r="AO824" s="8" t="s">
        <v>222</v>
      </c>
      <c r="AP824" s="8">
        <v>0</v>
      </c>
      <c r="AQ824" s="8">
        <v>0</v>
      </c>
      <c r="AR824" s="8">
        <v>0</v>
      </c>
      <c r="AS824" s="8">
        <v>0</v>
      </c>
      <c r="AT824" s="8">
        <v>0</v>
      </c>
      <c r="AU824" s="8">
        <v>0</v>
      </c>
      <c r="AV824" s="8">
        <v>0</v>
      </c>
      <c r="AW824" s="8">
        <v>0</v>
      </c>
      <c r="AX824" s="8"/>
      <c r="AY824" s="8"/>
      <c r="AZ824">
        <v>2</v>
      </c>
      <c r="BA824" t="s">
        <v>3622</v>
      </c>
      <c r="BB824" t="s">
        <v>3623</v>
      </c>
    </row>
    <row r="825" spans="1:54">
      <c r="A825" s="6">
        <v>45863</v>
      </c>
      <c r="B825" s="7" t="s">
        <v>2116</v>
      </c>
      <c r="C825" t="s">
        <v>668</v>
      </c>
      <c r="D825" t="s">
        <v>3610</v>
      </c>
      <c r="E825" t="s">
        <v>3610</v>
      </c>
      <c r="F825" t="s">
        <v>3611</v>
      </c>
      <c r="G825" t="s">
        <v>754</v>
      </c>
      <c r="H825" s="8" t="s">
        <v>221</v>
      </c>
      <c r="I825" s="8" t="s">
        <v>221</v>
      </c>
      <c r="J825" s="9" t="s">
        <v>218</v>
      </c>
      <c r="K825" s="9" t="s">
        <v>218</v>
      </c>
      <c r="L825" s="8" t="s">
        <v>221</v>
      </c>
      <c r="M825" s="8" t="s">
        <v>221</v>
      </c>
      <c r="N825" s="8" t="s">
        <v>221</v>
      </c>
      <c r="O825" s="8" t="s">
        <v>208</v>
      </c>
      <c r="Q825" t="s">
        <v>2118</v>
      </c>
      <c r="R825" t="s">
        <v>2119</v>
      </c>
      <c r="U825" t="s">
        <v>2120</v>
      </c>
      <c r="V825" t="s">
        <v>137</v>
      </c>
      <c r="W825" t="s">
        <v>212</v>
      </c>
      <c r="X825" t="s">
        <v>212</v>
      </c>
      <c r="Y825" t="s">
        <v>213</v>
      </c>
      <c r="Z825" t="s">
        <v>213</v>
      </c>
      <c r="AA825" t="s">
        <v>214</v>
      </c>
      <c r="AB825" t="s">
        <v>701</v>
      </c>
      <c r="AC825" t="s">
        <v>701</v>
      </c>
      <c r="AD825" t="s">
        <v>216</v>
      </c>
      <c r="AE825" t="s">
        <v>11</v>
      </c>
      <c r="AG825" s="8" t="s">
        <v>218</v>
      </c>
      <c r="AH825" t="s">
        <v>219</v>
      </c>
      <c r="AI825" s="9" t="s">
        <v>218</v>
      </c>
      <c r="AJ825" s="9" t="s">
        <v>218</v>
      </c>
      <c r="AK825" t="s">
        <v>234</v>
      </c>
      <c r="AL825" s="9" t="s">
        <v>218</v>
      </c>
      <c r="AM825" s="8" t="s">
        <v>221</v>
      </c>
      <c r="AN825" s="8" t="s">
        <v>221</v>
      </c>
      <c r="AO825" s="8" t="s">
        <v>222</v>
      </c>
      <c r="AP825" s="8">
        <v>0</v>
      </c>
      <c r="AQ825" s="8">
        <v>0</v>
      </c>
      <c r="AR825" s="8">
        <v>0</v>
      </c>
      <c r="AS825" s="8">
        <v>0</v>
      </c>
      <c r="AT825" s="8">
        <v>0</v>
      </c>
      <c r="AU825" s="8">
        <v>0</v>
      </c>
      <c r="AV825" s="8">
        <v>0</v>
      </c>
      <c r="AW825" s="8">
        <v>0</v>
      </c>
      <c r="AX825" s="8"/>
      <c r="AY825" s="8"/>
      <c r="AZ825">
        <v>0</v>
      </c>
      <c r="BB825" t="s">
        <v>2123</v>
      </c>
    </row>
    <row r="826" spans="1:54">
      <c r="A826" s="6">
        <v>45863</v>
      </c>
      <c r="B826" s="7" t="s">
        <v>3624</v>
      </c>
      <c r="C826" t="s">
        <v>308</v>
      </c>
      <c r="D826" t="s">
        <v>3610</v>
      </c>
      <c r="E826" t="s">
        <v>3610</v>
      </c>
      <c r="F826" t="s">
        <v>3611</v>
      </c>
      <c r="G826" t="s">
        <v>754</v>
      </c>
      <c r="H826" s="8" t="s">
        <v>221</v>
      </c>
      <c r="I826" s="8" t="s">
        <v>221</v>
      </c>
      <c r="J826" s="9" t="s">
        <v>218</v>
      </c>
      <c r="K826" s="9" t="s">
        <v>218</v>
      </c>
      <c r="L826" s="8" t="s">
        <v>221</v>
      </c>
      <c r="M826" s="8" t="s">
        <v>221</v>
      </c>
      <c r="N826" s="8" t="s">
        <v>221</v>
      </c>
      <c r="O826" s="8" t="s">
        <v>208</v>
      </c>
      <c r="Q826" t="s">
        <v>3625</v>
      </c>
      <c r="R826" t="s">
        <v>3626</v>
      </c>
      <c r="U826" t="s">
        <v>3627</v>
      </c>
      <c r="V826" t="s">
        <v>2804</v>
      </c>
      <c r="W826" t="s">
        <v>298</v>
      </c>
      <c r="Y826" t="s">
        <v>1082</v>
      </c>
      <c r="AA826" t="s">
        <v>2805</v>
      </c>
      <c r="AB826" t="s">
        <v>312</v>
      </c>
      <c r="AD826" t="s">
        <v>3628</v>
      </c>
      <c r="AE826" t="s">
        <v>3629</v>
      </c>
      <c r="AG826" s="8" t="s">
        <v>218</v>
      </c>
      <c r="AH826" t="s">
        <v>2283</v>
      </c>
      <c r="AI826" s="8" t="s">
        <v>221</v>
      </c>
      <c r="AJ826" s="8" t="s">
        <v>221</v>
      </c>
      <c r="AK826" t="s">
        <v>3630</v>
      </c>
      <c r="AL826" s="8" t="s">
        <v>221</v>
      </c>
      <c r="AM826" s="9" t="s">
        <v>218</v>
      </c>
      <c r="AN826" s="8" t="s">
        <v>221</v>
      </c>
      <c r="AO826" s="9" t="s">
        <v>1086</v>
      </c>
      <c r="AP826" s="8">
        <v>0</v>
      </c>
      <c r="AQ826" s="8">
        <v>0</v>
      </c>
      <c r="AR826" s="8">
        <v>0</v>
      </c>
      <c r="AS826" s="8">
        <v>0</v>
      </c>
      <c r="AT826" s="8">
        <v>0</v>
      </c>
      <c r="AU826" s="8">
        <v>0</v>
      </c>
      <c r="AV826" s="8">
        <v>0</v>
      </c>
      <c r="AW826" s="8">
        <v>0</v>
      </c>
      <c r="AX826" s="8"/>
      <c r="AY826" s="8"/>
    </row>
    <row r="827" spans="1:54">
      <c r="A827" s="6">
        <v>45863</v>
      </c>
      <c r="B827" s="7" t="s">
        <v>3631</v>
      </c>
      <c r="C827" t="s">
        <v>387</v>
      </c>
      <c r="D827" t="s">
        <v>3610</v>
      </c>
      <c r="E827" t="s">
        <v>3610</v>
      </c>
      <c r="F827" t="s">
        <v>3611</v>
      </c>
      <c r="G827" t="s">
        <v>754</v>
      </c>
      <c r="H827" s="8" t="s">
        <v>221</v>
      </c>
      <c r="I827" s="8" t="s">
        <v>221</v>
      </c>
      <c r="J827" s="9" t="s">
        <v>218</v>
      </c>
      <c r="K827" s="9" t="s">
        <v>218</v>
      </c>
      <c r="L827" s="8" t="s">
        <v>221</v>
      </c>
      <c r="M827" s="8" t="s">
        <v>221</v>
      </c>
      <c r="N827" s="8" t="s">
        <v>221</v>
      </c>
      <c r="O827" s="8" t="s">
        <v>208</v>
      </c>
      <c r="Q827" t="s">
        <v>3632</v>
      </c>
      <c r="R827" t="s">
        <v>3633</v>
      </c>
      <c r="U827" t="s">
        <v>3634</v>
      </c>
      <c r="V827" t="s">
        <v>30</v>
      </c>
      <c r="W827" t="s">
        <v>298</v>
      </c>
      <c r="X827" t="s">
        <v>298</v>
      </c>
      <c r="Y827" t="s">
        <v>1103</v>
      </c>
      <c r="Z827" t="s">
        <v>299</v>
      </c>
      <c r="AA827" t="s">
        <v>300</v>
      </c>
      <c r="AB827" t="s">
        <v>408</v>
      </c>
      <c r="AC827" t="s">
        <v>391</v>
      </c>
      <c r="AD827" t="s">
        <v>3628</v>
      </c>
      <c r="AE827" t="s">
        <v>300</v>
      </c>
      <c r="AG827" s="8" t="s">
        <v>218</v>
      </c>
      <c r="AH827" t="s">
        <v>2283</v>
      </c>
      <c r="AI827" s="8" t="s">
        <v>221</v>
      </c>
      <c r="AJ827" s="8" t="s">
        <v>221</v>
      </c>
      <c r="AK827" t="s">
        <v>400</v>
      </c>
      <c r="AL827" s="8" t="s">
        <v>221</v>
      </c>
      <c r="AM827" s="9" t="s">
        <v>218</v>
      </c>
      <c r="AN827" s="8" t="s">
        <v>221</v>
      </c>
      <c r="AO827" s="8" t="s">
        <v>222</v>
      </c>
      <c r="AP827" s="8">
        <v>0</v>
      </c>
      <c r="AQ827" s="8">
        <v>0</v>
      </c>
      <c r="AR827" s="8">
        <v>0</v>
      </c>
      <c r="AS827" s="8">
        <v>0</v>
      </c>
      <c r="AT827" s="8">
        <v>0</v>
      </c>
      <c r="AU827" s="8">
        <v>0</v>
      </c>
      <c r="AV827" s="8">
        <v>0</v>
      </c>
      <c r="AW827" s="8">
        <v>0</v>
      </c>
      <c r="AX827" s="8"/>
      <c r="AY827" s="8"/>
      <c r="AZ827">
        <v>2</v>
      </c>
      <c r="BA827" t="s">
        <v>3635</v>
      </c>
      <c r="BB827" t="s">
        <v>3636</v>
      </c>
    </row>
    <row r="828" spans="1:54">
      <c r="A828" s="6">
        <v>45863</v>
      </c>
      <c r="B828" s="7" t="s">
        <v>3637</v>
      </c>
      <c r="C828" t="s">
        <v>387</v>
      </c>
      <c r="D828" t="s">
        <v>3610</v>
      </c>
      <c r="E828" t="s">
        <v>3610</v>
      </c>
      <c r="F828" t="s">
        <v>3611</v>
      </c>
      <c r="G828" t="s">
        <v>754</v>
      </c>
      <c r="H828" s="8" t="s">
        <v>221</v>
      </c>
      <c r="I828" s="8" t="s">
        <v>221</v>
      </c>
      <c r="J828" s="9" t="s">
        <v>218</v>
      </c>
      <c r="K828" s="9" t="s">
        <v>218</v>
      </c>
      <c r="L828" s="8" t="s">
        <v>221</v>
      </c>
      <c r="M828" s="8" t="s">
        <v>221</v>
      </c>
      <c r="N828" s="8" t="s">
        <v>221</v>
      </c>
      <c r="O828" s="8" t="s">
        <v>208</v>
      </c>
      <c r="Q828" t="s">
        <v>3638</v>
      </c>
      <c r="R828" t="s">
        <v>3639</v>
      </c>
      <c r="U828" t="s">
        <v>3640</v>
      </c>
      <c r="V828" t="s">
        <v>2067</v>
      </c>
      <c r="W828" t="s">
        <v>298</v>
      </c>
      <c r="X828" t="s">
        <v>298</v>
      </c>
      <c r="Y828" t="s">
        <v>1103</v>
      </c>
      <c r="Z828" t="s">
        <v>299</v>
      </c>
      <c r="AA828" t="s">
        <v>2068</v>
      </c>
      <c r="AB828" t="s">
        <v>465</v>
      </c>
      <c r="AC828" t="s">
        <v>301</v>
      </c>
      <c r="AD828" t="s">
        <v>3628</v>
      </c>
      <c r="AE828" t="s">
        <v>2068</v>
      </c>
      <c r="AG828" s="8" t="s">
        <v>218</v>
      </c>
      <c r="AH828" t="s">
        <v>2283</v>
      </c>
      <c r="AI828" s="8" t="s">
        <v>221</v>
      </c>
      <c r="AJ828" s="8" t="s">
        <v>221</v>
      </c>
      <c r="AK828" t="s">
        <v>3641</v>
      </c>
      <c r="AL828" s="8" t="s">
        <v>221</v>
      </c>
      <c r="AM828" s="9" t="s">
        <v>218</v>
      </c>
      <c r="AN828" s="8" t="s">
        <v>221</v>
      </c>
      <c r="AO828" s="8" t="s">
        <v>222</v>
      </c>
      <c r="AP828" s="8">
        <v>0</v>
      </c>
      <c r="AQ828" s="8">
        <v>0</v>
      </c>
      <c r="AR828" s="8">
        <v>0</v>
      </c>
      <c r="AS828" s="8">
        <v>0</v>
      </c>
      <c r="AT828" s="8">
        <v>0</v>
      </c>
      <c r="AU828" s="8">
        <v>0</v>
      </c>
      <c r="AV828" s="8">
        <v>0</v>
      </c>
      <c r="AW828" s="8">
        <v>0</v>
      </c>
      <c r="AX828" s="8"/>
      <c r="AY828" s="8"/>
      <c r="AZ828">
        <v>2</v>
      </c>
      <c r="BA828" t="s">
        <v>3642</v>
      </c>
      <c r="BB828" t="s">
        <v>3643</v>
      </c>
    </row>
    <row r="829" spans="1:54">
      <c r="A829" s="6">
        <v>45863</v>
      </c>
      <c r="B829" s="7" t="s">
        <v>3644</v>
      </c>
      <c r="C829" t="s">
        <v>387</v>
      </c>
      <c r="D829" t="s">
        <v>3610</v>
      </c>
      <c r="E829" t="s">
        <v>3610</v>
      </c>
      <c r="F829" t="s">
        <v>3611</v>
      </c>
      <c r="G829" t="s">
        <v>754</v>
      </c>
      <c r="H829" s="8" t="s">
        <v>221</v>
      </c>
      <c r="I829" s="8" t="s">
        <v>221</v>
      </c>
      <c r="J829" s="9" t="s">
        <v>218</v>
      </c>
      <c r="K829" s="9" t="s">
        <v>218</v>
      </c>
      <c r="L829" s="8" t="s">
        <v>221</v>
      </c>
      <c r="M829" s="8" t="s">
        <v>221</v>
      </c>
      <c r="N829" s="8" t="s">
        <v>221</v>
      </c>
      <c r="O829" s="8" t="s">
        <v>208</v>
      </c>
      <c r="Q829" t="s">
        <v>3645</v>
      </c>
      <c r="R829" t="s">
        <v>3646</v>
      </c>
      <c r="U829" t="s">
        <v>3647</v>
      </c>
      <c r="V829" t="s">
        <v>2067</v>
      </c>
      <c r="W829" t="s">
        <v>298</v>
      </c>
      <c r="X829" t="s">
        <v>298</v>
      </c>
      <c r="Y829" t="s">
        <v>1103</v>
      </c>
      <c r="Z829" t="s">
        <v>299</v>
      </c>
      <c r="AA829" t="s">
        <v>2068</v>
      </c>
      <c r="AB829" t="s">
        <v>301</v>
      </c>
      <c r="AC829" t="s">
        <v>312</v>
      </c>
      <c r="AD829" t="s">
        <v>3628</v>
      </c>
      <c r="AE829" t="s">
        <v>2068</v>
      </c>
      <c r="AG829" s="8" t="s">
        <v>218</v>
      </c>
      <c r="AH829" t="s">
        <v>2283</v>
      </c>
      <c r="AI829" s="8" t="s">
        <v>221</v>
      </c>
      <c r="AJ829" s="8" t="s">
        <v>221</v>
      </c>
      <c r="AK829" t="s">
        <v>3648</v>
      </c>
      <c r="AL829" s="8" t="s">
        <v>221</v>
      </c>
      <c r="AM829" s="9" t="s">
        <v>218</v>
      </c>
      <c r="AN829" s="8" t="s">
        <v>221</v>
      </c>
      <c r="AO829" s="8" t="s">
        <v>222</v>
      </c>
      <c r="AP829" s="8">
        <v>0</v>
      </c>
      <c r="AQ829" s="8">
        <v>0</v>
      </c>
      <c r="AR829" s="8">
        <v>0</v>
      </c>
      <c r="AS829" s="8">
        <v>0</v>
      </c>
      <c r="AT829" s="8">
        <v>0</v>
      </c>
      <c r="AU829" s="8">
        <v>0</v>
      </c>
      <c r="AV829" s="8">
        <v>0</v>
      </c>
      <c r="AW829" s="8">
        <v>0</v>
      </c>
      <c r="AX829" s="8"/>
      <c r="AY829" s="8"/>
      <c r="AZ829">
        <v>2</v>
      </c>
      <c r="BA829" t="s">
        <v>3649</v>
      </c>
      <c r="BB829" t="s">
        <v>3650</v>
      </c>
    </row>
    <row r="830" spans="1:54">
      <c r="A830" s="6">
        <v>45863</v>
      </c>
      <c r="B830" s="7" t="s">
        <v>3651</v>
      </c>
      <c r="C830" t="s">
        <v>687</v>
      </c>
      <c r="D830" t="s">
        <v>3610</v>
      </c>
      <c r="E830" t="s">
        <v>3610</v>
      </c>
      <c r="F830" t="s">
        <v>3611</v>
      </c>
      <c r="G830" t="s">
        <v>754</v>
      </c>
      <c r="H830" s="8" t="s">
        <v>221</v>
      </c>
      <c r="I830" s="8" t="s">
        <v>221</v>
      </c>
      <c r="J830" s="9" t="s">
        <v>218</v>
      </c>
      <c r="K830" s="9" t="s">
        <v>218</v>
      </c>
      <c r="L830" s="8" t="s">
        <v>221</v>
      </c>
      <c r="M830" s="8" t="s">
        <v>221</v>
      </c>
      <c r="N830" s="8" t="s">
        <v>221</v>
      </c>
      <c r="O830" s="8" t="s">
        <v>208</v>
      </c>
      <c r="Q830" t="s">
        <v>3652</v>
      </c>
      <c r="R830" t="s">
        <v>3653</v>
      </c>
      <c r="U830" t="s">
        <v>3654</v>
      </c>
      <c r="V830" t="s">
        <v>14</v>
      </c>
      <c r="W830" t="s">
        <v>232</v>
      </c>
      <c r="X830" t="s">
        <v>232</v>
      </c>
      <c r="Y830" t="s">
        <v>3223</v>
      </c>
      <c r="Z830" t="s">
        <v>233</v>
      </c>
      <c r="AA830" t="s">
        <v>214</v>
      </c>
      <c r="AB830" t="s">
        <v>1335</v>
      </c>
      <c r="AC830" t="s">
        <v>1336</v>
      </c>
      <c r="AD830" t="s">
        <v>3616</v>
      </c>
      <c r="AE830" t="s">
        <v>11</v>
      </c>
      <c r="AG830" s="8" t="s">
        <v>218</v>
      </c>
      <c r="AH830" t="s">
        <v>2256</v>
      </c>
      <c r="AI830" s="8" t="s">
        <v>221</v>
      </c>
      <c r="AJ830" s="9" t="s">
        <v>218</v>
      </c>
      <c r="AK830" t="s">
        <v>234</v>
      </c>
      <c r="AL830" s="8" t="s">
        <v>221</v>
      </c>
      <c r="AM830" s="9" t="s">
        <v>218</v>
      </c>
      <c r="AN830" s="8" t="s">
        <v>221</v>
      </c>
      <c r="AO830" s="8" t="s">
        <v>222</v>
      </c>
      <c r="AP830" s="8">
        <v>0</v>
      </c>
      <c r="AQ830" s="8">
        <v>0</v>
      </c>
      <c r="AR830" s="8">
        <v>0</v>
      </c>
      <c r="AS830" s="8">
        <v>0</v>
      </c>
      <c r="AT830" s="8">
        <v>0</v>
      </c>
      <c r="AU830" s="8">
        <v>0</v>
      </c>
      <c r="AV830" s="8">
        <v>0</v>
      </c>
      <c r="AW830" s="8">
        <v>0</v>
      </c>
      <c r="AX830" s="8"/>
      <c r="AY830" s="8"/>
      <c r="AZ830">
        <v>2</v>
      </c>
      <c r="BA830" t="s">
        <v>3655</v>
      </c>
      <c r="BB830" t="s">
        <v>3656</v>
      </c>
    </row>
    <row r="831" spans="1:54">
      <c r="A831" s="6">
        <v>45863</v>
      </c>
      <c r="B831" s="7" t="s">
        <v>3657</v>
      </c>
      <c r="C831" t="s">
        <v>387</v>
      </c>
      <c r="D831" t="s">
        <v>3610</v>
      </c>
      <c r="E831" t="s">
        <v>3610</v>
      </c>
      <c r="F831" t="s">
        <v>3611</v>
      </c>
      <c r="G831" t="s">
        <v>754</v>
      </c>
      <c r="H831" s="8" t="s">
        <v>221</v>
      </c>
      <c r="I831" s="8" t="s">
        <v>221</v>
      </c>
      <c r="J831" s="9" t="s">
        <v>218</v>
      </c>
      <c r="K831" s="9" t="s">
        <v>218</v>
      </c>
      <c r="L831" s="8" t="s">
        <v>221</v>
      </c>
      <c r="M831" s="8" t="s">
        <v>221</v>
      </c>
      <c r="N831" s="8" t="s">
        <v>221</v>
      </c>
      <c r="O831" s="8" t="s">
        <v>208</v>
      </c>
      <c r="Q831" t="s">
        <v>3658</v>
      </c>
      <c r="R831" t="s">
        <v>3659</v>
      </c>
      <c r="U831" t="s">
        <v>3660</v>
      </c>
      <c r="V831" t="s">
        <v>1740</v>
      </c>
      <c r="W831" t="s">
        <v>298</v>
      </c>
      <c r="X831" t="s">
        <v>298</v>
      </c>
      <c r="Y831" t="s">
        <v>1103</v>
      </c>
      <c r="Z831" t="s">
        <v>299</v>
      </c>
      <c r="AA831" t="s">
        <v>1741</v>
      </c>
      <c r="AB831" t="s">
        <v>301</v>
      </c>
      <c r="AC831" t="s">
        <v>312</v>
      </c>
      <c r="AD831" t="s">
        <v>3628</v>
      </c>
      <c r="AE831" t="s">
        <v>1741</v>
      </c>
      <c r="AG831" s="8" t="s">
        <v>218</v>
      </c>
      <c r="AH831" t="s">
        <v>2283</v>
      </c>
      <c r="AI831" s="8" t="s">
        <v>221</v>
      </c>
      <c r="AJ831" s="8" t="s">
        <v>221</v>
      </c>
      <c r="AK831" t="s">
        <v>3661</v>
      </c>
      <c r="AL831" s="8" t="s">
        <v>221</v>
      </c>
      <c r="AM831" s="9" t="s">
        <v>218</v>
      </c>
      <c r="AN831" s="8" t="s">
        <v>221</v>
      </c>
      <c r="AO831" s="8" t="s">
        <v>222</v>
      </c>
      <c r="AP831" s="8">
        <v>0</v>
      </c>
      <c r="AQ831" s="8">
        <v>0</v>
      </c>
      <c r="AR831" s="8">
        <v>0</v>
      </c>
      <c r="AS831" s="8">
        <v>0</v>
      </c>
      <c r="AT831" s="8">
        <v>0</v>
      </c>
      <c r="AU831" s="8">
        <v>0</v>
      </c>
      <c r="AV831" s="8">
        <v>0</v>
      </c>
      <c r="AW831" s="8">
        <v>0</v>
      </c>
      <c r="AX831" s="8"/>
      <c r="AY831" s="8"/>
      <c r="AZ831">
        <v>3</v>
      </c>
      <c r="BA831" t="s">
        <v>3662</v>
      </c>
      <c r="BB831" t="s">
        <v>3663</v>
      </c>
    </row>
    <row r="832" spans="1:54">
      <c r="A832" s="6">
        <v>45863</v>
      </c>
      <c r="B832" s="7" t="s">
        <v>3664</v>
      </c>
      <c r="C832" t="s">
        <v>387</v>
      </c>
      <c r="D832" t="s">
        <v>3610</v>
      </c>
      <c r="E832" t="s">
        <v>3610</v>
      </c>
      <c r="F832" t="s">
        <v>3611</v>
      </c>
      <c r="G832" t="s">
        <v>754</v>
      </c>
      <c r="H832" s="8" t="s">
        <v>221</v>
      </c>
      <c r="I832" s="8" t="s">
        <v>221</v>
      </c>
      <c r="J832" s="9" t="s">
        <v>218</v>
      </c>
      <c r="K832" s="9" t="s">
        <v>218</v>
      </c>
      <c r="L832" s="8" t="s">
        <v>221</v>
      </c>
      <c r="M832" s="8" t="s">
        <v>221</v>
      </c>
      <c r="N832" s="8" t="s">
        <v>221</v>
      </c>
      <c r="O832" s="8" t="s">
        <v>208</v>
      </c>
      <c r="Q832" t="s">
        <v>3665</v>
      </c>
      <c r="R832" t="s">
        <v>3666</v>
      </c>
      <c r="U832" t="s">
        <v>3667</v>
      </c>
      <c r="V832" t="s">
        <v>3668</v>
      </c>
      <c r="W832" t="s">
        <v>298</v>
      </c>
      <c r="X832" t="s">
        <v>298</v>
      </c>
      <c r="Y832" t="s">
        <v>1103</v>
      </c>
      <c r="Z832" t="s">
        <v>299</v>
      </c>
      <c r="AA832" t="s">
        <v>3669</v>
      </c>
      <c r="AB832" t="s">
        <v>425</v>
      </c>
      <c r="AC832" t="s">
        <v>465</v>
      </c>
      <c r="AD832" t="s">
        <v>3628</v>
      </c>
      <c r="AE832" t="s">
        <v>3669</v>
      </c>
      <c r="AG832" s="8" t="s">
        <v>218</v>
      </c>
      <c r="AH832" t="s">
        <v>2283</v>
      </c>
      <c r="AI832" s="8" t="s">
        <v>221</v>
      </c>
      <c r="AJ832" s="8" t="s">
        <v>221</v>
      </c>
      <c r="AK832" t="s">
        <v>3670</v>
      </c>
      <c r="AL832" s="8" t="s">
        <v>221</v>
      </c>
      <c r="AM832" s="9" t="s">
        <v>218</v>
      </c>
      <c r="AN832" s="8" t="s">
        <v>221</v>
      </c>
      <c r="AO832" s="8" t="s">
        <v>222</v>
      </c>
      <c r="AP832" s="8">
        <v>0</v>
      </c>
      <c r="AQ832" s="8">
        <v>0</v>
      </c>
      <c r="AR832" s="9">
        <v>53</v>
      </c>
      <c r="AS832" s="8">
        <v>0</v>
      </c>
      <c r="AT832" s="8">
        <v>0</v>
      </c>
      <c r="AU832" s="8">
        <v>0</v>
      </c>
      <c r="AV832" s="8">
        <v>0</v>
      </c>
      <c r="AW832" s="9">
        <v>53</v>
      </c>
      <c r="AX832" s="8"/>
      <c r="AY832" s="9" t="s">
        <v>3671</v>
      </c>
      <c r="AZ832">
        <v>2</v>
      </c>
      <c r="BA832" t="s">
        <v>3672</v>
      </c>
      <c r="BB832" t="s">
        <v>3673</v>
      </c>
    </row>
    <row r="833" spans="1:52">
      <c r="A833" s="6">
        <v>45863</v>
      </c>
      <c r="B833" s="7" t="s">
        <v>3674</v>
      </c>
      <c r="C833" t="s">
        <v>308</v>
      </c>
      <c r="D833" t="s">
        <v>3610</v>
      </c>
      <c r="E833" t="s">
        <v>3610</v>
      </c>
      <c r="F833" t="s">
        <v>3611</v>
      </c>
      <c r="G833" t="s">
        <v>754</v>
      </c>
      <c r="H833" s="8" t="s">
        <v>221</v>
      </c>
      <c r="I833" s="8" t="s">
        <v>221</v>
      </c>
      <c r="J833" s="9" t="s">
        <v>218</v>
      </c>
      <c r="K833" s="9" t="s">
        <v>218</v>
      </c>
      <c r="L833" s="8" t="s">
        <v>221</v>
      </c>
      <c r="M833" s="8" t="s">
        <v>221</v>
      </c>
      <c r="N833" s="8" t="s">
        <v>221</v>
      </c>
      <c r="O833" s="8" t="s">
        <v>221</v>
      </c>
      <c r="Q833" t="s">
        <v>3675</v>
      </c>
      <c r="R833" t="s">
        <v>3676</v>
      </c>
      <c r="U833" t="s">
        <v>3677</v>
      </c>
      <c r="V833" t="s">
        <v>2804</v>
      </c>
      <c r="W833" t="s">
        <v>298</v>
      </c>
      <c r="Y833" t="s">
        <v>1082</v>
      </c>
      <c r="AA833" t="s">
        <v>2805</v>
      </c>
      <c r="AB833" t="s">
        <v>312</v>
      </c>
      <c r="AD833" t="s">
        <v>3628</v>
      </c>
      <c r="AE833" t="s">
        <v>3629</v>
      </c>
      <c r="AG833" s="8" t="s">
        <v>218</v>
      </c>
      <c r="AH833" t="s">
        <v>2283</v>
      </c>
      <c r="AI833" s="8" t="s">
        <v>221</v>
      </c>
      <c r="AJ833" s="8" t="s">
        <v>221</v>
      </c>
      <c r="AK833" t="s">
        <v>249</v>
      </c>
      <c r="AL833" s="8" t="s">
        <v>221</v>
      </c>
      <c r="AM833" s="9" t="s">
        <v>218</v>
      </c>
      <c r="AN833" s="8" t="s">
        <v>221</v>
      </c>
      <c r="AO833" s="9" t="s">
        <v>1086</v>
      </c>
      <c r="AP833" s="8">
        <v>0</v>
      </c>
      <c r="AQ833" s="8">
        <v>0</v>
      </c>
      <c r="AR833" s="8">
        <v>0</v>
      </c>
      <c r="AS833" s="8">
        <v>0</v>
      </c>
      <c r="AT833" s="8">
        <v>0</v>
      </c>
      <c r="AU833" s="8">
        <v>0</v>
      </c>
      <c r="AV833" s="8">
        <v>0</v>
      </c>
      <c r="AW833" s="8">
        <v>0</v>
      </c>
      <c r="AX833" s="9" t="s">
        <v>2828</v>
      </c>
      <c r="AY833" s="8"/>
      <c r="AZ833">
        <v>0</v>
      </c>
    </row>
    <row r="834" spans="1:52">
      <c r="A834" s="6">
        <v>45863</v>
      </c>
      <c r="B834" s="7" t="s">
        <v>3678</v>
      </c>
      <c r="C834" t="s">
        <v>308</v>
      </c>
      <c r="D834" t="s">
        <v>3610</v>
      </c>
      <c r="E834" t="s">
        <v>3610</v>
      </c>
      <c r="F834" t="s">
        <v>3611</v>
      </c>
      <c r="G834" t="s">
        <v>754</v>
      </c>
      <c r="H834" s="8" t="s">
        <v>221</v>
      </c>
      <c r="I834" s="8" t="s">
        <v>221</v>
      </c>
      <c r="J834" s="9" t="s">
        <v>218</v>
      </c>
      <c r="K834" s="9" t="s">
        <v>218</v>
      </c>
      <c r="L834" s="8" t="s">
        <v>221</v>
      </c>
      <c r="M834" s="8" t="s">
        <v>221</v>
      </c>
      <c r="N834" s="8" t="s">
        <v>221</v>
      </c>
      <c r="O834" s="8" t="s">
        <v>221</v>
      </c>
      <c r="Q834" t="s">
        <v>3679</v>
      </c>
      <c r="R834" t="s">
        <v>3680</v>
      </c>
      <c r="U834" t="s">
        <v>3681</v>
      </c>
      <c r="V834" t="s">
        <v>2804</v>
      </c>
      <c r="W834" t="s">
        <v>298</v>
      </c>
      <c r="Y834" t="s">
        <v>1082</v>
      </c>
      <c r="AA834" t="s">
        <v>2805</v>
      </c>
      <c r="AB834" t="s">
        <v>312</v>
      </c>
      <c r="AD834" t="s">
        <v>3628</v>
      </c>
      <c r="AE834" t="s">
        <v>3629</v>
      </c>
      <c r="AG834" s="8" t="s">
        <v>218</v>
      </c>
      <c r="AH834" t="s">
        <v>2283</v>
      </c>
      <c r="AI834" s="8" t="s">
        <v>221</v>
      </c>
      <c r="AJ834" s="8" t="s">
        <v>221</v>
      </c>
      <c r="AK834" t="s">
        <v>249</v>
      </c>
      <c r="AL834" s="8" t="s">
        <v>221</v>
      </c>
      <c r="AM834" s="9" t="s">
        <v>218</v>
      </c>
      <c r="AN834" s="8" t="s">
        <v>221</v>
      </c>
      <c r="AO834" s="9" t="s">
        <v>1086</v>
      </c>
      <c r="AP834" s="8">
        <v>0</v>
      </c>
      <c r="AQ834" s="8">
        <v>0</v>
      </c>
      <c r="AR834" s="8">
        <v>0</v>
      </c>
      <c r="AS834" s="8">
        <v>0</v>
      </c>
      <c r="AT834" s="8">
        <v>0</v>
      </c>
      <c r="AU834" s="8">
        <v>0</v>
      </c>
      <c r="AV834" s="8">
        <v>0</v>
      </c>
      <c r="AW834" s="8">
        <v>0</v>
      </c>
      <c r="AX834" s="8"/>
      <c r="AY834" s="8"/>
      <c r="AZ834">
        <v>0</v>
      </c>
    </row>
    <row r="835" spans="1:52">
      <c r="A835" s="6">
        <v>45863</v>
      </c>
      <c r="B835" s="7" t="s">
        <v>3682</v>
      </c>
      <c r="C835" t="s">
        <v>308</v>
      </c>
      <c r="D835" t="s">
        <v>3610</v>
      </c>
      <c r="E835" t="s">
        <v>3610</v>
      </c>
      <c r="F835" t="s">
        <v>3611</v>
      </c>
      <c r="G835" t="s">
        <v>754</v>
      </c>
      <c r="H835" s="8" t="s">
        <v>221</v>
      </c>
      <c r="I835" s="8" t="s">
        <v>221</v>
      </c>
      <c r="J835" s="9" t="s">
        <v>218</v>
      </c>
      <c r="K835" s="9" t="s">
        <v>218</v>
      </c>
      <c r="L835" s="8" t="s">
        <v>221</v>
      </c>
      <c r="M835" s="8" t="s">
        <v>221</v>
      </c>
      <c r="N835" s="8" t="s">
        <v>221</v>
      </c>
      <c r="O835" s="8" t="s">
        <v>221</v>
      </c>
      <c r="Q835" t="s">
        <v>3683</v>
      </c>
      <c r="R835" t="s">
        <v>3684</v>
      </c>
      <c r="U835" t="s">
        <v>3685</v>
      </c>
      <c r="V835" t="s">
        <v>2804</v>
      </c>
      <c r="W835" t="s">
        <v>298</v>
      </c>
      <c r="Y835" t="s">
        <v>1082</v>
      </c>
      <c r="AA835" t="s">
        <v>2805</v>
      </c>
      <c r="AB835" t="s">
        <v>312</v>
      </c>
      <c r="AD835" t="s">
        <v>3628</v>
      </c>
      <c r="AE835" t="s">
        <v>3629</v>
      </c>
      <c r="AG835" s="8" t="s">
        <v>218</v>
      </c>
      <c r="AH835" t="s">
        <v>2283</v>
      </c>
      <c r="AI835" s="8" t="s">
        <v>221</v>
      </c>
      <c r="AJ835" s="8" t="s">
        <v>221</v>
      </c>
      <c r="AK835" t="s">
        <v>249</v>
      </c>
      <c r="AL835" s="8" t="s">
        <v>221</v>
      </c>
      <c r="AM835" s="9" t="s">
        <v>218</v>
      </c>
      <c r="AN835" s="8" t="s">
        <v>221</v>
      </c>
      <c r="AO835" s="9" t="s">
        <v>1086</v>
      </c>
      <c r="AP835" s="8">
        <v>0</v>
      </c>
      <c r="AQ835" s="8">
        <v>0</v>
      </c>
      <c r="AR835" s="8">
        <v>0</v>
      </c>
      <c r="AS835" s="8">
        <v>0</v>
      </c>
      <c r="AT835" s="8">
        <v>0</v>
      </c>
      <c r="AU835" s="8">
        <v>0</v>
      </c>
      <c r="AV835" s="8">
        <v>0</v>
      </c>
      <c r="AW835" s="8">
        <v>0</v>
      </c>
      <c r="AX835" s="8"/>
      <c r="AY835" s="8"/>
      <c r="AZ835">
        <v>0</v>
      </c>
    </row>
    <row r="836" spans="1:52">
      <c r="A836" s="6">
        <v>45863</v>
      </c>
      <c r="B836" s="7" t="s">
        <v>3686</v>
      </c>
      <c r="C836" t="s">
        <v>308</v>
      </c>
      <c r="D836" t="s">
        <v>3610</v>
      </c>
      <c r="E836" t="s">
        <v>3610</v>
      </c>
      <c r="F836" t="s">
        <v>3611</v>
      </c>
      <c r="G836" t="s">
        <v>754</v>
      </c>
      <c r="H836" s="8" t="s">
        <v>221</v>
      </c>
      <c r="I836" s="8" t="s">
        <v>221</v>
      </c>
      <c r="J836" s="9" t="s">
        <v>218</v>
      </c>
      <c r="K836" s="9" t="s">
        <v>218</v>
      </c>
      <c r="L836" s="8" t="s">
        <v>221</v>
      </c>
      <c r="M836" s="8" t="s">
        <v>221</v>
      </c>
      <c r="N836" s="8" t="s">
        <v>221</v>
      </c>
      <c r="O836" s="8" t="s">
        <v>221</v>
      </c>
      <c r="Q836" t="s">
        <v>3687</v>
      </c>
      <c r="R836" t="s">
        <v>3688</v>
      </c>
      <c r="U836" t="s">
        <v>3689</v>
      </c>
      <c r="V836" t="s">
        <v>2804</v>
      </c>
      <c r="W836" t="s">
        <v>298</v>
      </c>
      <c r="Y836" t="s">
        <v>1082</v>
      </c>
      <c r="AA836" t="s">
        <v>2805</v>
      </c>
      <c r="AB836" t="s">
        <v>312</v>
      </c>
      <c r="AD836" t="s">
        <v>3628</v>
      </c>
      <c r="AE836" t="s">
        <v>3629</v>
      </c>
      <c r="AG836" s="8" t="s">
        <v>218</v>
      </c>
      <c r="AH836" t="s">
        <v>2283</v>
      </c>
      <c r="AI836" s="8" t="s">
        <v>221</v>
      </c>
      <c r="AJ836" s="8" t="s">
        <v>221</v>
      </c>
      <c r="AK836" t="s">
        <v>249</v>
      </c>
      <c r="AL836" s="8" t="s">
        <v>221</v>
      </c>
      <c r="AM836" s="9" t="s">
        <v>218</v>
      </c>
      <c r="AN836" s="8" t="s">
        <v>221</v>
      </c>
      <c r="AO836" s="9" t="s">
        <v>1086</v>
      </c>
      <c r="AP836" s="8">
        <v>0</v>
      </c>
      <c r="AQ836" s="8">
        <v>0</v>
      </c>
      <c r="AR836" s="8">
        <v>0</v>
      </c>
      <c r="AS836" s="8">
        <v>0</v>
      </c>
      <c r="AT836" s="8">
        <v>0</v>
      </c>
      <c r="AU836" s="8">
        <v>0</v>
      </c>
      <c r="AV836" s="8">
        <v>0</v>
      </c>
      <c r="AW836" s="8">
        <v>0</v>
      </c>
      <c r="AX836" s="8"/>
      <c r="AY836" s="8"/>
      <c r="AZ836">
        <v>0</v>
      </c>
    </row>
    <row r="837" spans="1:52">
      <c r="A837" s="6">
        <v>45863</v>
      </c>
      <c r="B837" s="7" t="s">
        <v>3690</v>
      </c>
      <c r="C837" t="s">
        <v>308</v>
      </c>
      <c r="D837" t="s">
        <v>3610</v>
      </c>
      <c r="E837" t="s">
        <v>3610</v>
      </c>
      <c r="F837" t="s">
        <v>3611</v>
      </c>
      <c r="G837" t="s">
        <v>754</v>
      </c>
      <c r="H837" s="8" t="s">
        <v>221</v>
      </c>
      <c r="I837" s="8" t="s">
        <v>221</v>
      </c>
      <c r="J837" s="9" t="s">
        <v>218</v>
      </c>
      <c r="K837" s="9" t="s">
        <v>218</v>
      </c>
      <c r="L837" s="8" t="s">
        <v>221</v>
      </c>
      <c r="M837" s="8" t="s">
        <v>221</v>
      </c>
      <c r="N837" s="8" t="s">
        <v>221</v>
      </c>
      <c r="O837" s="8" t="s">
        <v>221</v>
      </c>
      <c r="Q837" t="s">
        <v>3691</v>
      </c>
      <c r="R837" t="s">
        <v>3692</v>
      </c>
      <c r="U837" t="s">
        <v>3693</v>
      </c>
      <c r="V837" t="s">
        <v>2804</v>
      </c>
      <c r="W837" t="s">
        <v>298</v>
      </c>
      <c r="Y837" t="s">
        <v>1082</v>
      </c>
      <c r="AA837" t="s">
        <v>2805</v>
      </c>
      <c r="AB837" t="s">
        <v>312</v>
      </c>
      <c r="AD837" t="s">
        <v>3628</v>
      </c>
      <c r="AE837" t="s">
        <v>3629</v>
      </c>
      <c r="AG837" s="8" t="s">
        <v>218</v>
      </c>
      <c r="AH837" t="s">
        <v>2283</v>
      </c>
      <c r="AI837" s="8" t="s">
        <v>221</v>
      </c>
      <c r="AJ837" s="8" t="s">
        <v>221</v>
      </c>
      <c r="AK837" t="s">
        <v>249</v>
      </c>
      <c r="AL837" s="8" t="s">
        <v>221</v>
      </c>
      <c r="AM837" s="9" t="s">
        <v>218</v>
      </c>
      <c r="AN837" s="8" t="s">
        <v>221</v>
      </c>
      <c r="AO837" s="9" t="s">
        <v>1086</v>
      </c>
      <c r="AP837" s="8">
        <v>0</v>
      </c>
      <c r="AQ837" s="8">
        <v>0</v>
      </c>
      <c r="AR837" s="8">
        <v>0</v>
      </c>
      <c r="AS837" s="8">
        <v>0</v>
      </c>
      <c r="AT837" s="8">
        <v>0</v>
      </c>
      <c r="AU837" s="8">
        <v>0</v>
      </c>
      <c r="AV837" s="8">
        <v>0</v>
      </c>
      <c r="AW837" s="8">
        <v>0</v>
      </c>
      <c r="AX837" s="8"/>
      <c r="AY837" s="8"/>
      <c r="AZ837">
        <v>0</v>
      </c>
    </row>
    <row r="838" spans="1:52">
      <c r="A838" s="6">
        <v>45863</v>
      </c>
      <c r="B838" s="7" t="s">
        <v>3694</v>
      </c>
      <c r="C838" t="s">
        <v>308</v>
      </c>
      <c r="D838" t="s">
        <v>3610</v>
      </c>
      <c r="E838" t="s">
        <v>3610</v>
      </c>
      <c r="F838" t="s">
        <v>3611</v>
      </c>
      <c r="G838" t="s">
        <v>754</v>
      </c>
      <c r="H838" s="8" t="s">
        <v>221</v>
      </c>
      <c r="I838" s="8" t="s">
        <v>221</v>
      </c>
      <c r="J838" s="9" t="s">
        <v>218</v>
      </c>
      <c r="K838" s="9" t="s">
        <v>218</v>
      </c>
      <c r="L838" s="8" t="s">
        <v>221</v>
      </c>
      <c r="M838" s="8" t="s">
        <v>221</v>
      </c>
      <c r="N838" s="8" t="s">
        <v>221</v>
      </c>
      <c r="O838" s="8" t="s">
        <v>221</v>
      </c>
      <c r="Q838" t="s">
        <v>3695</v>
      </c>
      <c r="R838" t="s">
        <v>3696</v>
      </c>
      <c r="U838" t="s">
        <v>3697</v>
      </c>
      <c r="V838" t="s">
        <v>2804</v>
      </c>
      <c r="W838" t="s">
        <v>298</v>
      </c>
      <c r="Y838" t="s">
        <v>1082</v>
      </c>
      <c r="AA838" t="s">
        <v>2805</v>
      </c>
      <c r="AB838" t="s">
        <v>312</v>
      </c>
      <c r="AD838" t="s">
        <v>3628</v>
      </c>
      <c r="AE838" t="s">
        <v>3629</v>
      </c>
      <c r="AG838" s="8" t="s">
        <v>218</v>
      </c>
      <c r="AH838" t="s">
        <v>2283</v>
      </c>
      <c r="AI838" s="8" t="s">
        <v>221</v>
      </c>
      <c r="AJ838" s="8" t="s">
        <v>221</v>
      </c>
      <c r="AK838" t="s">
        <v>249</v>
      </c>
      <c r="AL838" s="8" t="s">
        <v>221</v>
      </c>
      <c r="AM838" s="9" t="s">
        <v>218</v>
      </c>
      <c r="AN838" s="8" t="s">
        <v>221</v>
      </c>
      <c r="AO838" s="9" t="s">
        <v>1086</v>
      </c>
      <c r="AP838" s="8">
        <v>0</v>
      </c>
      <c r="AQ838" s="8">
        <v>0</v>
      </c>
      <c r="AR838" s="8">
        <v>0</v>
      </c>
      <c r="AS838" s="8">
        <v>0</v>
      </c>
      <c r="AT838" s="8">
        <v>0</v>
      </c>
      <c r="AU838" s="8">
        <v>0</v>
      </c>
      <c r="AV838" s="8">
        <v>0</v>
      </c>
      <c r="AW838" s="8">
        <v>0</v>
      </c>
      <c r="AX838" s="8"/>
      <c r="AY838" s="8"/>
      <c r="AZ838">
        <v>0</v>
      </c>
    </row>
    <row r="839" spans="1:52">
      <c r="A839" s="6">
        <v>45863</v>
      </c>
      <c r="B839" s="7" t="s">
        <v>3698</v>
      </c>
      <c r="C839" t="s">
        <v>308</v>
      </c>
      <c r="D839" t="s">
        <v>3610</v>
      </c>
      <c r="E839" t="s">
        <v>3610</v>
      </c>
      <c r="F839" t="s">
        <v>3611</v>
      </c>
      <c r="G839" t="s">
        <v>754</v>
      </c>
      <c r="H839" s="8" t="s">
        <v>221</v>
      </c>
      <c r="I839" s="8" t="s">
        <v>221</v>
      </c>
      <c r="J839" s="9" t="s">
        <v>218</v>
      </c>
      <c r="K839" s="9" t="s">
        <v>218</v>
      </c>
      <c r="L839" s="8" t="s">
        <v>221</v>
      </c>
      <c r="M839" s="8" t="s">
        <v>221</v>
      </c>
      <c r="N839" s="8" t="s">
        <v>221</v>
      </c>
      <c r="O839" s="8" t="s">
        <v>221</v>
      </c>
      <c r="Q839" t="s">
        <v>3699</v>
      </c>
      <c r="R839" t="s">
        <v>3700</v>
      </c>
      <c r="U839" t="s">
        <v>3701</v>
      </c>
      <c r="V839" t="s">
        <v>2804</v>
      </c>
      <c r="W839" t="s">
        <v>298</v>
      </c>
      <c r="Y839" t="s">
        <v>1082</v>
      </c>
      <c r="AA839" t="s">
        <v>2805</v>
      </c>
      <c r="AB839" t="s">
        <v>312</v>
      </c>
      <c r="AD839" t="s">
        <v>3628</v>
      </c>
      <c r="AE839" t="s">
        <v>3629</v>
      </c>
      <c r="AG839" s="8" t="s">
        <v>218</v>
      </c>
      <c r="AH839" t="s">
        <v>2283</v>
      </c>
      <c r="AI839" s="8" t="s">
        <v>221</v>
      </c>
      <c r="AJ839" s="8" t="s">
        <v>221</v>
      </c>
      <c r="AK839" t="s">
        <v>249</v>
      </c>
      <c r="AL839" s="8" t="s">
        <v>221</v>
      </c>
      <c r="AM839" s="9" t="s">
        <v>218</v>
      </c>
      <c r="AN839" s="8" t="s">
        <v>221</v>
      </c>
      <c r="AO839" s="9" t="s">
        <v>1086</v>
      </c>
      <c r="AP839" s="8">
        <v>0</v>
      </c>
      <c r="AQ839" s="8">
        <v>0</v>
      </c>
      <c r="AR839" s="8">
        <v>0</v>
      </c>
      <c r="AS839" s="8">
        <v>0</v>
      </c>
      <c r="AT839" s="8">
        <v>0</v>
      </c>
      <c r="AU839" s="8">
        <v>0</v>
      </c>
      <c r="AV839" s="8">
        <v>0</v>
      </c>
      <c r="AW839" s="8">
        <v>0</v>
      </c>
      <c r="AX839" s="8"/>
      <c r="AY839" s="8"/>
      <c r="AZ839">
        <v>0</v>
      </c>
    </row>
    <row r="840" spans="1:52">
      <c r="A840" s="6">
        <v>45863</v>
      </c>
      <c r="B840" s="7" t="s">
        <v>3702</v>
      </c>
      <c r="C840" t="s">
        <v>308</v>
      </c>
      <c r="D840" t="s">
        <v>3610</v>
      </c>
      <c r="E840" t="s">
        <v>3610</v>
      </c>
      <c r="F840" t="s">
        <v>3611</v>
      </c>
      <c r="G840" t="s">
        <v>754</v>
      </c>
      <c r="H840" s="8" t="s">
        <v>221</v>
      </c>
      <c r="I840" s="8" t="s">
        <v>221</v>
      </c>
      <c r="J840" s="9" t="s">
        <v>218</v>
      </c>
      <c r="K840" s="9" t="s">
        <v>218</v>
      </c>
      <c r="L840" s="8" t="s">
        <v>221</v>
      </c>
      <c r="M840" s="8" t="s">
        <v>221</v>
      </c>
      <c r="N840" s="8" t="s">
        <v>221</v>
      </c>
      <c r="O840" s="8" t="s">
        <v>221</v>
      </c>
      <c r="Q840" t="s">
        <v>3703</v>
      </c>
      <c r="R840" t="s">
        <v>3704</v>
      </c>
      <c r="U840" t="s">
        <v>3705</v>
      </c>
      <c r="V840" t="s">
        <v>2804</v>
      </c>
      <c r="W840" t="s">
        <v>298</v>
      </c>
      <c r="Y840" t="s">
        <v>1082</v>
      </c>
      <c r="AA840" t="s">
        <v>2805</v>
      </c>
      <c r="AB840" t="s">
        <v>312</v>
      </c>
      <c r="AD840" t="s">
        <v>3628</v>
      </c>
      <c r="AE840" t="s">
        <v>3629</v>
      </c>
      <c r="AG840" s="8" t="s">
        <v>218</v>
      </c>
      <c r="AH840" t="s">
        <v>2283</v>
      </c>
      <c r="AI840" s="8" t="s">
        <v>221</v>
      </c>
      <c r="AJ840" s="8" t="s">
        <v>221</v>
      </c>
      <c r="AK840" t="s">
        <v>249</v>
      </c>
      <c r="AL840" s="8" t="s">
        <v>221</v>
      </c>
      <c r="AM840" s="9" t="s">
        <v>218</v>
      </c>
      <c r="AN840" s="8" t="s">
        <v>221</v>
      </c>
      <c r="AO840" s="9" t="s">
        <v>1086</v>
      </c>
      <c r="AP840" s="8">
        <v>0</v>
      </c>
      <c r="AQ840" s="8">
        <v>0</v>
      </c>
      <c r="AR840" s="8">
        <v>0</v>
      </c>
      <c r="AS840" s="8">
        <v>0</v>
      </c>
      <c r="AT840" s="8">
        <v>0</v>
      </c>
      <c r="AU840" s="8">
        <v>0</v>
      </c>
      <c r="AV840" s="8">
        <v>0</v>
      </c>
      <c r="AW840" s="8">
        <v>0</v>
      </c>
      <c r="AX840" s="8"/>
      <c r="AY840" s="8"/>
      <c r="AZ840">
        <v>0</v>
      </c>
    </row>
    <row r="841" spans="1:52">
      <c r="A841" s="6">
        <v>45863</v>
      </c>
      <c r="B841" s="7" t="s">
        <v>3706</v>
      </c>
      <c r="C841" t="s">
        <v>308</v>
      </c>
      <c r="D841" t="s">
        <v>3610</v>
      </c>
      <c r="E841" t="s">
        <v>3610</v>
      </c>
      <c r="F841" t="s">
        <v>3611</v>
      </c>
      <c r="G841" t="s">
        <v>754</v>
      </c>
      <c r="H841" s="8" t="s">
        <v>221</v>
      </c>
      <c r="I841" s="8" t="s">
        <v>221</v>
      </c>
      <c r="J841" s="9" t="s">
        <v>218</v>
      </c>
      <c r="K841" s="9" t="s">
        <v>218</v>
      </c>
      <c r="L841" s="8" t="s">
        <v>221</v>
      </c>
      <c r="M841" s="8" t="s">
        <v>221</v>
      </c>
      <c r="N841" s="8" t="s">
        <v>221</v>
      </c>
      <c r="O841" s="8" t="s">
        <v>221</v>
      </c>
      <c r="Q841" t="s">
        <v>3707</v>
      </c>
      <c r="R841" t="s">
        <v>3708</v>
      </c>
      <c r="U841" t="s">
        <v>3709</v>
      </c>
      <c r="V841" t="s">
        <v>2804</v>
      </c>
      <c r="W841" t="s">
        <v>298</v>
      </c>
      <c r="Y841" t="s">
        <v>1082</v>
      </c>
      <c r="AA841" t="s">
        <v>2805</v>
      </c>
      <c r="AB841" t="s">
        <v>312</v>
      </c>
      <c r="AD841" t="s">
        <v>3628</v>
      </c>
      <c r="AE841" t="s">
        <v>3629</v>
      </c>
      <c r="AG841" s="8" t="s">
        <v>218</v>
      </c>
      <c r="AH841" t="s">
        <v>2283</v>
      </c>
      <c r="AI841" s="8" t="s">
        <v>221</v>
      </c>
      <c r="AJ841" s="8" t="s">
        <v>221</v>
      </c>
      <c r="AK841" t="s">
        <v>249</v>
      </c>
      <c r="AL841" s="8" t="s">
        <v>221</v>
      </c>
      <c r="AM841" s="9" t="s">
        <v>218</v>
      </c>
      <c r="AN841" s="8" t="s">
        <v>221</v>
      </c>
      <c r="AO841" s="9" t="s">
        <v>1086</v>
      </c>
      <c r="AP841" s="8">
        <v>0</v>
      </c>
      <c r="AQ841" s="8">
        <v>0</v>
      </c>
      <c r="AR841" s="8">
        <v>0</v>
      </c>
      <c r="AS841" s="8">
        <v>0</v>
      </c>
      <c r="AT841" s="8">
        <v>0</v>
      </c>
      <c r="AU841" s="8">
        <v>0</v>
      </c>
      <c r="AV841" s="8">
        <v>0</v>
      </c>
      <c r="AW841" s="8">
        <v>0</v>
      </c>
      <c r="AX841" s="8"/>
      <c r="AY841" s="8"/>
      <c r="AZ841">
        <v>0</v>
      </c>
    </row>
    <row r="842" spans="1:52">
      <c r="A842" s="6">
        <v>45863</v>
      </c>
      <c r="B842" s="7" t="s">
        <v>3710</v>
      </c>
      <c r="C842" t="s">
        <v>308</v>
      </c>
      <c r="D842" t="s">
        <v>3610</v>
      </c>
      <c r="E842" t="s">
        <v>3610</v>
      </c>
      <c r="F842" t="s">
        <v>3611</v>
      </c>
      <c r="G842" t="s">
        <v>754</v>
      </c>
      <c r="H842" s="8" t="s">
        <v>221</v>
      </c>
      <c r="I842" s="8" t="s">
        <v>221</v>
      </c>
      <c r="J842" s="9" t="s">
        <v>218</v>
      </c>
      <c r="K842" s="9" t="s">
        <v>218</v>
      </c>
      <c r="L842" s="8" t="s">
        <v>221</v>
      </c>
      <c r="M842" s="8" t="s">
        <v>221</v>
      </c>
      <c r="N842" s="8" t="s">
        <v>221</v>
      </c>
      <c r="O842" s="8" t="s">
        <v>221</v>
      </c>
      <c r="Q842" t="s">
        <v>3711</v>
      </c>
      <c r="R842" t="s">
        <v>3712</v>
      </c>
      <c r="U842" t="s">
        <v>3713</v>
      </c>
      <c r="V842" t="s">
        <v>2804</v>
      </c>
      <c r="W842" t="s">
        <v>298</v>
      </c>
      <c r="Y842" t="s">
        <v>1082</v>
      </c>
      <c r="AA842" t="s">
        <v>2805</v>
      </c>
      <c r="AB842" t="s">
        <v>312</v>
      </c>
      <c r="AD842" t="s">
        <v>3628</v>
      </c>
      <c r="AE842" t="s">
        <v>3629</v>
      </c>
      <c r="AG842" s="8" t="s">
        <v>218</v>
      </c>
      <c r="AH842" t="s">
        <v>2283</v>
      </c>
      <c r="AI842" s="8" t="s">
        <v>221</v>
      </c>
      <c r="AJ842" s="8" t="s">
        <v>221</v>
      </c>
      <c r="AK842" t="s">
        <v>249</v>
      </c>
      <c r="AL842" s="8" t="s">
        <v>221</v>
      </c>
      <c r="AM842" s="9" t="s">
        <v>218</v>
      </c>
      <c r="AN842" s="8" t="s">
        <v>221</v>
      </c>
      <c r="AO842" s="9" t="s">
        <v>1086</v>
      </c>
      <c r="AP842" s="8">
        <v>0</v>
      </c>
      <c r="AQ842" s="8">
        <v>0</v>
      </c>
      <c r="AR842" s="8">
        <v>0</v>
      </c>
      <c r="AS842" s="8">
        <v>0</v>
      </c>
      <c r="AT842" s="8">
        <v>0</v>
      </c>
      <c r="AU842" s="8">
        <v>0</v>
      </c>
      <c r="AV842" s="8">
        <v>0</v>
      </c>
      <c r="AW842" s="8">
        <v>0</v>
      </c>
      <c r="AX842" s="8"/>
      <c r="AY842" s="8"/>
      <c r="AZ842">
        <v>0</v>
      </c>
    </row>
    <row r="843" spans="1:52">
      <c r="A843" s="6">
        <v>45863</v>
      </c>
      <c r="B843" s="7" t="s">
        <v>3714</v>
      </c>
      <c r="C843" t="s">
        <v>308</v>
      </c>
      <c r="D843" t="s">
        <v>3610</v>
      </c>
      <c r="E843" t="s">
        <v>3610</v>
      </c>
      <c r="F843" t="s">
        <v>3611</v>
      </c>
      <c r="G843" t="s">
        <v>754</v>
      </c>
      <c r="H843" s="8" t="s">
        <v>221</v>
      </c>
      <c r="I843" s="8" t="s">
        <v>221</v>
      </c>
      <c r="J843" s="9" t="s">
        <v>218</v>
      </c>
      <c r="K843" s="9" t="s">
        <v>218</v>
      </c>
      <c r="L843" s="8" t="s">
        <v>221</v>
      </c>
      <c r="M843" s="8" t="s">
        <v>221</v>
      </c>
      <c r="N843" s="8" t="s">
        <v>221</v>
      </c>
      <c r="O843" s="8" t="s">
        <v>221</v>
      </c>
      <c r="Q843" t="s">
        <v>3715</v>
      </c>
      <c r="R843" t="s">
        <v>3716</v>
      </c>
      <c r="U843" t="s">
        <v>3717</v>
      </c>
      <c r="V843" t="s">
        <v>2804</v>
      </c>
      <c r="W843" t="s">
        <v>298</v>
      </c>
      <c r="Y843" t="s">
        <v>1082</v>
      </c>
      <c r="AA843" t="s">
        <v>2805</v>
      </c>
      <c r="AB843" t="s">
        <v>312</v>
      </c>
      <c r="AD843" t="s">
        <v>3628</v>
      </c>
      <c r="AE843" t="s">
        <v>3629</v>
      </c>
      <c r="AG843" s="8" t="s">
        <v>218</v>
      </c>
      <c r="AH843" t="s">
        <v>2283</v>
      </c>
      <c r="AI843" s="8" t="s">
        <v>221</v>
      </c>
      <c r="AJ843" s="8" t="s">
        <v>221</v>
      </c>
      <c r="AK843" t="s">
        <v>249</v>
      </c>
      <c r="AL843" s="8" t="s">
        <v>221</v>
      </c>
      <c r="AM843" s="9" t="s">
        <v>218</v>
      </c>
      <c r="AN843" s="8" t="s">
        <v>221</v>
      </c>
      <c r="AO843" s="9" t="s">
        <v>1086</v>
      </c>
      <c r="AP843" s="8">
        <v>0</v>
      </c>
      <c r="AQ843" s="8">
        <v>0</v>
      </c>
      <c r="AR843" s="8">
        <v>0</v>
      </c>
      <c r="AS843" s="8">
        <v>0</v>
      </c>
      <c r="AT843" s="8">
        <v>0</v>
      </c>
      <c r="AU843" s="8">
        <v>0</v>
      </c>
      <c r="AV843" s="8">
        <v>0</v>
      </c>
      <c r="AW843" s="8">
        <v>0</v>
      </c>
      <c r="AX843" s="8"/>
      <c r="AY843" s="8"/>
      <c r="AZ843">
        <v>0</v>
      </c>
    </row>
    <row r="844" spans="1:52">
      <c r="A844" s="6">
        <v>45863</v>
      </c>
      <c r="B844" s="7" t="s">
        <v>3718</v>
      </c>
      <c r="C844" t="s">
        <v>308</v>
      </c>
      <c r="D844" t="s">
        <v>3610</v>
      </c>
      <c r="E844" t="s">
        <v>3610</v>
      </c>
      <c r="F844" t="s">
        <v>3611</v>
      </c>
      <c r="G844" t="s">
        <v>754</v>
      </c>
      <c r="H844" s="8" t="s">
        <v>221</v>
      </c>
      <c r="I844" s="8" t="s">
        <v>221</v>
      </c>
      <c r="J844" s="9" t="s">
        <v>218</v>
      </c>
      <c r="K844" s="9" t="s">
        <v>218</v>
      </c>
      <c r="L844" s="8" t="s">
        <v>221</v>
      </c>
      <c r="M844" s="8" t="s">
        <v>221</v>
      </c>
      <c r="N844" s="8" t="s">
        <v>221</v>
      </c>
      <c r="O844" s="8" t="s">
        <v>221</v>
      </c>
      <c r="Q844" t="s">
        <v>3719</v>
      </c>
      <c r="R844" t="s">
        <v>3720</v>
      </c>
      <c r="U844" t="s">
        <v>3721</v>
      </c>
      <c r="V844" t="s">
        <v>2804</v>
      </c>
      <c r="W844" t="s">
        <v>298</v>
      </c>
      <c r="Y844" t="s">
        <v>1082</v>
      </c>
      <c r="AA844" t="s">
        <v>2805</v>
      </c>
      <c r="AB844" t="s">
        <v>312</v>
      </c>
      <c r="AD844" t="s">
        <v>3628</v>
      </c>
      <c r="AE844" t="s">
        <v>3629</v>
      </c>
      <c r="AG844" s="8" t="s">
        <v>218</v>
      </c>
      <c r="AH844" t="s">
        <v>2283</v>
      </c>
      <c r="AI844" s="8" t="s">
        <v>221</v>
      </c>
      <c r="AJ844" s="8" t="s">
        <v>221</v>
      </c>
      <c r="AK844" t="s">
        <v>249</v>
      </c>
      <c r="AL844" s="8" t="s">
        <v>221</v>
      </c>
      <c r="AM844" s="9" t="s">
        <v>218</v>
      </c>
      <c r="AN844" s="8" t="s">
        <v>221</v>
      </c>
      <c r="AO844" s="9" t="s">
        <v>1086</v>
      </c>
      <c r="AP844" s="8">
        <v>0</v>
      </c>
      <c r="AQ844" s="8">
        <v>0</v>
      </c>
      <c r="AR844" s="8">
        <v>0</v>
      </c>
      <c r="AS844" s="8">
        <v>0</v>
      </c>
      <c r="AT844" s="8">
        <v>0</v>
      </c>
      <c r="AU844" s="8">
        <v>0</v>
      </c>
      <c r="AV844" s="8">
        <v>0</v>
      </c>
      <c r="AW844" s="8">
        <v>0</v>
      </c>
      <c r="AX844" s="8"/>
      <c r="AY844" s="8"/>
      <c r="AZ844">
        <v>0</v>
      </c>
    </row>
    <row r="845" spans="1:52">
      <c r="A845" s="6">
        <v>45863</v>
      </c>
      <c r="B845" s="7" t="s">
        <v>3722</v>
      </c>
      <c r="C845" t="s">
        <v>308</v>
      </c>
      <c r="D845" t="s">
        <v>3610</v>
      </c>
      <c r="E845" t="s">
        <v>3610</v>
      </c>
      <c r="F845" t="s">
        <v>3611</v>
      </c>
      <c r="G845" t="s">
        <v>754</v>
      </c>
      <c r="H845" s="8" t="s">
        <v>221</v>
      </c>
      <c r="I845" s="8" t="s">
        <v>221</v>
      </c>
      <c r="J845" s="9" t="s">
        <v>218</v>
      </c>
      <c r="K845" s="9" t="s">
        <v>218</v>
      </c>
      <c r="L845" s="8" t="s">
        <v>221</v>
      </c>
      <c r="M845" s="8" t="s">
        <v>221</v>
      </c>
      <c r="N845" s="8" t="s">
        <v>221</v>
      </c>
      <c r="O845" s="8" t="s">
        <v>221</v>
      </c>
      <c r="Q845" t="s">
        <v>3723</v>
      </c>
      <c r="R845" t="s">
        <v>3724</v>
      </c>
      <c r="U845" t="s">
        <v>3725</v>
      </c>
      <c r="V845" t="s">
        <v>2804</v>
      </c>
      <c r="W845" t="s">
        <v>298</v>
      </c>
      <c r="Y845" t="s">
        <v>1082</v>
      </c>
      <c r="AA845" t="s">
        <v>2805</v>
      </c>
      <c r="AB845" t="s">
        <v>312</v>
      </c>
      <c r="AD845" t="s">
        <v>3628</v>
      </c>
      <c r="AE845" t="s">
        <v>3629</v>
      </c>
      <c r="AG845" s="8" t="s">
        <v>218</v>
      </c>
      <c r="AH845" t="s">
        <v>2283</v>
      </c>
      <c r="AI845" s="8" t="s">
        <v>221</v>
      </c>
      <c r="AJ845" s="8" t="s">
        <v>221</v>
      </c>
      <c r="AK845" t="s">
        <v>249</v>
      </c>
      <c r="AL845" s="8" t="s">
        <v>221</v>
      </c>
      <c r="AM845" s="9" t="s">
        <v>218</v>
      </c>
      <c r="AN845" s="8" t="s">
        <v>221</v>
      </c>
      <c r="AO845" s="9" t="s">
        <v>1086</v>
      </c>
      <c r="AP845" s="8">
        <v>0</v>
      </c>
      <c r="AQ845" s="8">
        <v>0</v>
      </c>
      <c r="AR845" s="8">
        <v>0</v>
      </c>
      <c r="AS845" s="8">
        <v>0</v>
      </c>
      <c r="AT845" s="8">
        <v>0</v>
      </c>
      <c r="AU845" s="8">
        <v>0</v>
      </c>
      <c r="AV845" s="8">
        <v>0</v>
      </c>
      <c r="AW845" s="8">
        <v>0</v>
      </c>
      <c r="AX845" s="8"/>
      <c r="AY845" s="8"/>
      <c r="AZ845">
        <v>0</v>
      </c>
    </row>
    <row r="846" spans="1:52">
      <c r="A846" s="6">
        <v>45863</v>
      </c>
      <c r="B846" s="7" t="s">
        <v>3726</v>
      </c>
      <c r="C846" t="s">
        <v>308</v>
      </c>
      <c r="D846" t="s">
        <v>3610</v>
      </c>
      <c r="E846" t="s">
        <v>3610</v>
      </c>
      <c r="F846" t="s">
        <v>3611</v>
      </c>
      <c r="G846" t="s">
        <v>754</v>
      </c>
      <c r="H846" s="8" t="s">
        <v>221</v>
      </c>
      <c r="I846" s="8" t="s">
        <v>221</v>
      </c>
      <c r="J846" s="9" t="s">
        <v>218</v>
      </c>
      <c r="K846" s="9" t="s">
        <v>218</v>
      </c>
      <c r="L846" s="8" t="s">
        <v>221</v>
      </c>
      <c r="M846" s="8" t="s">
        <v>221</v>
      </c>
      <c r="N846" s="8" t="s">
        <v>221</v>
      </c>
      <c r="O846" s="8" t="s">
        <v>221</v>
      </c>
      <c r="Q846" t="s">
        <v>3727</v>
      </c>
      <c r="R846" t="s">
        <v>3728</v>
      </c>
      <c r="U846" t="s">
        <v>3729</v>
      </c>
      <c r="V846" t="s">
        <v>2804</v>
      </c>
      <c r="W846" t="s">
        <v>298</v>
      </c>
      <c r="Y846" t="s">
        <v>1082</v>
      </c>
      <c r="AA846" t="s">
        <v>2805</v>
      </c>
      <c r="AB846" t="s">
        <v>312</v>
      </c>
      <c r="AD846" t="s">
        <v>3628</v>
      </c>
      <c r="AE846" t="s">
        <v>3629</v>
      </c>
      <c r="AG846" s="8" t="s">
        <v>218</v>
      </c>
      <c r="AH846" t="s">
        <v>2283</v>
      </c>
      <c r="AI846" s="8" t="s">
        <v>221</v>
      </c>
      <c r="AJ846" s="8" t="s">
        <v>221</v>
      </c>
      <c r="AK846" t="s">
        <v>249</v>
      </c>
      <c r="AL846" s="8" t="s">
        <v>221</v>
      </c>
      <c r="AM846" s="9" t="s">
        <v>218</v>
      </c>
      <c r="AN846" s="8" t="s">
        <v>221</v>
      </c>
      <c r="AO846" s="9" t="s">
        <v>1086</v>
      </c>
      <c r="AP846" s="8">
        <v>0</v>
      </c>
      <c r="AQ846" s="8">
        <v>0</v>
      </c>
      <c r="AR846" s="8">
        <v>0</v>
      </c>
      <c r="AS846" s="8">
        <v>0</v>
      </c>
      <c r="AT846" s="8">
        <v>0</v>
      </c>
      <c r="AU846" s="8">
        <v>0</v>
      </c>
      <c r="AV846" s="8">
        <v>0</v>
      </c>
      <c r="AW846" s="8">
        <v>0</v>
      </c>
      <c r="AX846" s="8"/>
      <c r="AY846" s="8"/>
      <c r="AZ846">
        <v>0</v>
      </c>
    </row>
    <row r="847" spans="1:52">
      <c r="A847" s="6">
        <v>45863</v>
      </c>
      <c r="B847" s="7" t="s">
        <v>3730</v>
      </c>
      <c r="C847" t="s">
        <v>308</v>
      </c>
      <c r="D847" t="s">
        <v>3610</v>
      </c>
      <c r="E847" t="s">
        <v>3610</v>
      </c>
      <c r="F847" t="s">
        <v>3611</v>
      </c>
      <c r="G847" t="s">
        <v>754</v>
      </c>
      <c r="H847" s="8" t="s">
        <v>221</v>
      </c>
      <c r="I847" s="8" t="s">
        <v>221</v>
      </c>
      <c r="J847" s="9" t="s">
        <v>218</v>
      </c>
      <c r="K847" s="9" t="s">
        <v>218</v>
      </c>
      <c r="L847" s="8" t="s">
        <v>221</v>
      </c>
      <c r="M847" s="8" t="s">
        <v>221</v>
      </c>
      <c r="N847" s="8" t="s">
        <v>221</v>
      </c>
      <c r="O847" s="8" t="s">
        <v>221</v>
      </c>
      <c r="Q847" t="s">
        <v>3731</v>
      </c>
      <c r="R847" t="s">
        <v>3732</v>
      </c>
      <c r="U847" t="s">
        <v>3733</v>
      </c>
      <c r="V847" t="s">
        <v>2804</v>
      </c>
      <c r="W847" t="s">
        <v>298</v>
      </c>
      <c r="Y847" t="s">
        <v>1082</v>
      </c>
      <c r="AA847" t="s">
        <v>2805</v>
      </c>
      <c r="AB847" t="s">
        <v>312</v>
      </c>
      <c r="AD847" t="s">
        <v>3628</v>
      </c>
      <c r="AE847" t="s">
        <v>3629</v>
      </c>
      <c r="AG847" s="8" t="s">
        <v>218</v>
      </c>
      <c r="AH847" t="s">
        <v>2283</v>
      </c>
      <c r="AI847" s="8" t="s">
        <v>221</v>
      </c>
      <c r="AJ847" s="8" t="s">
        <v>221</v>
      </c>
      <c r="AK847" t="s">
        <v>249</v>
      </c>
      <c r="AL847" s="8" t="s">
        <v>221</v>
      </c>
      <c r="AM847" s="9" t="s">
        <v>218</v>
      </c>
      <c r="AN847" s="8" t="s">
        <v>221</v>
      </c>
      <c r="AO847" s="9" t="s">
        <v>1086</v>
      </c>
      <c r="AP847" s="8">
        <v>0</v>
      </c>
      <c r="AQ847" s="8">
        <v>0</v>
      </c>
      <c r="AR847" s="8">
        <v>0</v>
      </c>
      <c r="AS847" s="8">
        <v>0</v>
      </c>
      <c r="AT847" s="8">
        <v>0</v>
      </c>
      <c r="AU847" s="8">
        <v>0</v>
      </c>
      <c r="AV847" s="8">
        <v>0</v>
      </c>
      <c r="AW847" s="8">
        <v>0</v>
      </c>
      <c r="AX847" s="8"/>
      <c r="AY847" s="8"/>
      <c r="AZ847">
        <v>0</v>
      </c>
    </row>
    <row r="848" spans="1:52">
      <c r="A848" s="6">
        <v>45863</v>
      </c>
      <c r="B848" s="7" t="s">
        <v>3734</v>
      </c>
      <c r="C848" t="s">
        <v>308</v>
      </c>
      <c r="D848" t="s">
        <v>3610</v>
      </c>
      <c r="E848" t="s">
        <v>3610</v>
      </c>
      <c r="F848" t="s">
        <v>3611</v>
      </c>
      <c r="G848" t="s">
        <v>754</v>
      </c>
      <c r="H848" s="8" t="s">
        <v>221</v>
      </c>
      <c r="I848" s="8" t="s">
        <v>221</v>
      </c>
      <c r="J848" s="9" t="s">
        <v>218</v>
      </c>
      <c r="K848" s="9" t="s">
        <v>218</v>
      </c>
      <c r="L848" s="8" t="s">
        <v>221</v>
      </c>
      <c r="M848" s="8" t="s">
        <v>221</v>
      </c>
      <c r="N848" s="8" t="s">
        <v>221</v>
      </c>
      <c r="O848" s="8" t="s">
        <v>221</v>
      </c>
      <c r="Q848" t="s">
        <v>3735</v>
      </c>
      <c r="R848" t="s">
        <v>3736</v>
      </c>
      <c r="U848" t="s">
        <v>3737</v>
      </c>
      <c r="V848" t="s">
        <v>2804</v>
      </c>
      <c r="W848" t="s">
        <v>298</v>
      </c>
      <c r="Y848" t="s">
        <v>1082</v>
      </c>
      <c r="AA848" t="s">
        <v>2805</v>
      </c>
      <c r="AB848" t="s">
        <v>312</v>
      </c>
      <c r="AD848" t="s">
        <v>3628</v>
      </c>
      <c r="AE848" t="s">
        <v>3629</v>
      </c>
      <c r="AG848" s="8" t="s">
        <v>218</v>
      </c>
      <c r="AH848" t="s">
        <v>2283</v>
      </c>
      <c r="AI848" s="8" t="s">
        <v>221</v>
      </c>
      <c r="AJ848" s="8" t="s">
        <v>221</v>
      </c>
      <c r="AK848" t="s">
        <v>249</v>
      </c>
      <c r="AL848" s="8" t="s">
        <v>221</v>
      </c>
      <c r="AM848" s="9" t="s">
        <v>218</v>
      </c>
      <c r="AN848" s="8" t="s">
        <v>221</v>
      </c>
      <c r="AO848" s="9" t="s">
        <v>1086</v>
      </c>
      <c r="AP848" s="8">
        <v>0</v>
      </c>
      <c r="AQ848" s="8">
        <v>0</v>
      </c>
      <c r="AR848" s="8">
        <v>0</v>
      </c>
      <c r="AS848" s="8">
        <v>0</v>
      </c>
      <c r="AT848" s="8">
        <v>0</v>
      </c>
      <c r="AU848" s="8">
        <v>0</v>
      </c>
      <c r="AV848" s="8">
        <v>0</v>
      </c>
      <c r="AW848" s="8">
        <v>0</v>
      </c>
      <c r="AX848" s="8"/>
      <c r="AY848" s="8"/>
      <c r="AZ848">
        <v>0</v>
      </c>
    </row>
    <row r="849" spans="1:52">
      <c r="A849" s="6">
        <v>45863</v>
      </c>
      <c r="B849" s="7" t="s">
        <v>3738</v>
      </c>
      <c r="C849" t="s">
        <v>308</v>
      </c>
      <c r="D849" t="s">
        <v>3610</v>
      </c>
      <c r="E849" t="s">
        <v>3610</v>
      </c>
      <c r="F849" t="s">
        <v>3611</v>
      </c>
      <c r="G849" t="s">
        <v>754</v>
      </c>
      <c r="H849" s="8" t="s">
        <v>221</v>
      </c>
      <c r="I849" s="8" t="s">
        <v>221</v>
      </c>
      <c r="J849" s="9" t="s">
        <v>218</v>
      </c>
      <c r="K849" s="9" t="s">
        <v>218</v>
      </c>
      <c r="L849" s="8" t="s">
        <v>221</v>
      </c>
      <c r="M849" s="8" t="s">
        <v>221</v>
      </c>
      <c r="N849" s="8" t="s">
        <v>221</v>
      </c>
      <c r="O849" s="8" t="s">
        <v>221</v>
      </c>
      <c r="Q849" t="s">
        <v>3739</v>
      </c>
      <c r="R849" t="s">
        <v>3740</v>
      </c>
      <c r="U849" t="s">
        <v>3741</v>
      </c>
      <c r="V849" t="s">
        <v>2804</v>
      </c>
      <c r="W849" t="s">
        <v>298</v>
      </c>
      <c r="Y849" t="s">
        <v>1082</v>
      </c>
      <c r="AA849" t="s">
        <v>2805</v>
      </c>
      <c r="AB849" t="s">
        <v>312</v>
      </c>
      <c r="AD849" t="s">
        <v>3628</v>
      </c>
      <c r="AE849" t="s">
        <v>3629</v>
      </c>
      <c r="AG849" s="8" t="s">
        <v>218</v>
      </c>
      <c r="AH849" t="s">
        <v>2283</v>
      </c>
      <c r="AI849" s="8" t="s">
        <v>221</v>
      </c>
      <c r="AJ849" s="8" t="s">
        <v>221</v>
      </c>
      <c r="AK849" t="s">
        <v>249</v>
      </c>
      <c r="AL849" s="8" t="s">
        <v>221</v>
      </c>
      <c r="AM849" s="9" t="s">
        <v>218</v>
      </c>
      <c r="AN849" s="8" t="s">
        <v>221</v>
      </c>
      <c r="AO849" s="9" t="s">
        <v>1086</v>
      </c>
      <c r="AP849" s="8">
        <v>0</v>
      </c>
      <c r="AQ849" s="8">
        <v>0</v>
      </c>
      <c r="AR849" s="8">
        <v>0</v>
      </c>
      <c r="AS849" s="8">
        <v>0</v>
      </c>
      <c r="AT849" s="8">
        <v>0</v>
      </c>
      <c r="AU849" s="8">
        <v>0</v>
      </c>
      <c r="AV849" s="8">
        <v>0</v>
      </c>
      <c r="AW849" s="8">
        <v>0</v>
      </c>
      <c r="AX849" s="8"/>
      <c r="AY849" s="8"/>
      <c r="AZ849">
        <v>0</v>
      </c>
    </row>
    <row r="850" spans="1:52">
      <c r="A850" s="6">
        <v>45863</v>
      </c>
      <c r="B850" s="7" t="s">
        <v>3742</v>
      </c>
      <c r="C850" t="s">
        <v>308</v>
      </c>
      <c r="D850" t="s">
        <v>3610</v>
      </c>
      <c r="E850" t="s">
        <v>3610</v>
      </c>
      <c r="F850" t="s">
        <v>3611</v>
      </c>
      <c r="G850" t="s">
        <v>754</v>
      </c>
      <c r="H850" s="8" t="s">
        <v>221</v>
      </c>
      <c r="I850" s="8" t="s">
        <v>221</v>
      </c>
      <c r="J850" s="9" t="s">
        <v>218</v>
      </c>
      <c r="K850" s="9" t="s">
        <v>218</v>
      </c>
      <c r="L850" s="8" t="s">
        <v>221</v>
      </c>
      <c r="M850" s="8" t="s">
        <v>221</v>
      </c>
      <c r="N850" s="8" t="s">
        <v>221</v>
      </c>
      <c r="O850" s="8" t="s">
        <v>221</v>
      </c>
      <c r="Q850" t="s">
        <v>3743</v>
      </c>
      <c r="R850" t="s">
        <v>3744</v>
      </c>
      <c r="U850" t="s">
        <v>3745</v>
      </c>
      <c r="V850" t="s">
        <v>2804</v>
      </c>
      <c r="W850" t="s">
        <v>298</v>
      </c>
      <c r="Y850" t="s">
        <v>1082</v>
      </c>
      <c r="AA850" t="s">
        <v>2805</v>
      </c>
      <c r="AB850" t="s">
        <v>312</v>
      </c>
      <c r="AD850" t="s">
        <v>3628</v>
      </c>
      <c r="AE850" t="s">
        <v>3629</v>
      </c>
      <c r="AG850" s="8" t="s">
        <v>218</v>
      </c>
      <c r="AH850" t="s">
        <v>2283</v>
      </c>
      <c r="AI850" s="8" t="s">
        <v>221</v>
      </c>
      <c r="AJ850" s="8" t="s">
        <v>221</v>
      </c>
      <c r="AK850" t="s">
        <v>249</v>
      </c>
      <c r="AL850" s="8" t="s">
        <v>221</v>
      </c>
      <c r="AM850" s="9" t="s">
        <v>218</v>
      </c>
      <c r="AN850" s="8" t="s">
        <v>221</v>
      </c>
      <c r="AO850" s="9" t="s">
        <v>1086</v>
      </c>
      <c r="AP850" s="8">
        <v>0</v>
      </c>
      <c r="AQ850" s="8">
        <v>0</v>
      </c>
      <c r="AR850" s="8">
        <v>0</v>
      </c>
      <c r="AS850" s="8">
        <v>0</v>
      </c>
      <c r="AT850" s="8">
        <v>0</v>
      </c>
      <c r="AU850" s="8">
        <v>0</v>
      </c>
      <c r="AV850" s="8">
        <v>0</v>
      </c>
      <c r="AW850" s="8">
        <v>0</v>
      </c>
      <c r="AX850" s="8"/>
      <c r="AY850" s="8"/>
      <c r="AZ850">
        <v>0</v>
      </c>
    </row>
    <row r="851" spans="1:52">
      <c r="A851" s="6">
        <v>45863</v>
      </c>
      <c r="B851" s="7" t="s">
        <v>3746</v>
      </c>
      <c r="C851" t="s">
        <v>308</v>
      </c>
      <c r="D851" t="s">
        <v>3610</v>
      </c>
      <c r="E851" t="s">
        <v>3610</v>
      </c>
      <c r="F851" t="s">
        <v>3611</v>
      </c>
      <c r="G851" t="s">
        <v>754</v>
      </c>
      <c r="H851" s="8" t="s">
        <v>221</v>
      </c>
      <c r="I851" s="8" t="s">
        <v>221</v>
      </c>
      <c r="J851" s="9" t="s">
        <v>218</v>
      </c>
      <c r="K851" s="9" t="s">
        <v>218</v>
      </c>
      <c r="L851" s="8" t="s">
        <v>221</v>
      </c>
      <c r="M851" s="8" t="s">
        <v>221</v>
      </c>
      <c r="N851" s="8" t="s">
        <v>221</v>
      </c>
      <c r="O851" s="8" t="s">
        <v>221</v>
      </c>
      <c r="Q851" t="s">
        <v>3747</v>
      </c>
      <c r="R851" t="s">
        <v>3748</v>
      </c>
      <c r="U851" t="s">
        <v>3749</v>
      </c>
      <c r="V851" t="s">
        <v>2804</v>
      </c>
      <c r="W851" t="s">
        <v>298</v>
      </c>
      <c r="Y851" t="s">
        <v>1082</v>
      </c>
      <c r="AA851" t="s">
        <v>2805</v>
      </c>
      <c r="AB851" t="s">
        <v>312</v>
      </c>
      <c r="AD851" t="s">
        <v>3628</v>
      </c>
      <c r="AE851" t="s">
        <v>3629</v>
      </c>
      <c r="AG851" s="8" t="s">
        <v>218</v>
      </c>
      <c r="AH851" t="s">
        <v>2283</v>
      </c>
      <c r="AI851" s="8" t="s">
        <v>221</v>
      </c>
      <c r="AJ851" s="8" t="s">
        <v>221</v>
      </c>
      <c r="AK851" t="s">
        <v>249</v>
      </c>
      <c r="AL851" s="8" t="s">
        <v>221</v>
      </c>
      <c r="AM851" s="9" t="s">
        <v>218</v>
      </c>
      <c r="AN851" s="8" t="s">
        <v>221</v>
      </c>
      <c r="AO851" s="9" t="s">
        <v>1086</v>
      </c>
      <c r="AP851" s="8">
        <v>0</v>
      </c>
      <c r="AQ851" s="8">
        <v>0</v>
      </c>
      <c r="AR851" s="8">
        <v>0</v>
      </c>
      <c r="AS851" s="8">
        <v>0</v>
      </c>
      <c r="AT851" s="8">
        <v>0</v>
      </c>
      <c r="AU851" s="8">
        <v>0</v>
      </c>
      <c r="AV851" s="8">
        <v>0</v>
      </c>
      <c r="AW851" s="8">
        <v>0</v>
      </c>
      <c r="AX851" s="8"/>
      <c r="AY851" s="8"/>
      <c r="AZ851">
        <v>0</v>
      </c>
    </row>
    <row r="852" spans="1:52">
      <c r="A852" s="6">
        <v>45863</v>
      </c>
      <c r="B852" s="7" t="s">
        <v>3750</v>
      </c>
      <c r="C852" t="s">
        <v>308</v>
      </c>
      <c r="D852" t="s">
        <v>3610</v>
      </c>
      <c r="E852" t="s">
        <v>3610</v>
      </c>
      <c r="F852" t="s">
        <v>3611</v>
      </c>
      <c r="G852" t="s">
        <v>754</v>
      </c>
      <c r="H852" s="8" t="s">
        <v>221</v>
      </c>
      <c r="I852" s="8" t="s">
        <v>221</v>
      </c>
      <c r="J852" s="9" t="s">
        <v>218</v>
      </c>
      <c r="K852" s="9" t="s">
        <v>218</v>
      </c>
      <c r="L852" s="8" t="s">
        <v>221</v>
      </c>
      <c r="M852" s="8" t="s">
        <v>221</v>
      </c>
      <c r="N852" s="8" t="s">
        <v>221</v>
      </c>
      <c r="O852" s="8" t="s">
        <v>221</v>
      </c>
      <c r="Q852" t="s">
        <v>3751</v>
      </c>
      <c r="R852" t="s">
        <v>3752</v>
      </c>
      <c r="U852" t="s">
        <v>3753</v>
      </c>
      <c r="V852" t="s">
        <v>2804</v>
      </c>
      <c r="W852" t="s">
        <v>298</v>
      </c>
      <c r="Y852" t="s">
        <v>1082</v>
      </c>
      <c r="AA852" t="s">
        <v>2805</v>
      </c>
      <c r="AB852" t="s">
        <v>312</v>
      </c>
      <c r="AD852" t="s">
        <v>3628</v>
      </c>
      <c r="AE852" t="s">
        <v>3629</v>
      </c>
      <c r="AG852" s="8" t="s">
        <v>218</v>
      </c>
      <c r="AH852" t="s">
        <v>2283</v>
      </c>
      <c r="AI852" s="8" t="s">
        <v>221</v>
      </c>
      <c r="AJ852" s="8" t="s">
        <v>221</v>
      </c>
      <c r="AK852" t="s">
        <v>249</v>
      </c>
      <c r="AL852" s="8" t="s">
        <v>221</v>
      </c>
      <c r="AM852" s="9" t="s">
        <v>218</v>
      </c>
      <c r="AN852" s="8" t="s">
        <v>221</v>
      </c>
      <c r="AO852" s="9" t="s">
        <v>1086</v>
      </c>
      <c r="AP852" s="8">
        <v>0</v>
      </c>
      <c r="AQ852" s="8">
        <v>0</v>
      </c>
      <c r="AR852" s="8">
        <v>0</v>
      </c>
      <c r="AS852" s="8">
        <v>0</v>
      </c>
      <c r="AT852" s="8">
        <v>0</v>
      </c>
      <c r="AU852" s="8">
        <v>0</v>
      </c>
      <c r="AV852" s="8">
        <v>0</v>
      </c>
      <c r="AW852" s="8">
        <v>0</v>
      </c>
      <c r="AX852" s="8"/>
      <c r="AY852" s="8"/>
      <c r="AZ852">
        <v>0</v>
      </c>
    </row>
    <row r="853" spans="1:52">
      <c r="A853" s="6">
        <v>45863</v>
      </c>
      <c r="B853" s="7" t="s">
        <v>3754</v>
      </c>
      <c r="C853" t="s">
        <v>308</v>
      </c>
      <c r="D853" t="s">
        <v>3610</v>
      </c>
      <c r="E853" t="s">
        <v>3610</v>
      </c>
      <c r="F853" t="s">
        <v>3611</v>
      </c>
      <c r="G853" t="s">
        <v>754</v>
      </c>
      <c r="H853" s="8" t="s">
        <v>221</v>
      </c>
      <c r="I853" s="8" t="s">
        <v>221</v>
      </c>
      <c r="J853" s="9" t="s">
        <v>218</v>
      </c>
      <c r="K853" s="9" t="s">
        <v>218</v>
      </c>
      <c r="L853" s="8" t="s">
        <v>221</v>
      </c>
      <c r="M853" s="8" t="s">
        <v>221</v>
      </c>
      <c r="N853" s="8" t="s">
        <v>221</v>
      </c>
      <c r="O853" s="8" t="s">
        <v>221</v>
      </c>
      <c r="Q853" t="s">
        <v>3755</v>
      </c>
      <c r="R853" t="s">
        <v>3756</v>
      </c>
      <c r="U853" t="s">
        <v>3757</v>
      </c>
      <c r="V853" t="s">
        <v>2804</v>
      </c>
      <c r="W853" t="s">
        <v>298</v>
      </c>
      <c r="Y853" t="s">
        <v>1082</v>
      </c>
      <c r="AA853" t="s">
        <v>2805</v>
      </c>
      <c r="AB853" t="s">
        <v>312</v>
      </c>
      <c r="AD853" t="s">
        <v>3628</v>
      </c>
      <c r="AE853" t="s">
        <v>3629</v>
      </c>
      <c r="AG853" s="8" t="s">
        <v>218</v>
      </c>
      <c r="AH853" t="s">
        <v>2283</v>
      </c>
      <c r="AI853" s="8" t="s">
        <v>221</v>
      </c>
      <c r="AJ853" s="8" t="s">
        <v>221</v>
      </c>
      <c r="AK853" t="s">
        <v>249</v>
      </c>
      <c r="AL853" s="8" t="s">
        <v>221</v>
      </c>
      <c r="AM853" s="9" t="s">
        <v>218</v>
      </c>
      <c r="AN853" s="8" t="s">
        <v>221</v>
      </c>
      <c r="AO853" s="9" t="s">
        <v>1086</v>
      </c>
      <c r="AP853" s="8">
        <v>0</v>
      </c>
      <c r="AQ853" s="8">
        <v>0</v>
      </c>
      <c r="AR853" s="8">
        <v>0</v>
      </c>
      <c r="AS853" s="8">
        <v>0</v>
      </c>
      <c r="AT853" s="8">
        <v>0</v>
      </c>
      <c r="AU853" s="8">
        <v>0</v>
      </c>
      <c r="AV853" s="8">
        <v>0</v>
      </c>
      <c r="AW853" s="8">
        <v>0</v>
      </c>
      <c r="AX853" s="8"/>
      <c r="AY853" s="8"/>
      <c r="AZ853">
        <v>0</v>
      </c>
    </row>
    <row r="854" spans="1:52">
      <c r="A854" s="6">
        <v>45863</v>
      </c>
      <c r="B854" s="7" t="s">
        <v>3758</v>
      </c>
      <c r="C854" t="s">
        <v>308</v>
      </c>
      <c r="D854" t="s">
        <v>3610</v>
      </c>
      <c r="E854" t="s">
        <v>3610</v>
      </c>
      <c r="F854" t="s">
        <v>3611</v>
      </c>
      <c r="G854" t="s">
        <v>754</v>
      </c>
      <c r="H854" s="8" t="s">
        <v>221</v>
      </c>
      <c r="I854" s="8" t="s">
        <v>221</v>
      </c>
      <c r="J854" s="9" t="s">
        <v>218</v>
      </c>
      <c r="K854" s="9" t="s">
        <v>218</v>
      </c>
      <c r="L854" s="8" t="s">
        <v>221</v>
      </c>
      <c r="M854" s="8" t="s">
        <v>221</v>
      </c>
      <c r="N854" s="8" t="s">
        <v>221</v>
      </c>
      <c r="O854" s="8" t="s">
        <v>221</v>
      </c>
      <c r="Q854" t="s">
        <v>3759</v>
      </c>
      <c r="R854" t="s">
        <v>3760</v>
      </c>
      <c r="U854" t="s">
        <v>3761</v>
      </c>
      <c r="V854" t="s">
        <v>2804</v>
      </c>
      <c r="W854" t="s">
        <v>298</v>
      </c>
      <c r="Y854" t="s">
        <v>1082</v>
      </c>
      <c r="AA854" t="s">
        <v>2805</v>
      </c>
      <c r="AB854" t="s">
        <v>312</v>
      </c>
      <c r="AD854" t="s">
        <v>3628</v>
      </c>
      <c r="AE854" t="s">
        <v>3629</v>
      </c>
      <c r="AG854" s="8" t="s">
        <v>218</v>
      </c>
      <c r="AH854" t="s">
        <v>2283</v>
      </c>
      <c r="AI854" s="8" t="s">
        <v>221</v>
      </c>
      <c r="AJ854" s="8" t="s">
        <v>221</v>
      </c>
      <c r="AK854" t="s">
        <v>249</v>
      </c>
      <c r="AL854" s="8" t="s">
        <v>221</v>
      </c>
      <c r="AM854" s="9" t="s">
        <v>218</v>
      </c>
      <c r="AN854" s="8" t="s">
        <v>221</v>
      </c>
      <c r="AO854" s="9" t="s">
        <v>1086</v>
      </c>
      <c r="AP854" s="8">
        <v>0</v>
      </c>
      <c r="AQ854" s="8">
        <v>0</v>
      </c>
      <c r="AR854" s="8">
        <v>0</v>
      </c>
      <c r="AS854" s="8">
        <v>0</v>
      </c>
      <c r="AT854" s="8">
        <v>0</v>
      </c>
      <c r="AU854" s="8">
        <v>0</v>
      </c>
      <c r="AV854" s="8">
        <v>0</v>
      </c>
      <c r="AW854" s="8">
        <v>0</v>
      </c>
      <c r="AX854" s="8"/>
      <c r="AY854" s="8"/>
      <c r="AZ854">
        <v>0</v>
      </c>
    </row>
    <row r="855" spans="1:52">
      <c r="A855" s="6">
        <v>45863</v>
      </c>
      <c r="B855" s="7" t="s">
        <v>3762</v>
      </c>
      <c r="C855" t="s">
        <v>308</v>
      </c>
      <c r="D855" t="s">
        <v>3610</v>
      </c>
      <c r="E855" t="s">
        <v>3610</v>
      </c>
      <c r="F855" t="s">
        <v>3611</v>
      </c>
      <c r="G855" t="s">
        <v>754</v>
      </c>
      <c r="H855" s="8" t="s">
        <v>221</v>
      </c>
      <c r="I855" s="8" t="s">
        <v>221</v>
      </c>
      <c r="J855" s="9" t="s">
        <v>218</v>
      </c>
      <c r="K855" s="9" t="s">
        <v>218</v>
      </c>
      <c r="L855" s="8" t="s">
        <v>221</v>
      </c>
      <c r="M855" s="8" t="s">
        <v>221</v>
      </c>
      <c r="N855" s="8" t="s">
        <v>221</v>
      </c>
      <c r="O855" s="8" t="s">
        <v>221</v>
      </c>
      <c r="Q855" t="s">
        <v>3763</v>
      </c>
      <c r="R855" t="s">
        <v>3764</v>
      </c>
      <c r="U855" t="s">
        <v>3765</v>
      </c>
      <c r="V855" t="s">
        <v>2804</v>
      </c>
      <c r="W855" t="s">
        <v>298</v>
      </c>
      <c r="Y855" t="s">
        <v>1082</v>
      </c>
      <c r="AA855" t="s">
        <v>2805</v>
      </c>
      <c r="AB855" t="s">
        <v>312</v>
      </c>
      <c r="AD855" t="s">
        <v>3628</v>
      </c>
      <c r="AE855" t="s">
        <v>3629</v>
      </c>
      <c r="AG855" s="8" t="s">
        <v>218</v>
      </c>
      <c r="AH855" t="s">
        <v>2283</v>
      </c>
      <c r="AI855" s="8" t="s">
        <v>221</v>
      </c>
      <c r="AJ855" s="8" t="s">
        <v>221</v>
      </c>
      <c r="AK855" t="s">
        <v>249</v>
      </c>
      <c r="AL855" s="8" t="s">
        <v>221</v>
      </c>
      <c r="AM855" s="9" t="s">
        <v>218</v>
      </c>
      <c r="AN855" s="8" t="s">
        <v>221</v>
      </c>
      <c r="AO855" s="9" t="s">
        <v>1086</v>
      </c>
      <c r="AP855" s="8">
        <v>0</v>
      </c>
      <c r="AQ855" s="8">
        <v>0</v>
      </c>
      <c r="AR855" s="8">
        <v>0</v>
      </c>
      <c r="AS855" s="8">
        <v>0</v>
      </c>
      <c r="AT855" s="8">
        <v>0</v>
      </c>
      <c r="AU855" s="8">
        <v>0</v>
      </c>
      <c r="AV855" s="8">
        <v>0</v>
      </c>
      <c r="AW855" s="8">
        <v>0</v>
      </c>
      <c r="AX855" s="8"/>
      <c r="AY855" s="8"/>
      <c r="AZ855">
        <v>0</v>
      </c>
    </row>
    <row r="856" spans="1:52">
      <c r="A856" s="6">
        <v>45863</v>
      </c>
      <c r="B856" s="7" t="s">
        <v>3766</v>
      </c>
      <c r="C856" t="s">
        <v>308</v>
      </c>
      <c r="D856" t="s">
        <v>3610</v>
      </c>
      <c r="E856" t="s">
        <v>3610</v>
      </c>
      <c r="F856" t="s">
        <v>3611</v>
      </c>
      <c r="G856" t="s">
        <v>754</v>
      </c>
      <c r="H856" s="8" t="s">
        <v>221</v>
      </c>
      <c r="I856" s="8" t="s">
        <v>221</v>
      </c>
      <c r="J856" s="9" t="s">
        <v>218</v>
      </c>
      <c r="K856" s="9" t="s">
        <v>218</v>
      </c>
      <c r="L856" s="8" t="s">
        <v>221</v>
      </c>
      <c r="M856" s="8" t="s">
        <v>221</v>
      </c>
      <c r="N856" s="8" t="s">
        <v>221</v>
      </c>
      <c r="O856" s="8" t="s">
        <v>221</v>
      </c>
      <c r="Q856" t="s">
        <v>3767</v>
      </c>
      <c r="R856" t="s">
        <v>3768</v>
      </c>
      <c r="U856" t="s">
        <v>3769</v>
      </c>
      <c r="V856" t="s">
        <v>2804</v>
      </c>
      <c r="W856" t="s">
        <v>298</v>
      </c>
      <c r="Y856" t="s">
        <v>1082</v>
      </c>
      <c r="AA856" t="s">
        <v>2805</v>
      </c>
      <c r="AB856" t="s">
        <v>312</v>
      </c>
      <c r="AD856" t="s">
        <v>3628</v>
      </c>
      <c r="AE856" t="s">
        <v>3629</v>
      </c>
      <c r="AG856" s="8" t="s">
        <v>218</v>
      </c>
      <c r="AH856" t="s">
        <v>2283</v>
      </c>
      <c r="AI856" s="8" t="s">
        <v>221</v>
      </c>
      <c r="AJ856" s="8" t="s">
        <v>221</v>
      </c>
      <c r="AK856" t="s">
        <v>249</v>
      </c>
      <c r="AL856" s="8" t="s">
        <v>221</v>
      </c>
      <c r="AM856" s="9" t="s">
        <v>218</v>
      </c>
      <c r="AN856" s="8" t="s">
        <v>221</v>
      </c>
      <c r="AO856" s="9" t="s">
        <v>1086</v>
      </c>
      <c r="AP856" s="8">
        <v>0</v>
      </c>
      <c r="AQ856" s="8">
        <v>0</v>
      </c>
      <c r="AR856" s="8">
        <v>0</v>
      </c>
      <c r="AS856" s="8">
        <v>0</v>
      </c>
      <c r="AT856" s="8">
        <v>0</v>
      </c>
      <c r="AU856" s="8">
        <v>0</v>
      </c>
      <c r="AV856" s="8">
        <v>0</v>
      </c>
      <c r="AW856" s="8">
        <v>0</v>
      </c>
      <c r="AX856" s="8"/>
      <c r="AY856" s="8"/>
      <c r="AZ856">
        <v>0</v>
      </c>
    </row>
    <row r="857" spans="1:52">
      <c r="A857" s="6">
        <v>45863</v>
      </c>
      <c r="B857" s="7" t="s">
        <v>3770</v>
      </c>
      <c r="C857" t="s">
        <v>308</v>
      </c>
      <c r="D857" t="s">
        <v>3610</v>
      </c>
      <c r="E857" t="s">
        <v>3610</v>
      </c>
      <c r="F857" t="s">
        <v>3611</v>
      </c>
      <c r="G857" t="s">
        <v>754</v>
      </c>
      <c r="H857" s="8" t="s">
        <v>221</v>
      </c>
      <c r="I857" s="8" t="s">
        <v>221</v>
      </c>
      <c r="J857" s="9" t="s">
        <v>218</v>
      </c>
      <c r="K857" s="9" t="s">
        <v>218</v>
      </c>
      <c r="L857" s="8" t="s">
        <v>221</v>
      </c>
      <c r="M857" s="8" t="s">
        <v>221</v>
      </c>
      <c r="N857" s="8" t="s">
        <v>221</v>
      </c>
      <c r="O857" s="8" t="s">
        <v>221</v>
      </c>
      <c r="Q857" t="s">
        <v>3771</v>
      </c>
      <c r="R857" t="s">
        <v>3772</v>
      </c>
      <c r="U857" t="s">
        <v>3773</v>
      </c>
      <c r="V857" t="s">
        <v>2804</v>
      </c>
      <c r="W857" t="s">
        <v>298</v>
      </c>
      <c r="Y857" t="s">
        <v>1082</v>
      </c>
      <c r="AA857" t="s">
        <v>2805</v>
      </c>
      <c r="AB857" t="s">
        <v>312</v>
      </c>
      <c r="AD857" t="s">
        <v>3628</v>
      </c>
      <c r="AE857" t="s">
        <v>3629</v>
      </c>
      <c r="AG857" s="8" t="s">
        <v>218</v>
      </c>
      <c r="AH857" t="s">
        <v>2283</v>
      </c>
      <c r="AI857" s="8" t="s">
        <v>221</v>
      </c>
      <c r="AJ857" s="8" t="s">
        <v>221</v>
      </c>
      <c r="AK857" t="s">
        <v>249</v>
      </c>
      <c r="AL857" s="8" t="s">
        <v>221</v>
      </c>
      <c r="AM857" s="9" t="s">
        <v>218</v>
      </c>
      <c r="AN857" s="8" t="s">
        <v>221</v>
      </c>
      <c r="AO857" s="9" t="s">
        <v>1086</v>
      </c>
      <c r="AP857" s="8">
        <v>0</v>
      </c>
      <c r="AQ857" s="8">
        <v>0</v>
      </c>
      <c r="AR857" s="8">
        <v>0</v>
      </c>
      <c r="AS857" s="8">
        <v>0</v>
      </c>
      <c r="AT857" s="8">
        <v>0</v>
      </c>
      <c r="AU857" s="8">
        <v>0</v>
      </c>
      <c r="AV857" s="8">
        <v>0</v>
      </c>
      <c r="AW857" s="8">
        <v>0</v>
      </c>
      <c r="AX857" s="8"/>
      <c r="AY857" s="8"/>
      <c r="AZ857">
        <v>0</v>
      </c>
    </row>
    <row r="858" spans="1:52">
      <c r="A858" s="6">
        <v>45863</v>
      </c>
      <c r="B858" s="7" t="s">
        <v>3774</v>
      </c>
      <c r="C858" t="s">
        <v>308</v>
      </c>
      <c r="D858" t="s">
        <v>3610</v>
      </c>
      <c r="E858" t="s">
        <v>3610</v>
      </c>
      <c r="F858" t="s">
        <v>3611</v>
      </c>
      <c r="G858" t="s">
        <v>754</v>
      </c>
      <c r="H858" s="8" t="s">
        <v>221</v>
      </c>
      <c r="I858" s="8" t="s">
        <v>221</v>
      </c>
      <c r="J858" s="9" t="s">
        <v>218</v>
      </c>
      <c r="K858" s="9" t="s">
        <v>218</v>
      </c>
      <c r="L858" s="8" t="s">
        <v>221</v>
      </c>
      <c r="M858" s="8" t="s">
        <v>221</v>
      </c>
      <c r="N858" s="8" t="s">
        <v>221</v>
      </c>
      <c r="O858" s="8" t="s">
        <v>221</v>
      </c>
      <c r="Q858" t="s">
        <v>3775</v>
      </c>
      <c r="R858" t="s">
        <v>3776</v>
      </c>
      <c r="U858" t="s">
        <v>3777</v>
      </c>
      <c r="V858" t="s">
        <v>2804</v>
      </c>
      <c r="W858" t="s">
        <v>298</v>
      </c>
      <c r="Y858" t="s">
        <v>1082</v>
      </c>
      <c r="AA858" t="s">
        <v>2805</v>
      </c>
      <c r="AB858" t="s">
        <v>312</v>
      </c>
      <c r="AD858" t="s">
        <v>3628</v>
      </c>
      <c r="AE858" t="s">
        <v>3629</v>
      </c>
      <c r="AG858" s="8" t="s">
        <v>218</v>
      </c>
      <c r="AH858" t="s">
        <v>2283</v>
      </c>
      <c r="AI858" s="8" t="s">
        <v>221</v>
      </c>
      <c r="AJ858" s="8" t="s">
        <v>221</v>
      </c>
      <c r="AK858" t="s">
        <v>249</v>
      </c>
      <c r="AL858" s="8" t="s">
        <v>221</v>
      </c>
      <c r="AM858" s="9" t="s">
        <v>218</v>
      </c>
      <c r="AN858" s="8" t="s">
        <v>221</v>
      </c>
      <c r="AO858" s="9" t="s">
        <v>1086</v>
      </c>
      <c r="AP858" s="8">
        <v>0</v>
      </c>
      <c r="AQ858" s="8">
        <v>0</v>
      </c>
      <c r="AR858" s="8">
        <v>0</v>
      </c>
      <c r="AS858" s="8">
        <v>0</v>
      </c>
      <c r="AT858" s="8">
        <v>0</v>
      </c>
      <c r="AU858" s="8">
        <v>0</v>
      </c>
      <c r="AV858" s="8">
        <v>0</v>
      </c>
      <c r="AW858" s="8">
        <v>0</v>
      </c>
      <c r="AX858" s="8"/>
      <c r="AY858" s="8"/>
      <c r="AZ858">
        <v>0</v>
      </c>
    </row>
    <row r="859" spans="1:52">
      <c r="A859" s="6">
        <v>45863</v>
      </c>
      <c r="B859" s="7" t="s">
        <v>3778</v>
      </c>
      <c r="C859" t="s">
        <v>308</v>
      </c>
      <c r="D859" t="s">
        <v>3610</v>
      </c>
      <c r="E859" t="s">
        <v>3610</v>
      </c>
      <c r="F859" t="s">
        <v>3611</v>
      </c>
      <c r="G859" t="s">
        <v>754</v>
      </c>
      <c r="H859" s="8" t="s">
        <v>221</v>
      </c>
      <c r="I859" s="8" t="s">
        <v>221</v>
      </c>
      <c r="J859" s="9" t="s">
        <v>218</v>
      </c>
      <c r="K859" s="9" t="s">
        <v>218</v>
      </c>
      <c r="L859" s="8" t="s">
        <v>221</v>
      </c>
      <c r="M859" s="8" t="s">
        <v>221</v>
      </c>
      <c r="N859" s="8" t="s">
        <v>221</v>
      </c>
      <c r="O859" s="8" t="s">
        <v>221</v>
      </c>
      <c r="Q859" t="s">
        <v>3779</v>
      </c>
      <c r="R859" t="s">
        <v>3780</v>
      </c>
      <c r="U859" t="s">
        <v>3781</v>
      </c>
      <c r="V859" t="s">
        <v>2804</v>
      </c>
      <c r="W859" t="s">
        <v>298</v>
      </c>
      <c r="Y859" t="s">
        <v>1082</v>
      </c>
      <c r="AA859" t="s">
        <v>2805</v>
      </c>
      <c r="AB859" t="s">
        <v>312</v>
      </c>
      <c r="AD859" t="s">
        <v>3628</v>
      </c>
      <c r="AE859" t="s">
        <v>3629</v>
      </c>
      <c r="AG859" s="8" t="s">
        <v>218</v>
      </c>
      <c r="AH859" t="s">
        <v>2283</v>
      </c>
      <c r="AI859" s="8" t="s">
        <v>221</v>
      </c>
      <c r="AJ859" s="8" t="s">
        <v>221</v>
      </c>
      <c r="AK859" t="s">
        <v>249</v>
      </c>
      <c r="AL859" s="8" t="s">
        <v>221</v>
      </c>
      <c r="AM859" s="9" t="s">
        <v>218</v>
      </c>
      <c r="AN859" s="8" t="s">
        <v>221</v>
      </c>
      <c r="AO859" s="9" t="s">
        <v>1086</v>
      </c>
      <c r="AP859" s="8">
        <v>0</v>
      </c>
      <c r="AQ859" s="8">
        <v>0</v>
      </c>
      <c r="AR859" s="8">
        <v>0</v>
      </c>
      <c r="AS859" s="8">
        <v>0</v>
      </c>
      <c r="AT859" s="8">
        <v>0</v>
      </c>
      <c r="AU859" s="8">
        <v>0</v>
      </c>
      <c r="AV859" s="8">
        <v>0</v>
      </c>
      <c r="AW859" s="8">
        <v>0</v>
      </c>
      <c r="AX859" s="8"/>
      <c r="AY859" s="8"/>
      <c r="AZ859">
        <v>0</v>
      </c>
    </row>
    <row r="860" spans="1:52">
      <c r="A860" s="6">
        <v>45863</v>
      </c>
      <c r="B860" s="7" t="s">
        <v>3782</v>
      </c>
      <c r="C860" t="s">
        <v>308</v>
      </c>
      <c r="D860" t="s">
        <v>3610</v>
      </c>
      <c r="E860" t="s">
        <v>3610</v>
      </c>
      <c r="F860" t="s">
        <v>3611</v>
      </c>
      <c r="G860" t="s">
        <v>754</v>
      </c>
      <c r="H860" s="8" t="s">
        <v>221</v>
      </c>
      <c r="I860" s="8" t="s">
        <v>221</v>
      </c>
      <c r="J860" s="9" t="s">
        <v>218</v>
      </c>
      <c r="K860" s="9" t="s">
        <v>218</v>
      </c>
      <c r="L860" s="8" t="s">
        <v>221</v>
      </c>
      <c r="M860" s="8" t="s">
        <v>221</v>
      </c>
      <c r="N860" s="8" t="s">
        <v>221</v>
      </c>
      <c r="O860" s="8" t="s">
        <v>221</v>
      </c>
      <c r="Q860" t="s">
        <v>3783</v>
      </c>
      <c r="R860" t="s">
        <v>3784</v>
      </c>
      <c r="U860" t="s">
        <v>3785</v>
      </c>
      <c r="V860" t="s">
        <v>2804</v>
      </c>
      <c r="W860" t="s">
        <v>298</v>
      </c>
      <c r="Y860" t="s">
        <v>1082</v>
      </c>
      <c r="AA860" t="s">
        <v>2805</v>
      </c>
      <c r="AB860" t="s">
        <v>312</v>
      </c>
      <c r="AD860" t="s">
        <v>3628</v>
      </c>
      <c r="AE860" t="s">
        <v>3629</v>
      </c>
      <c r="AG860" s="8" t="s">
        <v>218</v>
      </c>
      <c r="AH860" t="s">
        <v>2283</v>
      </c>
      <c r="AI860" s="8" t="s">
        <v>221</v>
      </c>
      <c r="AJ860" s="8" t="s">
        <v>221</v>
      </c>
      <c r="AK860" t="s">
        <v>249</v>
      </c>
      <c r="AL860" s="8" t="s">
        <v>221</v>
      </c>
      <c r="AM860" s="9" t="s">
        <v>218</v>
      </c>
      <c r="AN860" s="8" t="s">
        <v>221</v>
      </c>
      <c r="AO860" s="9" t="s">
        <v>1086</v>
      </c>
      <c r="AP860" s="8">
        <v>0</v>
      </c>
      <c r="AQ860" s="8">
        <v>0</v>
      </c>
      <c r="AR860" s="8">
        <v>0</v>
      </c>
      <c r="AS860" s="8">
        <v>0</v>
      </c>
      <c r="AT860" s="8">
        <v>0</v>
      </c>
      <c r="AU860" s="8">
        <v>0</v>
      </c>
      <c r="AV860" s="8">
        <v>0</v>
      </c>
      <c r="AW860" s="8">
        <v>0</v>
      </c>
      <c r="AX860" s="8"/>
      <c r="AY860" s="8"/>
      <c r="AZ860">
        <v>0</v>
      </c>
    </row>
    <row r="861" spans="1:52">
      <c r="A861" s="6">
        <v>45863</v>
      </c>
      <c r="B861" s="7" t="s">
        <v>3786</v>
      </c>
      <c r="C861" t="s">
        <v>308</v>
      </c>
      <c r="D861" t="s">
        <v>3610</v>
      </c>
      <c r="E861" t="s">
        <v>3610</v>
      </c>
      <c r="F861" t="s">
        <v>3611</v>
      </c>
      <c r="G861" t="s">
        <v>754</v>
      </c>
      <c r="H861" s="8" t="s">
        <v>221</v>
      </c>
      <c r="I861" s="8" t="s">
        <v>221</v>
      </c>
      <c r="J861" s="9" t="s">
        <v>218</v>
      </c>
      <c r="K861" s="9" t="s">
        <v>218</v>
      </c>
      <c r="L861" s="8" t="s">
        <v>221</v>
      </c>
      <c r="M861" s="8" t="s">
        <v>221</v>
      </c>
      <c r="N861" s="8" t="s">
        <v>221</v>
      </c>
      <c r="O861" s="8" t="s">
        <v>221</v>
      </c>
      <c r="Q861" t="s">
        <v>3787</v>
      </c>
      <c r="R861" t="s">
        <v>3788</v>
      </c>
      <c r="U861" t="s">
        <v>3789</v>
      </c>
      <c r="V861" t="s">
        <v>2804</v>
      </c>
      <c r="W861" t="s">
        <v>298</v>
      </c>
      <c r="Y861" t="s">
        <v>1082</v>
      </c>
      <c r="AA861" t="s">
        <v>2805</v>
      </c>
      <c r="AB861" t="s">
        <v>312</v>
      </c>
      <c r="AD861" t="s">
        <v>3628</v>
      </c>
      <c r="AE861" t="s">
        <v>3629</v>
      </c>
      <c r="AG861" s="8" t="s">
        <v>218</v>
      </c>
      <c r="AH861" t="s">
        <v>2283</v>
      </c>
      <c r="AI861" s="8" t="s">
        <v>221</v>
      </c>
      <c r="AJ861" s="8" t="s">
        <v>221</v>
      </c>
      <c r="AK861" t="s">
        <v>249</v>
      </c>
      <c r="AL861" s="8" t="s">
        <v>221</v>
      </c>
      <c r="AM861" s="9" t="s">
        <v>218</v>
      </c>
      <c r="AN861" s="8" t="s">
        <v>221</v>
      </c>
      <c r="AO861" s="9" t="s">
        <v>1086</v>
      </c>
      <c r="AP861" s="8">
        <v>0</v>
      </c>
      <c r="AQ861" s="8">
        <v>0</v>
      </c>
      <c r="AR861" s="8">
        <v>0</v>
      </c>
      <c r="AS861" s="8">
        <v>0</v>
      </c>
      <c r="AT861" s="8">
        <v>0</v>
      </c>
      <c r="AU861" s="8">
        <v>0</v>
      </c>
      <c r="AV861" s="8">
        <v>0</v>
      </c>
      <c r="AW861" s="8">
        <v>0</v>
      </c>
      <c r="AX861" s="8"/>
      <c r="AY861" s="8"/>
      <c r="AZ861">
        <v>0</v>
      </c>
    </row>
    <row r="862" spans="1:52">
      <c r="A862" s="6">
        <v>45863</v>
      </c>
      <c r="B862" s="7" t="s">
        <v>3790</v>
      </c>
      <c r="C862" t="s">
        <v>308</v>
      </c>
      <c r="D862" t="s">
        <v>3610</v>
      </c>
      <c r="E862" t="s">
        <v>3610</v>
      </c>
      <c r="F862" t="s">
        <v>3611</v>
      </c>
      <c r="G862" t="s">
        <v>754</v>
      </c>
      <c r="H862" s="8" t="s">
        <v>221</v>
      </c>
      <c r="I862" s="8" t="s">
        <v>221</v>
      </c>
      <c r="J862" s="9" t="s">
        <v>218</v>
      </c>
      <c r="K862" s="9" t="s">
        <v>218</v>
      </c>
      <c r="L862" s="8" t="s">
        <v>221</v>
      </c>
      <c r="M862" s="8" t="s">
        <v>221</v>
      </c>
      <c r="N862" s="8" t="s">
        <v>221</v>
      </c>
      <c r="O862" s="8" t="s">
        <v>221</v>
      </c>
      <c r="Q862" t="s">
        <v>3791</v>
      </c>
      <c r="R862" t="s">
        <v>3792</v>
      </c>
      <c r="U862" t="s">
        <v>3793</v>
      </c>
      <c r="V862" t="s">
        <v>2804</v>
      </c>
      <c r="W862" t="s">
        <v>298</v>
      </c>
      <c r="Y862" t="s">
        <v>1082</v>
      </c>
      <c r="AA862" t="s">
        <v>2805</v>
      </c>
      <c r="AB862" t="s">
        <v>312</v>
      </c>
      <c r="AD862" t="s">
        <v>3628</v>
      </c>
      <c r="AE862" t="s">
        <v>3629</v>
      </c>
      <c r="AG862" s="8" t="s">
        <v>218</v>
      </c>
      <c r="AH862" t="s">
        <v>2283</v>
      </c>
      <c r="AI862" s="8" t="s">
        <v>221</v>
      </c>
      <c r="AJ862" s="8" t="s">
        <v>221</v>
      </c>
      <c r="AK862" t="s">
        <v>249</v>
      </c>
      <c r="AL862" s="8" t="s">
        <v>221</v>
      </c>
      <c r="AM862" s="9" t="s">
        <v>218</v>
      </c>
      <c r="AN862" s="8" t="s">
        <v>221</v>
      </c>
      <c r="AO862" s="9" t="s">
        <v>1086</v>
      </c>
      <c r="AP862" s="8">
        <v>0</v>
      </c>
      <c r="AQ862" s="8">
        <v>0</v>
      </c>
      <c r="AR862" s="8">
        <v>0</v>
      </c>
      <c r="AS862" s="8">
        <v>0</v>
      </c>
      <c r="AT862" s="8">
        <v>0</v>
      </c>
      <c r="AU862" s="8">
        <v>0</v>
      </c>
      <c r="AV862" s="8">
        <v>0</v>
      </c>
      <c r="AW862" s="8">
        <v>0</v>
      </c>
      <c r="AX862" s="8"/>
      <c r="AY862" s="8"/>
      <c r="AZ862">
        <v>0</v>
      </c>
    </row>
    <row r="863" spans="1:52">
      <c r="A863" s="6">
        <v>45863</v>
      </c>
      <c r="B863" s="7" t="s">
        <v>3794</v>
      </c>
      <c r="C863" t="s">
        <v>308</v>
      </c>
      <c r="D863" t="s">
        <v>3610</v>
      </c>
      <c r="E863" t="s">
        <v>3610</v>
      </c>
      <c r="F863" t="s">
        <v>3611</v>
      </c>
      <c r="G863" t="s">
        <v>754</v>
      </c>
      <c r="H863" s="8" t="s">
        <v>221</v>
      </c>
      <c r="I863" s="8" t="s">
        <v>221</v>
      </c>
      <c r="J863" s="9" t="s">
        <v>218</v>
      </c>
      <c r="K863" s="9" t="s">
        <v>218</v>
      </c>
      <c r="L863" s="8" t="s">
        <v>221</v>
      </c>
      <c r="M863" s="8" t="s">
        <v>221</v>
      </c>
      <c r="N863" s="8" t="s">
        <v>221</v>
      </c>
      <c r="O863" s="8" t="s">
        <v>221</v>
      </c>
      <c r="Q863" t="s">
        <v>3795</v>
      </c>
      <c r="R863" t="s">
        <v>3796</v>
      </c>
      <c r="U863" t="s">
        <v>3797</v>
      </c>
      <c r="V863" t="s">
        <v>2804</v>
      </c>
      <c r="W863" t="s">
        <v>298</v>
      </c>
      <c r="Y863" t="s">
        <v>1082</v>
      </c>
      <c r="AA863" t="s">
        <v>2805</v>
      </c>
      <c r="AB863" t="s">
        <v>312</v>
      </c>
      <c r="AD863" t="s">
        <v>3628</v>
      </c>
      <c r="AE863" t="s">
        <v>3629</v>
      </c>
      <c r="AG863" s="8" t="s">
        <v>218</v>
      </c>
      <c r="AH863" t="s">
        <v>2283</v>
      </c>
      <c r="AI863" s="8" t="s">
        <v>221</v>
      </c>
      <c r="AJ863" s="8" t="s">
        <v>221</v>
      </c>
      <c r="AK863" t="s">
        <v>249</v>
      </c>
      <c r="AL863" s="8" t="s">
        <v>221</v>
      </c>
      <c r="AM863" s="9" t="s">
        <v>218</v>
      </c>
      <c r="AN863" s="8" t="s">
        <v>221</v>
      </c>
      <c r="AO863" s="9" t="s">
        <v>1086</v>
      </c>
      <c r="AP863" s="8">
        <v>0</v>
      </c>
      <c r="AQ863" s="8">
        <v>0</v>
      </c>
      <c r="AR863" s="8">
        <v>0</v>
      </c>
      <c r="AS863" s="8">
        <v>0</v>
      </c>
      <c r="AT863" s="8">
        <v>0</v>
      </c>
      <c r="AU863" s="8">
        <v>0</v>
      </c>
      <c r="AV863" s="8">
        <v>0</v>
      </c>
      <c r="AW863" s="8">
        <v>0</v>
      </c>
      <c r="AX863" s="8"/>
      <c r="AY863" s="8"/>
      <c r="AZ863">
        <v>0</v>
      </c>
    </row>
    <row r="864" spans="1:52">
      <c r="A864" s="6">
        <v>45863</v>
      </c>
      <c r="B864" s="7" t="s">
        <v>3798</v>
      </c>
      <c r="C864" t="s">
        <v>308</v>
      </c>
      <c r="D864" t="s">
        <v>3610</v>
      </c>
      <c r="E864" t="s">
        <v>3610</v>
      </c>
      <c r="F864" t="s">
        <v>3611</v>
      </c>
      <c r="G864" t="s">
        <v>754</v>
      </c>
      <c r="H864" s="8" t="s">
        <v>221</v>
      </c>
      <c r="I864" s="8" t="s">
        <v>221</v>
      </c>
      <c r="J864" s="9" t="s">
        <v>218</v>
      </c>
      <c r="K864" s="9" t="s">
        <v>218</v>
      </c>
      <c r="L864" s="8" t="s">
        <v>221</v>
      </c>
      <c r="M864" s="8" t="s">
        <v>221</v>
      </c>
      <c r="N864" s="8" t="s">
        <v>221</v>
      </c>
      <c r="O864" s="8" t="s">
        <v>221</v>
      </c>
      <c r="Q864" t="s">
        <v>3799</v>
      </c>
      <c r="R864" t="s">
        <v>3800</v>
      </c>
      <c r="U864" t="s">
        <v>3801</v>
      </c>
      <c r="V864" t="s">
        <v>2804</v>
      </c>
      <c r="W864" t="s">
        <v>298</v>
      </c>
      <c r="Y864" t="s">
        <v>1082</v>
      </c>
      <c r="AA864" t="s">
        <v>2805</v>
      </c>
      <c r="AB864" t="s">
        <v>312</v>
      </c>
      <c r="AD864" t="s">
        <v>3628</v>
      </c>
      <c r="AE864" t="s">
        <v>3629</v>
      </c>
      <c r="AG864" s="8" t="s">
        <v>218</v>
      </c>
      <c r="AH864" t="s">
        <v>2283</v>
      </c>
      <c r="AI864" s="8" t="s">
        <v>221</v>
      </c>
      <c r="AJ864" s="8" t="s">
        <v>221</v>
      </c>
      <c r="AK864" t="s">
        <v>249</v>
      </c>
      <c r="AL864" s="8" t="s">
        <v>221</v>
      </c>
      <c r="AM864" s="9" t="s">
        <v>218</v>
      </c>
      <c r="AN864" s="8" t="s">
        <v>221</v>
      </c>
      <c r="AO864" s="9" t="s">
        <v>1086</v>
      </c>
      <c r="AP864" s="8">
        <v>0</v>
      </c>
      <c r="AQ864" s="8">
        <v>0</v>
      </c>
      <c r="AR864" s="8">
        <v>0</v>
      </c>
      <c r="AS864" s="8">
        <v>0</v>
      </c>
      <c r="AT864" s="8">
        <v>0</v>
      </c>
      <c r="AU864" s="8">
        <v>0</v>
      </c>
      <c r="AV864" s="8">
        <v>0</v>
      </c>
      <c r="AW864" s="8">
        <v>0</v>
      </c>
      <c r="AX864" s="8"/>
      <c r="AY864" s="8"/>
      <c r="AZ864">
        <v>0</v>
      </c>
    </row>
    <row r="865" spans="1:54">
      <c r="A865" s="6">
        <v>45863</v>
      </c>
      <c r="B865" s="7" t="s">
        <v>3802</v>
      </c>
      <c r="C865" t="s">
        <v>308</v>
      </c>
      <c r="D865" t="s">
        <v>3610</v>
      </c>
      <c r="E865" t="s">
        <v>3610</v>
      </c>
      <c r="F865" t="s">
        <v>3611</v>
      </c>
      <c r="G865" t="s">
        <v>754</v>
      </c>
      <c r="H865" s="8" t="s">
        <v>221</v>
      </c>
      <c r="I865" s="8" t="s">
        <v>221</v>
      </c>
      <c r="J865" s="9" t="s">
        <v>218</v>
      </c>
      <c r="K865" s="9" t="s">
        <v>218</v>
      </c>
      <c r="L865" s="8" t="s">
        <v>221</v>
      </c>
      <c r="M865" s="8" t="s">
        <v>221</v>
      </c>
      <c r="N865" s="8" t="s">
        <v>221</v>
      </c>
      <c r="O865" s="8" t="s">
        <v>221</v>
      </c>
      <c r="Q865" t="s">
        <v>3803</v>
      </c>
      <c r="R865" t="s">
        <v>3804</v>
      </c>
      <c r="U865" t="s">
        <v>3805</v>
      </c>
      <c r="V865" t="s">
        <v>2804</v>
      </c>
      <c r="W865" t="s">
        <v>298</v>
      </c>
      <c r="Y865" t="s">
        <v>1082</v>
      </c>
      <c r="AA865" t="s">
        <v>2805</v>
      </c>
      <c r="AB865" t="s">
        <v>312</v>
      </c>
      <c r="AD865" t="s">
        <v>3628</v>
      </c>
      <c r="AE865" t="s">
        <v>3629</v>
      </c>
      <c r="AG865" s="8" t="s">
        <v>218</v>
      </c>
      <c r="AH865" t="s">
        <v>2283</v>
      </c>
      <c r="AI865" s="8" t="s">
        <v>221</v>
      </c>
      <c r="AJ865" s="8" t="s">
        <v>221</v>
      </c>
      <c r="AK865" t="s">
        <v>249</v>
      </c>
      <c r="AL865" s="8" t="s">
        <v>221</v>
      </c>
      <c r="AM865" s="9" t="s">
        <v>218</v>
      </c>
      <c r="AN865" s="8" t="s">
        <v>221</v>
      </c>
      <c r="AO865" s="9" t="s">
        <v>1086</v>
      </c>
      <c r="AP865" s="8">
        <v>0</v>
      </c>
      <c r="AQ865" s="8">
        <v>0</v>
      </c>
      <c r="AR865" s="8">
        <v>0</v>
      </c>
      <c r="AS865" s="8">
        <v>0</v>
      </c>
      <c r="AT865" s="8">
        <v>0</v>
      </c>
      <c r="AU865" s="8">
        <v>0</v>
      </c>
      <c r="AV865" s="8">
        <v>0</v>
      </c>
      <c r="AW865" s="8">
        <v>0</v>
      </c>
      <c r="AX865" s="8"/>
      <c r="AY865" s="8"/>
      <c r="AZ865">
        <v>0</v>
      </c>
    </row>
    <row r="866" spans="1:54">
      <c r="A866" s="6">
        <v>45863</v>
      </c>
      <c r="B866" s="7" t="s">
        <v>3806</v>
      </c>
      <c r="C866" t="s">
        <v>308</v>
      </c>
      <c r="D866" t="s">
        <v>3610</v>
      </c>
      <c r="E866" t="s">
        <v>3610</v>
      </c>
      <c r="F866" t="s">
        <v>3611</v>
      </c>
      <c r="G866" t="s">
        <v>754</v>
      </c>
      <c r="H866" s="8" t="s">
        <v>221</v>
      </c>
      <c r="I866" s="8" t="s">
        <v>221</v>
      </c>
      <c r="J866" s="9" t="s">
        <v>218</v>
      </c>
      <c r="K866" s="9" t="s">
        <v>218</v>
      </c>
      <c r="L866" s="8" t="s">
        <v>221</v>
      </c>
      <c r="M866" s="8" t="s">
        <v>221</v>
      </c>
      <c r="N866" s="8" t="s">
        <v>221</v>
      </c>
      <c r="O866" s="8" t="s">
        <v>208</v>
      </c>
      <c r="Q866" t="s">
        <v>3807</v>
      </c>
      <c r="R866" t="s">
        <v>3808</v>
      </c>
      <c r="U866" t="s">
        <v>3809</v>
      </c>
      <c r="V866" t="s">
        <v>2804</v>
      </c>
      <c r="W866" t="s">
        <v>298</v>
      </c>
      <c r="Y866" t="s">
        <v>1082</v>
      </c>
      <c r="AA866" t="s">
        <v>2805</v>
      </c>
      <c r="AB866" t="s">
        <v>312</v>
      </c>
      <c r="AD866" t="s">
        <v>3628</v>
      </c>
      <c r="AE866" t="s">
        <v>3629</v>
      </c>
      <c r="AG866" s="8" t="s">
        <v>218</v>
      </c>
      <c r="AH866" t="s">
        <v>2283</v>
      </c>
      <c r="AI866" s="8" t="s">
        <v>221</v>
      </c>
      <c r="AJ866" s="8" t="s">
        <v>221</v>
      </c>
      <c r="AK866" t="s">
        <v>3810</v>
      </c>
      <c r="AL866" s="8" t="s">
        <v>221</v>
      </c>
      <c r="AM866" s="9" t="s">
        <v>218</v>
      </c>
      <c r="AN866" s="8" t="s">
        <v>221</v>
      </c>
      <c r="AO866" s="9" t="s">
        <v>1086</v>
      </c>
      <c r="AP866" s="8">
        <v>0</v>
      </c>
      <c r="AQ866" s="8">
        <v>0</v>
      </c>
      <c r="AR866" s="8">
        <v>0</v>
      </c>
      <c r="AS866" s="8">
        <v>0</v>
      </c>
      <c r="AT866" s="8">
        <v>0</v>
      </c>
      <c r="AU866" s="8">
        <v>0</v>
      </c>
      <c r="AV866" s="8">
        <v>0</v>
      </c>
      <c r="AW866" s="8">
        <v>0</v>
      </c>
      <c r="AX866" s="8"/>
      <c r="AY866" s="8"/>
      <c r="AZ866">
        <v>0</v>
      </c>
    </row>
    <row r="867" spans="1:54">
      <c r="A867" s="6">
        <v>45863</v>
      </c>
      <c r="B867" s="7" t="s">
        <v>3811</v>
      </c>
      <c r="C867" t="s">
        <v>687</v>
      </c>
      <c r="D867" t="s">
        <v>3610</v>
      </c>
      <c r="E867" t="s">
        <v>3610</v>
      </c>
      <c r="F867" t="s">
        <v>3611</v>
      </c>
      <c r="G867" t="s">
        <v>754</v>
      </c>
      <c r="H867" s="8" t="s">
        <v>221</v>
      </c>
      <c r="I867" s="8" t="s">
        <v>221</v>
      </c>
      <c r="J867" s="9" t="s">
        <v>218</v>
      </c>
      <c r="K867" s="9" t="s">
        <v>218</v>
      </c>
      <c r="L867" s="8" t="s">
        <v>221</v>
      </c>
      <c r="M867" s="8" t="s">
        <v>221</v>
      </c>
      <c r="N867" s="8" t="s">
        <v>221</v>
      </c>
      <c r="O867" s="8" t="s">
        <v>208</v>
      </c>
      <c r="Q867" t="s">
        <v>3812</v>
      </c>
      <c r="R867" t="s">
        <v>3813</v>
      </c>
      <c r="U867" t="s">
        <v>3814</v>
      </c>
      <c r="V867" t="s">
        <v>14</v>
      </c>
      <c r="W867" t="s">
        <v>232</v>
      </c>
      <c r="X867" t="s">
        <v>232</v>
      </c>
      <c r="Y867" t="s">
        <v>3223</v>
      </c>
      <c r="Z867" t="s">
        <v>233</v>
      </c>
      <c r="AA867" t="s">
        <v>214</v>
      </c>
      <c r="AB867" t="s">
        <v>285</v>
      </c>
      <c r="AC867" t="s">
        <v>215</v>
      </c>
      <c r="AD867" t="s">
        <v>3815</v>
      </c>
      <c r="AE867" t="s">
        <v>11</v>
      </c>
      <c r="AG867" s="8" t="s">
        <v>218</v>
      </c>
      <c r="AH867" t="s">
        <v>2256</v>
      </c>
      <c r="AI867" s="8" t="s">
        <v>221</v>
      </c>
      <c r="AJ867" s="9" t="s">
        <v>218</v>
      </c>
      <c r="AK867" t="s">
        <v>234</v>
      </c>
      <c r="AL867" s="8" t="s">
        <v>221</v>
      </c>
      <c r="AM867" s="9" t="s">
        <v>218</v>
      </c>
      <c r="AN867" s="8" t="s">
        <v>221</v>
      </c>
      <c r="AO867" s="8" t="s">
        <v>222</v>
      </c>
      <c r="AP867" s="8">
        <v>0</v>
      </c>
      <c r="AQ867" s="8">
        <v>0</v>
      </c>
      <c r="AR867" s="8">
        <v>0</v>
      </c>
      <c r="AS867" s="8">
        <v>0</v>
      </c>
      <c r="AT867" s="8">
        <v>0</v>
      </c>
      <c r="AU867" s="8">
        <v>0</v>
      </c>
      <c r="AV867" s="8">
        <v>0</v>
      </c>
      <c r="AW867" s="8">
        <v>0</v>
      </c>
      <c r="AX867" s="8"/>
      <c r="AY867" s="8"/>
      <c r="AZ867">
        <v>2</v>
      </c>
      <c r="BA867" t="s">
        <v>3816</v>
      </c>
      <c r="BB867" t="s">
        <v>3817</v>
      </c>
    </row>
    <row r="868" spans="1:54">
      <c r="A868" s="6">
        <v>45863</v>
      </c>
      <c r="B868" s="7" t="s">
        <v>3818</v>
      </c>
      <c r="C868" t="s">
        <v>387</v>
      </c>
      <c r="D868" t="s">
        <v>3610</v>
      </c>
      <c r="E868" t="s">
        <v>3610</v>
      </c>
      <c r="F868" t="s">
        <v>3611</v>
      </c>
      <c r="G868" t="s">
        <v>754</v>
      </c>
      <c r="H868" s="8" t="s">
        <v>221</v>
      </c>
      <c r="I868" s="8" t="s">
        <v>221</v>
      </c>
      <c r="J868" s="9" t="s">
        <v>218</v>
      </c>
      <c r="K868" s="9" t="s">
        <v>218</v>
      </c>
      <c r="L868" s="8" t="s">
        <v>221</v>
      </c>
      <c r="M868" s="8" t="s">
        <v>221</v>
      </c>
      <c r="N868" s="8" t="s">
        <v>221</v>
      </c>
      <c r="O868" s="8" t="s">
        <v>208</v>
      </c>
      <c r="Q868" t="s">
        <v>3819</v>
      </c>
      <c r="R868" t="s">
        <v>3820</v>
      </c>
      <c r="U868" t="s">
        <v>3821</v>
      </c>
      <c r="V868" t="s">
        <v>3058</v>
      </c>
      <c r="W868" t="s">
        <v>298</v>
      </c>
      <c r="X868" t="s">
        <v>298</v>
      </c>
      <c r="Y868" t="s">
        <v>1103</v>
      </c>
      <c r="Z868" t="s">
        <v>299</v>
      </c>
      <c r="AA868" t="s">
        <v>2817</v>
      </c>
      <c r="AB868" t="s">
        <v>301</v>
      </c>
      <c r="AC868" t="s">
        <v>312</v>
      </c>
      <c r="AD868" t="s">
        <v>3628</v>
      </c>
      <c r="AE868" t="s">
        <v>2817</v>
      </c>
      <c r="AG868" s="8" t="s">
        <v>218</v>
      </c>
      <c r="AH868" t="s">
        <v>2283</v>
      </c>
      <c r="AI868" s="8" t="s">
        <v>221</v>
      </c>
      <c r="AJ868" s="8" t="s">
        <v>221</v>
      </c>
      <c r="AK868" t="s">
        <v>234</v>
      </c>
      <c r="AL868" s="8" t="s">
        <v>221</v>
      </c>
      <c r="AM868" s="9" t="s">
        <v>218</v>
      </c>
      <c r="AN868" s="8" t="s">
        <v>221</v>
      </c>
      <c r="AO868" s="8" t="s">
        <v>222</v>
      </c>
      <c r="AP868" s="8">
        <v>0</v>
      </c>
      <c r="AQ868" s="8">
        <v>0</v>
      </c>
      <c r="AR868" s="8">
        <v>0</v>
      </c>
      <c r="AS868" s="8">
        <v>0</v>
      </c>
      <c r="AT868" s="8">
        <v>0</v>
      </c>
      <c r="AU868" s="8">
        <v>0</v>
      </c>
      <c r="AV868" s="8">
        <v>0</v>
      </c>
      <c r="AW868" s="8">
        <v>0</v>
      </c>
      <c r="AX868" s="8"/>
      <c r="AY868" s="8"/>
      <c r="AZ868">
        <v>2</v>
      </c>
      <c r="BA868" t="s">
        <v>3822</v>
      </c>
      <c r="BB868" t="s">
        <v>3823</v>
      </c>
    </row>
    <row r="869" spans="1:54">
      <c r="A869" s="6">
        <v>45863</v>
      </c>
      <c r="B869" s="7" t="s">
        <v>3824</v>
      </c>
      <c r="C869" t="s">
        <v>387</v>
      </c>
      <c r="D869" t="s">
        <v>3610</v>
      </c>
      <c r="E869" t="s">
        <v>3610</v>
      </c>
      <c r="F869" t="s">
        <v>3611</v>
      </c>
      <c r="G869" t="s">
        <v>754</v>
      </c>
      <c r="H869" s="8" t="s">
        <v>221</v>
      </c>
      <c r="I869" s="8" t="s">
        <v>221</v>
      </c>
      <c r="J869" s="9" t="s">
        <v>218</v>
      </c>
      <c r="K869" s="9" t="s">
        <v>218</v>
      </c>
      <c r="L869" s="8" t="s">
        <v>221</v>
      </c>
      <c r="M869" s="8" t="s">
        <v>221</v>
      </c>
      <c r="N869" s="8" t="s">
        <v>221</v>
      </c>
      <c r="O869" s="8" t="s">
        <v>208</v>
      </c>
      <c r="Q869" t="s">
        <v>3825</v>
      </c>
      <c r="R869" t="s">
        <v>3826</v>
      </c>
      <c r="U869" t="s">
        <v>3827</v>
      </c>
      <c r="V869" t="s">
        <v>2826</v>
      </c>
      <c r="W869" t="s">
        <v>298</v>
      </c>
      <c r="X869" t="s">
        <v>298</v>
      </c>
      <c r="Y869" t="s">
        <v>1103</v>
      </c>
      <c r="Z869" t="s">
        <v>299</v>
      </c>
      <c r="AA869" t="s">
        <v>2817</v>
      </c>
      <c r="AB869" t="s">
        <v>301</v>
      </c>
      <c r="AC869" t="s">
        <v>312</v>
      </c>
      <c r="AD869" t="s">
        <v>3628</v>
      </c>
      <c r="AE869" t="s">
        <v>2817</v>
      </c>
      <c r="AG869" s="8" t="s">
        <v>218</v>
      </c>
      <c r="AH869" t="s">
        <v>2283</v>
      </c>
      <c r="AI869" s="8" t="s">
        <v>221</v>
      </c>
      <c r="AJ869" s="8" t="s">
        <v>221</v>
      </c>
      <c r="AK869" t="s">
        <v>3828</v>
      </c>
      <c r="AL869" s="8" t="s">
        <v>221</v>
      </c>
      <c r="AM869" s="9" t="s">
        <v>218</v>
      </c>
      <c r="AN869" s="8" t="s">
        <v>221</v>
      </c>
      <c r="AO869" s="8" t="s">
        <v>222</v>
      </c>
      <c r="AP869" s="8">
        <v>0</v>
      </c>
      <c r="AQ869" s="8">
        <v>0</v>
      </c>
      <c r="AR869" s="8">
        <v>0</v>
      </c>
      <c r="AS869" s="8">
        <v>0</v>
      </c>
      <c r="AT869" s="8">
        <v>0</v>
      </c>
      <c r="AU869" s="8">
        <v>0</v>
      </c>
      <c r="AV869" s="8">
        <v>0</v>
      </c>
      <c r="AW869" s="8">
        <v>0</v>
      </c>
      <c r="AX869" s="8"/>
      <c r="AY869" s="8"/>
      <c r="AZ869">
        <v>5</v>
      </c>
      <c r="BA869" t="s">
        <v>3829</v>
      </c>
      <c r="BB869" t="s">
        <v>3830</v>
      </c>
    </row>
    <row r="870" spans="1:54">
      <c r="A870" s="6">
        <v>45863</v>
      </c>
      <c r="B870" s="7" t="s">
        <v>3831</v>
      </c>
      <c r="C870" t="s">
        <v>387</v>
      </c>
      <c r="D870" t="s">
        <v>3610</v>
      </c>
      <c r="E870" t="s">
        <v>3610</v>
      </c>
      <c r="F870" t="s">
        <v>3611</v>
      </c>
      <c r="G870" t="s">
        <v>754</v>
      </c>
      <c r="H870" s="8" t="s">
        <v>221</v>
      </c>
      <c r="I870" s="8" t="s">
        <v>221</v>
      </c>
      <c r="J870" s="9" t="s">
        <v>218</v>
      </c>
      <c r="K870" s="9" t="s">
        <v>218</v>
      </c>
      <c r="L870" s="8" t="s">
        <v>221</v>
      </c>
      <c r="M870" s="8" t="s">
        <v>221</v>
      </c>
      <c r="N870" s="8" t="s">
        <v>221</v>
      </c>
      <c r="O870" s="8" t="s">
        <v>208</v>
      </c>
      <c r="Q870" t="s">
        <v>3832</v>
      </c>
      <c r="R870" t="s">
        <v>3833</v>
      </c>
      <c r="U870" t="s">
        <v>3834</v>
      </c>
      <c r="V870" t="s">
        <v>3835</v>
      </c>
      <c r="W870" t="s">
        <v>298</v>
      </c>
      <c r="X870" t="s">
        <v>298</v>
      </c>
      <c r="Y870" t="s">
        <v>1103</v>
      </c>
      <c r="Z870" t="s">
        <v>299</v>
      </c>
      <c r="AA870" t="s">
        <v>2817</v>
      </c>
      <c r="AB870" t="s">
        <v>465</v>
      </c>
      <c r="AC870" t="s">
        <v>301</v>
      </c>
      <c r="AD870" t="s">
        <v>3628</v>
      </c>
      <c r="AE870" t="s">
        <v>3836</v>
      </c>
      <c r="AG870" s="8" t="s">
        <v>218</v>
      </c>
      <c r="AH870" t="s">
        <v>2283</v>
      </c>
      <c r="AI870" s="8" t="s">
        <v>221</v>
      </c>
      <c r="AJ870" s="8" t="s">
        <v>221</v>
      </c>
      <c r="AK870" t="s">
        <v>234</v>
      </c>
      <c r="AL870" s="8" t="s">
        <v>221</v>
      </c>
      <c r="AM870" s="9" t="s">
        <v>218</v>
      </c>
      <c r="AN870" s="8" t="s">
        <v>221</v>
      </c>
      <c r="AO870" s="8" t="s">
        <v>222</v>
      </c>
      <c r="AP870" s="8">
        <v>0</v>
      </c>
      <c r="AQ870" s="8">
        <v>0</v>
      </c>
      <c r="AR870" s="9">
        <v>5</v>
      </c>
      <c r="AS870" s="8">
        <v>0</v>
      </c>
      <c r="AT870" s="8">
        <v>0</v>
      </c>
      <c r="AU870" s="8">
        <v>0</v>
      </c>
      <c r="AV870" s="8">
        <v>0</v>
      </c>
      <c r="AW870" s="9">
        <v>5</v>
      </c>
      <c r="AX870" s="9" t="s">
        <v>3837</v>
      </c>
      <c r="AY870" s="8"/>
      <c r="AZ870">
        <v>2</v>
      </c>
      <c r="BA870" t="s">
        <v>3838</v>
      </c>
      <c r="BB870" t="s">
        <v>3839</v>
      </c>
    </row>
    <row r="871" spans="1:54">
      <c r="A871" s="6">
        <v>45863</v>
      </c>
      <c r="B871" s="7" t="s">
        <v>3840</v>
      </c>
      <c r="C871" t="s">
        <v>387</v>
      </c>
      <c r="D871" t="s">
        <v>3610</v>
      </c>
      <c r="E871" t="s">
        <v>3610</v>
      </c>
      <c r="F871" t="s">
        <v>3611</v>
      </c>
      <c r="G871" t="s">
        <v>754</v>
      </c>
      <c r="H871" s="8" t="s">
        <v>221</v>
      </c>
      <c r="I871" s="8" t="s">
        <v>221</v>
      </c>
      <c r="J871" s="9" t="s">
        <v>218</v>
      </c>
      <c r="K871" s="9" t="s">
        <v>218</v>
      </c>
      <c r="L871" s="8" t="s">
        <v>221</v>
      </c>
      <c r="M871" s="8" t="s">
        <v>221</v>
      </c>
      <c r="N871" s="8" t="s">
        <v>221</v>
      </c>
      <c r="O871" s="8" t="s">
        <v>208</v>
      </c>
      <c r="Q871" t="s">
        <v>3841</v>
      </c>
      <c r="R871" t="s">
        <v>3842</v>
      </c>
      <c r="U871" t="s">
        <v>3843</v>
      </c>
      <c r="V871" t="s">
        <v>2834</v>
      </c>
      <c r="W871" t="s">
        <v>298</v>
      </c>
      <c r="X871" t="s">
        <v>298</v>
      </c>
      <c r="Y871" t="s">
        <v>1103</v>
      </c>
      <c r="Z871" t="s">
        <v>299</v>
      </c>
      <c r="AA871" t="s">
        <v>2817</v>
      </c>
      <c r="AB871" t="s">
        <v>301</v>
      </c>
      <c r="AC871" t="s">
        <v>312</v>
      </c>
      <c r="AD871" t="s">
        <v>3628</v>
      </c>
      <c r="AE871" t="s">
        <v>2817</v>
      </c>
      <c r="AG871" s="8" t="s">
        <v>218</v>
      </c>
      <c r="AH871" t="s">
        <v>2283</v>
      </c>
      <c r="AI871" s="8" t="s">
        <v>221</v>
      </c>
      <c r="AJ871" s="8" t="s">
        <v>221</v>
      </c>
      <c r="AK871" t="s">
        <v>3844</v>
      </c>
      <c r="AL871" s="8" t="s">
        <v>221</v>
      </c>
      <c r="AM871" s="9" t="s">
        <v>218</v>
      </c>
      <c r="AN871" s="8" t="s">
        <v>221</v>
      </c>
      <c r="AO871" s="8" t="s">
        <v>222</v>
      </c>
      <c r="AP871" s="8">
        <v>0</v>
      </c>
      <c r="AQ871" s="8">
        <v>0</v>
      </c>
      <c r="AR871" s="8">
        <v>0</v>
      </c>
      <c r="AS871" s="8">
        <v>0</v>
      </c>
      <c r="AT871" s="8">
        <v>0</v>
      </c>
      <c r="AU871" s="8">
        <v>0</v>
      </c>
      <c r="AV871" s="8">
        <v>0</v>
      </c>
      <c r="AW871" s="8">
        <v>0</v>
      </c>
      <c r="AX871" s="8"/>
      <c r="AY871" s="8"/>
      <c r="AZ871">
        <v>5</v>
      </c>
      <c r="BA871" t="s">
        <v>3845</v>
      </c>
      <c r="BB871" t="s">
        <v>3846</v>
      </c>
    </row>
    <row r="872" spans="1:54">
      <c r="A872" s="6">
        <v>45863</v>
      </c>
      <c r="B872" s="7" t="s">
        <v>3211</v>
      </c>
      <c r="C872" t="s">
        <v>387</v>
      </c>
      <c r="D872" t="s">
        <v>3610</v>
      </c>
      <c r="E872" t="s">
        <v>3610</v>
      </c>
      <c r="F872" t="s">
        <v>3611</v>
      </c>
      <c r="G872" t="s">
        <v>754</v>
      </c>
      <c r="H872" s="8" t="s">
        <v>221</v>
      </c>
      <c r="I872" s="8" t="s">
        <v>221</v>
      </c>
      <c r="J872" s="9" t="s">
        <v>218</v>
      </c>
      <c r="K872" s="9" t="s">
        <v>218</v>
      </c>
      <c r="L872" s="8" t="s">
        <v>221</v>
      </c>
      <c r="M872" s="8" t="s">
        <v>221</v>
      </c>
      <c r="N872" s="8" t="s">
        <v>221</v>
      </c>
      <c r="O872" s="8" t="s">
        <v>208</v>
      </c>
      <c r="Q872" t="s">
        <v>3212</v>
      </c>
      <c r="R872" t="s">
        <v>3213</v>
      </c>
      <c r="U872" t="s">
        <v>3214</v>
      </c>
      <c r="V872" t="s">
        <v>2834</v>
      </c>
      <c r="W872" t="s">
        <v>298</v>
      </c>
      <c r="X872" t="s">
        <v>298</v>
      </c>
      <c r="Y872" t="s">
        <v>299</v>
      </c>
      <c r="Z872" t="s">
        <v>299</v>
      </c>
      <c r="AA872" t="s">
        <v>3215</v>
      </c>
      <c r="AB872" t="s">
        <v>391</v>
      </c>
      <c r="AC872" t="s">
        <v>391</v>
      </c>
      <c r="AD872" t="s">
        <v>216</v>
      </c>
      <c r="AE872" t="s">
        <v>3215</v>
      </c>
      <c r="AG872" s="8" t="s">
        <v>218</v>
      </c>
      <c r="AH872" t="s">
        <v>302</v>
      </c>
      <c r="AI872" s="9" t="s">
        <v>218</v>
      </c>
      <c r="AJ872" s="8" t="s">
        <v>221</v>
      </c>
      <c r="AK872" t="s">
        <v>3216</v>
      </c>
      <c r="AL872" s="9" t="s">
        <v>218</v>
      </c>
      <c r="AM872" s="8" t="s">
        <v>221</v>
      </c>
      <c r="AN872" s="8" t="s">
        <v>221</v>
      </c>
      <c r="AO872" s="8" t="s">
        <v>222</v>
      </c>
      <c r="AP872" s="8">
        <v>0</v>
      </c>
      <c r="AQ872" s="8">
        <v>0</v>
      </c>
      <c r="AR872" s="9">
        <v>5</v>
      </c>
      <c r="AS872" s="8">
        <v>0</v>
      </c>
      <c r="AT872" s="8">
        <v>0</v>
      </c>
      <c r="AU872" s="8">
        <v>0</v>
      </c>
      <c r="AV872" s="8">
        <v>0</v>
      </c>
      <c r="AW872" s="9">
        <v>5</v>
      </c>
      <c r="AX872" s="8"/>
      <c r="AY872" s="8"/>
      <c r="AZ872">
        <v>0</v>
      </c>
      <c r="BB872" t="s">
        <v>3218</v>
      </c>
    </row>
    <row r="873" spans="1:54">
      <c r="A873" s="6">
        <v>45863</v>
      </c>
      <c r="B873" s="7" t="s">
        <v>3847</v>
      </c>
      <c r="C873" t="s">
        <v>387</v>
      </c>
      <c r="D873" t="s">
        <v>3610</v>
      </c>
      <c r="E873" t="s">
        <v>3610</v>
      </c>
      <c r="F873" t="s">
        <v>3611</v>
      </c>
      <c r="G873" t="s">
        <v>754</v>
      </c>
      <c r="H873" s="8" t="s">
        <v>221</v>
      </c>
      <c r="I873" s="8" t="s">
        <v>221</v>
      </c>
      <c r="J873" s="9" t="s">
        <v>218</v>
      </c>
      <c r="K873" s="9" t="s">
        <v>218</v>
      </c>
      <c r="L873" s="8" t="s">
        <v>221</v>
      </c>
      <c r="M873" s="8" t="s">
        <v>221</v>
      </c>
      <c r="N873" s="8" t="s">
        <v>221</v>
      </c>
      <c r="O873" s="8" t="s">
        <v>208</v>
      </c>
      <c r="Q873" t="s">
        <v>3848</v>
      </c>
      <c r="R873" t="s">
        <v>3849</v>
      </c>
      <c r="U873" t="s">
        <v>3850</v>
      </c>
      <c r="V873" t="s">
        <v>3851</v>
      </c>
      <c r="W873" t="s">
        <v>298</v>
      </c>
      <c r="X873" t="s">
        <v>298</v>
      </c>
      <c r="Y873" t="s">
        <v>1103</v>
      </c>
      <c r="Z873" t="s">
        <v>299</v>
      </c>
      <c r="AA873" t="s">
        <v>2817</v>
      </c>
      <c r="AB873" t="s">
        <v>301</v>
      </c>
      <c r="AC873" t="s">
        <v>312</v>
      </c>
      <c r="AD873" t="s">
        <v>3628</v>
      </c>
      <c r="AE873" t="s">
        <v>3852</v>
      </c>
      <c r="AG873" s="8" t="s">
        <v>218</v>
      </c>
      <c r="AH873" t="s">
        <v>2283</v>
      </c>
      <c r="AI873" s="8" t="s">
        <v>221</v>
      </c>
      <c r="AJ873" s="8" t="s">
        <v>221</v>
      </c>
      <c r="AK873" t="s">
        <v>234</v>
      </c>
      <c r="AL873" s="8" t="s">
        <v>221</v>
      </c>
      <c r="AM873" s="9" t="s">
        <v>218</v>
      </c>
      <c r="AN873" s="8" t="s">
        <v>221</v>
      </c>
      <c r="AO873" s="8" t="s">
        <v>222</v>
      </c>
      <c r="AP873" s="8">
        <v>0</v>
      </c>
      <c r="AQ873" s="8">
        <v>0</v>
      </c>
      <c r="AR873" s="8">
        <v>0</v>
      </c>
      <c r="AS873" s="8">
        <v>0</v>
      </c>
      <c r="AT873" s="8">
        <v>0</v>
      </c>
      <c r="AU873" s="8">
        <v>0</v>
      </c>
      <c r="AV873" s="8">
        <v>0</v>
      </c>
      <c r="AW873" s="8">
        <v>0</v>
      </c>
      <c r="AX873" s="8"/>
      <c r="AY873" s="8"/>
      <c r="AZ873">
        <v>6</v>
      </c>
      <c r="BA873" t="s">
        <v>3853</v>
      </c>
      <c r="BB873" t="s">
        <v>3854</v>
      </c>
    </row>
    <row r="874" spans="1:54">
      <c r="A874" s="6">
        <v>45863</v>
      </c>
      <c r="B874" s="7" t="s">
        <v>3855</v>
      </c>
      <c r="C874" t="s">
        <v>668</v>
      </c>
      <c r="D874" t="s">
        <v>3610</v>
      </c>
      <c r="E874" t="s">
        <v>3610</v>
      </c>
      <c r="F874" t="s">
        <v>3611</v>
      </c>
      <c r="G874" t="s">
        <v>754</v>
      </c>
      <c r="H874" s="8" t="s">
        <v>221</v>
      </c>
      <c r="I874" s="8" t="s">
        <v>221</v>
      </c>
      <c r="J874" s="9" t="s">
        <v>218</v>
      </c>
      <c r="K874" s="9" t="s">
        <v>218</v>
      </c>
      <c r="L874" s="8" t="s">
        <v>221</v>
      </c>
      <c r="M874" s="8" t="s">
        <v>221</v>
      </c>
      <c r="N874" s="8" t="s">
        <v>221</v>
      </c>
      <c r="O874" s="8" t="s">
        <v>208</v>
      </c>
      <c r="Q874" t="s">
        <v>3856</v>
      </c>
      <c r="R874" t="s">
        <v>3857</v>
      </c>
      <c r="U874" t="s">
        <v>3858</v>
      </c>
      <c r="V874" t="s">
        <v>138</v>
      </c>
      <c r="W874" t="s">
        <v>212</v>
      </c>
      <c r="X874" t="s">
        <v>212</v>
      </c>
      <c r="Y874" t="s">
        <v>275</v>
      </c>
      <c r="Z874" t="s">
        <v>213</v>
      </c>
      <c r="AA874" t="s">
        <v>214</v>
      </c>
      <c r="AB874" t="s">
        <v>215</v>
      </c>
      <c r="AC874" t="s">
        <v>701</v>
      </c>
      <c r="AD874" t="s">
        <v>3815</v>
      </c>
      <c r="AE874" t="s">
        <v>11</v>
      </c>
      <c r="AG874" s="8" t="s">
        <v>218</v>
      </c>
      <c r="AH874" t="s">
        <v>2256</v>
      </c>
      <c r="AI874" s="8" t="s">
        <v>221</v>
      </c>
      <c r="AJ874" s="9" t="s">
        <v>218</v>
      </c>
      <c r="AK874" t="s">
        <v>3859</v>
      </c>
      <c r="AL874" s="8" t="s">
        <v>221</v>
      </c>
      <c r="AM874" s="9" t="s">
        <v>218</v>
      </c>
      <c r="AN874" s="8" t="s">
        <v>221</v>
      </c>
      <c r="AO874" s="8" t="s">
        <v>222</v>
      </c>
      <c r="AP874" s="8">
        <v>0</v>
      </c>
      <c r="AQ874" s="8">
        <v>0</v>
      </c>
      <c r="AR874" s="8">
        <v>0</v>
      </c>
      <c r="AS874" s="8">
        <v>0</v>
      </c>
      <c r="AT874" s="8">
        <v>0</v>
      </c>
      <c r="AU874" s="8">
        <v>0</v>
      </c>
      <c r="AV874" s="8">
        <v>0</v>
      </c>
      <c r="AW874" s="8">
        <v>0</v>
      </c>
      <c r="AX874" s="8"/>
      <c r="AY874" s="8"/>
      <c r="AZ874">
        <v>2</v>
      </c>
      <c r="BA874" t="s">
        <v>3860</v>
      </c>
      <c r="BB874" t="s">
        <v>3861</v>
      </c>
    </row>
    <row r="875" spans="1:54">
      <c r="A875" s="6">
        <v>45863</v>
      </c>
      <c r="B875" s="7" t="s">
        <v>3862</v>
      </c>
      <c r="C875" t="s">
        <v>668</v>
      </c>
      <c r="D875" t="s">
        <v>3610</v>
      </c>
      <c r="E875" t="s">
        <v>3610</v>
      </c>
      <c r="F875" t="s">
        <v>3611</v>
      </c>
      <c r="G875" t="s">
        <v>754</v>
      </c>
      <c r="H875" s="8" t="s">
        <v>221</v>
      </c>
      <c r="I875" s="8" t="s">
        <v>221</v>
      </c>
      <c r="J875" s="9" t="s">
        <v>218</v>
      </c>
      <c r="K875" s="9" t="s">
        <v>218</v>
      </c>
      <c r="L875" s="8" t="s">
        <v>221</v>
      </c>
      <c r="M875" s="8" t="s">
        <v>221</v>
      </c>
      <c r="N875" s="8" t="s">
        <v>221</v>
      </c>
      <c r="O875" s="8" t="s">
        <v>208</v>
      </c>
      <c r="Q875" t="s">
        <v>3863</v>
      </c>
      <c r="R875" t="s">
        <v>3864</v>
      </c>
      <c r="U875" t="s">
        <v>3865</v>
      </c>
      <c r="V875" t="s">
        <v>136</v>
      </c>
      <c r="W875" t="s">
        <v>212</v>
      </c>
      <c r="X875" t="s">
        <v>212</v>
      </c>
      <c r="Y875" t="s">
        <v>275</v>
      </c>
      <c r="Z875" t="s">
        <v>213</v>
      </c>
      <c r="AA875" t="s">
        <v>3866</v>
      </c>
      <c r="AB875" t="s">
        <v>285</v>
      </c>
      <c r="AC875" t="s">
        <v>215</v>
      </c>
      <c r="AD875" t="s">
        <v>3815</v>
      </c>
      <c r="AE875" t="s">
        <v>11</v>
      </c>
      <c r="AG875" s="8" t="s">
        <v>218</v>
      </c>
      <c r="AH875" t="s">
        <v>2256</v>
      </c>
      <c r="AI875" s="8" t="s">
        <v>221</v>
      </c>
      <c r="AJ875" s="9" t="s">
        <v>218</v>
      </c>
      <c r="AK875" t="s">
        <v>3867</v>
      </c>
      <c r="AL875" s="8" t="s">
        <v>221</v>
      </c>
      <c r="AM875" s="9" t="s">
        <v>218</v>
      </c>
      <c r="AN875" s="8" t="s">
        <v>221</v>
      </c>
      <c r="AO875" s="8" t="s">
        <v>222</v>
      </c>
      <c r="AP875" s="8">
        <v>0</v>
      </c>
      <c r="AQ875" s="8">
        <v>0</v>
      </c>
      <c r="AR875" s="9">
        <v>23</v>
      </c>
      <c r="AS875" s="8">
        <v>0</v>
      </c>
      <c r="AT875" s="8">
        <v>0</v>
      </c>
      <c r="AU875" s="8">
        <v>0</v>
      </c>
      <c r="AV875" s="8">
        <v>0</v>
      </c>
      <c r="AW875" s="9">
        <v>23</v>
      </c>
      <c r="AX875" s="8"/>
      <c r="AY875" s="8"/>
      <c r="AZ875">
        <v>2</v>
      </c>
      <c r="BA875" t="s">
        <v>3868</v>
      </c>
      <c r="BB875" t="s">
        <v>3869</v>
      </c>
    </row>
    <row r="876" spans="1:54">
      <c r="A876" s="6">
        <v>45863</v>
      </c>
      <c r="B876" s="7" t="s">
        <v>3870</v>
      </c>
      <c r="C876" t="s">
        <v>387</v>
      </c>
      <c r="D876" t="s">
        <v>3610</v>
      </c>
      <c r="E876" t="s">
        <v>3610</v>
      </c>
      <c r="F876" t="s">
        <v>3611</v>
      </c>
      <c r="G876" t="s">
        <v>754</v>
      </c>
      <c r="H876" s="8" t="s">
        <v>221</v>
      </c>
      <c r="I876" s="8" t="s">
        <v>221</v>
      </c>
      <c r="J876" s="9" t="s">
        <v>218</v>
      </c>
      <c r="K876" s="9" t="s">
        <v>218</v>
      </c>
      <c r="L876" s="8" t="s">
        <v>221</v>
      </c>
      <c r="M876" s="8" t="s">
        <v>221</v>
      </c>
      <c r="N876" s="8" t="s">
        <v>221</v>
      </c>
      <c r="O876" s="8" t="s">
        <v>208</v>
      </c>
      <c r="Q876" t="s">
        <v>3871</v>
      </c>
      <c r="R876" t="s">
        <v>3872</v>
      </c>
      <c r="U876" t="s">
        <v>3873</v>
      </c>
      <c r="V876" t="s">
        <v>16</v>
      </c>
      <c r="W876" t="s">
        <v>298</v>
      </c>
      <c r="X876" t="s">
        <v>298</v>
      </c>
      <c r="Y876" t="s">
        <v>1103</v>
      </c>
      <c r="Z876" t="s">
        <v>299</v>
      </c>
      <c r="AA876" t="s">
        <v>3874</v>
      </c>
      <c r="AB876" t="s">
        <v>391</v>
      </c>
      <c r="AC876" t="s">
        <v>425</v>
      </c>
      <c r="AD876" t="s">
        <v>3628</v>
      </c>
      <c r="AE876" t="s">
        <v>3874</v>
      </c>
      <c r="AG876" s="8" t="s">
        <v>218</v>
      </c>
      <c r="AH876" t="s">
        <v>2283</v>
      </c>
      <c r="AI876" s="8" t="s">
        <v>221</v>
      </c>
      <c r="AJ876" s="8" t="s">
        <v>221</v>
      </c>
      <c r="AK876" t="s">
        <v>234</v>
      </c>
      <c r="AL876" s="8" t="s">
        <v>221</v>
      </c>
      <c r="AM876" s="9" t="s">
        <v>218</v>
      </c>
      <c r="AN876" s="8" t="s">
        <v>221</v>
      </c>
      <c r="AO876" s="8" t="s">
        <v>222</v>
      </c>
      <c r="AP876" s="8">
        <v>0</v>
      </c>
      <c r="AQ876" s="8">
        <v>0</v>
      </c>
      <c r="AR876" s="9">
        <v>37</v>
      </c>
      <c r="AS876" s="8">
        <v>0</v>
      </c>
      <c r="AT876" s="8">
        <v>0</v>
      </c>
      <c r="AU876" s="8">
        <v>0</v>
      </c>
      <c r="AV876" s="8">
        <v>0</v>
      </c>
      <c r="AW876" s="9">
        <v>37</v>
      </c>
      <c r="AX876" s="8"/>
      <c r="AY876" s="8"/>
      <c r="AZ876">
        <v>7</v>
      </c>
      <c r="BA876" t="s">
        <v>3875</v>
      </c>
      <c r="BB876" t="s">
        <v>3876</v>
      </c>
    </row>
    <row r="877" spans="1:54">
      <c r="A877" s="6">
        <v>45863</v>
      </c>
      <c r="B877" s="7" t="s">
        <v>227</v>
      </c>
      <c r="C877" t="s">
        <v>687</v>
      </c>
      <c r="D877" t="s">
        <v>3610</v>
      </c>
      <c r="E877" t="s">
        <v>3610</v>
      </c>
      <c r="F877" t="s">
        <v>3611</v>
      </c>
      <c r="G877" t="s">
        <v>754</v>
      </c>
      <c r="H877" s="8" t="s">
        <v>221</v>
      </c>
      <c r="I877" s="8" t="s">
        <v>221</v>
      </c>
      <c r="J877" s="9" t="s">
        <v>218</v>
      </c>
      <c r="K877" s="9" t="s">
        <v>218</v>
      </c>
      <c r="L877" s="8" t="s">
        <v>221</v>
      </c>
      <c r="M877" s="8" t="s">
        <v>221</v>
      </c>
      <c r="N877" s="8" t="s">
        <v>221</v>
      </c>
      <c r="O877" s="8" t="s">
        <v>208</v>
      </c>
      <c r="Q877" t="s">
        <v>229</v>
      </c>
      <c r="R877" t="s">
        <v>230</v>
      </c>
      <c r="U877" t="s">
        <v>231</v>
      </c>
      <c r="V877" t="s">
        <v>137</v>
      </c>
      <c r="W877" t="s">
        <v>232</v>
      </c>
      <c r="X877" t="s">
        <v>232</v>
      </c>
      <c r="Y877" t="s">
        <v>233</v>
      </c>
      <c r="Z877" t="s">
        <v>233</v>
      </c>
      <c r="AA877" t="s">
        <v>214</v>
      </c>
      <c r="AB877" t="s">
        <v>215</v>
      </c>
      <c r="AC877" t="s">
        <v>215</v>
      </c>
      <c r="AD877" t="s">
        <v>216</v>
      </c>
      <c r="AE877" t="s">
        <v>217</v>
      </c>
      <c r="AG877" s="8" t="s">
        <v>218</v>
      </c>
      <c r="AH877" t="s">
        <v>219</v>
      </c>
      <c r="AI877" s="9" t="s">
        <v>218</v>
      </c>
      <c r="AJ877" s="9" t="s">
        <v>218</v>
      </c>
      <c r="AK877" t="s">
        <v>234</v>
      </c>
      <c r="AL877" s="9" t="s">
        <v>218</v>
      </c>
      <c r="AM877" s="8" t="s">
        <v>221</v>
      </c>
      <c r="AN877" s="8" t="s">
        <v>221</v>
      </c>
      <c r="AO877" s="8" t="s">
        <v>222</v>
      </c>
      <c r="AP877" s="8">
        <v>0</v>
      </c>
      <c r="AQ877" s="8">
        <v>0</v>
      </c>
      <c r="AR877" s="8">
        <v>0</v>
      </c>
      <c r="AS877" s="8">
        <v>0</v>
      </c>
      <c r="AT877" s="8">
        <v>0</v>
      </c>
      <c r="AU877" s="8">
        <v>0</v>
      </c>
      <c r="AV877" s="8">
        <v>0</v>
      </c>
      <c r="AW877" s="8">
        <v>0</v>
      </c>
      <c r="AX877" s="8"/>
      <c r="AY877" s="8"/>
      <c r="AZ877">
        <v>0</v>
      </c>
      <c r="BB877" t="s">
        <v>236</v>
      </c>
    </row>
    <row r="878" spans="1:54">
      <c r="A878" s="6">
        <v>45863</v>
      </c>
      <c r="B878" s="7" t="s">
        <v>238</v>
      </c>
      <c r="C878" t="s">
        <v>668</v>
      </c>
      <c r="D878" t="s">
        <v>3610</v>
      </c>
      <c r="E878" t="s">
        <v>3610</v>
      </c>
      <c r="F878" t="s">
        <v>3611</v>
      </c>
      <c r="G878" t="s">
        <v>754</v>
      </c>
      <c r="H878" s="8" t="s">
        <v>221</v>
      </c>
      <c r="I878" s="8" t="s">
        <v>221</v>
      </c>
      <c r="J878" s="9" t="s">
        <v>218</v>
      </c>
      <c r="K878" s="9" t="s">
        <v>218</v>
      </c>
      <c r="L878" s="8" t="s">
        <v>221</v>
      </c>
      <c r="M878" s="8" t="s">
        <v>221</v>
      </c>
      <c r="N878" s="8" t="s">
        <v>221</v>
      </c>
      <c r="O878" s="8" t="s">
        <v>208</v>
      </c>
      <c r="Q878" t="s">
        <v>239</v>
      </c>
      <c r="R878" t="s">
        <v>240</v>
      </c>
      <c r="U878" t="s">
        <v>241</v>
      </c>
      <c r="V878" t="s">
        <v>137</v>
      </c>
      <c r="W878" t="s">
        <v>212</v>
      </c>
      <c r="X878" t="s">
        <v>212</v>
      </c>
      <c r="Y878" t="s">
        <v>213</v>
      </c>
      <c r="Z878" t="s">
        <v>213</v>
      </c>
      <c r="AA878" t="s">
        <v>214</v>
      </c>
      <c r="AB878" t="s">
        <v>242</v>
      </c>
      <c r="AC878" t="s">
        <v>242</v>
      </c>
      <c r="AD878" t="s">
        <v>216</v>
      </c>
      <c r="AE878" t="s">
        <v>217</v>
      </c>
      <c r="AG878" s="8" t="s">
        <v>218</v>
      </c>
      <c r="AH878" t="s">
        <v>219</v>
      </c>
      <c r="AI878" s="9" t="s">
        <v>218</v>
      </c>
      <c r="AJ878" s="9" t="s">
        <v>218</v>
      </c>
      <c r="AK878" t="s">
        <v>243</v>
      </c>
      <c r="AL878" s="9" t="s">
        <v>218</v>
      </c>
      <c r="AM878" s="8" t="s">
        <v>221</v>
      </c>
      <c r="AN878" s="8" t="s">
        <v>221</v>
      </c>
      <c r="AO878" s="8" t="s">
        <v>222</v>
      </c>
      <c r="AP878" s="8">
        <v>0</v>
      </c>
      <c r="AQ878" s="8">
        <v>0</v>
      </c>
      <c r="AR878" s="8">
        <v>0</v>
      </c>
      <c r="AS878" s="8">
        <v>0</v>
      </c>
      <c r="AT878" s="8">
        <v>0</v>
      </c>
      <c r="AU878" s="8">
        <v>0</v>
      </c>
      <c r="AV878" s="8">
        <v>0</v>
      </c>
      <c r="AW878" s="8">
        <v>0</v>
      </c>
      <c r="AX878" s="8"/>
      <c r="AY878" s="8"/>
      <c r="AZ878">
        <v>0</v>
      </c>
      <c r="BB878" t="s">
        <v>3877</v>
      </c>
    </row>
    <row r="879" spans="1:54">
      <c r="A879" s="6">
        <v>45863</v>
      </c>
      <c r="B879" s="7" t="s">
        <v>3878</v>
      </c>
      <c r="C879" t="s">
        <v>687</v>
      </c>
      <c r="D879" t="s">
        <v>3610</v>
      </c>
      <c r="E879" t="s">
        <v>3610</v>
      </c>
      <c r="F879" t="s">
        <v>3611</v>
      </c>
      <c r="G879" t="s">
        <v>754</v>
      </c>
      <c r="H879" s="8" t="s">
        <v>221</v>
      </c>
      <c r="I879" s="8" t="s">
        <v>221</v>
      </c>
      <c r="J879" s="9" t="s">
        <v>218</v>
      </c>
      <c r="K879" s="9" t="s">
        <v>218</v>
      </c>
      <c r="L879" s="8" t="s">
        <v>221</v>
      </c>
      <c r="M879" s="8" t="s">
        <v>221</v>
      </c>
      <c r="N879" s="8" t="s">
        <v>221</v>
      </c>
      <c r="O879" s="8" t="s">
        <v>208</v>
      </c>
      <c r="Q879" t="s">
        <v>3879</v>
      </c>
      <c r="R879" t="s">
        <v>3880</v>
      </c>
      <c r="U879" t="s">
        <v>3881</v>
      </c>
      <c r="V879" t="s">
        <v>133</v>
      </c>
      <c r="W879" t="s">
        <v>232</v>
      </c>
      <c r="X879" t="s">
        <v>232</v>
      </c>
      <c r="Y879" t="s">
        <v>3223</v>
      </c>
      <c r="Z879" t="s">
        <v>233</v>
      </c>
      <c r="AA879" t="s">
        <v>214</v>
      </c>
      <c r="AB879" t="s">
        <v>701</v>
      </c>
      <c r="AC879" t="s">
        <v>242</v>
      </c>
      <c r="AD879" t="s">
        <v>3815</v>
      </c>
      <c r="AE879" t="s">
        <v>11</v>
      </c>
      <c r="AG879" s="8" t="s">
        <v>218</v>
      </c>
      <c r="AH879" t="s">
        <v>2256</v>
      </c>
      <c r="AI879" s="8" t="s">
        <v>221</v>
      </c>
      <c r="AJ879" s="9" t="s">
        <v>218</v>
      </c>
      <c r="AK879" t="s">
        <v>3259</v>
      </c>
      <c r="AL879" s="8" t="s">
        <v>221</v>
      </c>
      <c r="AM879" s="9" t="s">
        <v>218</v>
      </c>
      <c r="AN879" s="8" t="s">
        <v>221</v>
      </c>
      <c r="AO879" s="8" t="s">
        <v>222</v>
      </c>
      <c r="AP879" s="8">
        <v>0</v>
      </c>
      <c r="AQ879" s="8">
        <v>0</v>
      </c>
      <c r="AR879" s="8">
        <v>0</v>
      </c>
      <c r="AS879" s="8">
        <v>0</v>
      </c>
      <c r="AT879" s="8">
        <v>0</v>
      </c>
      <c r="AU879" s="8">
        <v>0</v>
      </c>
      <c r="AV879" s="8">
        <v>0</v>
      </c>
      <c r="AW879" s="8">
        <v>0</v>
      </c>
      <c r="AX879" s="8"/>
      <c r="AY879" s="8"/>
      <c r="AZ879">
        <v>2</v>
      </c>
      <c r="BA879" t="s">
        <v>3882</v>
      </c>
      <c r="BB879" t="s">
        <v>3883</v>
      </c>
    </row>
    <row r="880" spans="1:54">
      <c r="A880" s="6">
        <v>45863</v>
      </c>
      <c r="B880" s="7" t="s">
        <v>3884</v>
      </c>
      <c r="C880" t="s">
        <v>668</v>
      </c>
      <c r="D880" t="s">
        <v>3610</v>
      </c>
      <c r="E880" t="s">
        <v>3610</v>
      </c>
      <c r="F880" t="s">
        <v>3611</v>
      </c>
      <c r="G880" t="s">
        <v>754</v>
      </c>
      <c r="H880" s="8" t="s">
        <v>221</v>
      </c>
      <c r="I880" s="8" t="s">
        <v>221</v>
      </c>
      <c r="J880" s="9" t="s">
        <v>218</v>
      </c>
      <c r="K880" s="9" t="s">
        <v>218</v>
      </c>
      <c r="L880" s="8" t="s">
        <v>221</v>
      </c>
      <c r="M880" s="8" t="s">
        <v>221</v>
      </c>
      <c r="N880" s="8" t="s">
        <v>221</v>
      </c>
      <c r="O880" s="8" t="s">
        <v>208</v>
      </c>
      <c r="Q880" t="s">
        <v>3885</v>
      </c>
      <c r="R880" t="s">
        <v>3886</v>
      </c>
      <c r="U880" t="s">
        <v>3887</v>
      </c>
      <c r="V880" t="s">
        <v>133</v>
      </c>
      <c r="W880" t="s">
        <v>212</v>
      </c>
      <c r="X880" t="s">
        <v>212</v>
      </c>
      <c r="Y880" t="s">
        <v>275</v>
      </c>
      <c r="Z880" t="s">
        <v>213</v>
      </c>
      <c r="AA880" t="s">
        <v>214</v>
      </c>
      <c r="AB880" t="s">
        <v>215</v>
      </c>
      <c r="AC880" t="s">
        <v>701</v>
      </c>
      <c r="AD880" t="s">
        <v>3815</v>
      </c>
      <c r="AE880" t="s">
        <v>11</v>
      </c>
      <c r="AG880" s="8" t="s">
        <v>218</v>
      </c>
      <c r="AH880" t="s">
        <v>2256</v>
      </c>
      <c r="AI880" s="8" t="s">
        <v>221</v>
      </c>
      <c r="AJ880" s="9" t="s">
        <v>218</v>
      </c>
      <c r="AK880" t="s">
        <v>234</v>
      </c>
      <c r="AL880" s="8" t="s">
        <v>221</v>
      </c>
      <c r="AM880" s="9" t="s">
        <v>218</v>
      </c>
      <c r="AN880" s="8" t="s">
        <v>221</v>
      </c>
      <c r="AO880" s="8" t="s">
        <v>222</v>
      </c>
      <c r="AP880" s="8">
        <v>0</v>
      </c>
      <c r="AQ880" s="8">
        <v>0</v>
      </c>
      <c r="AR880" s="8">
        <v>0</v>
      </c>
      <c r="AS880" s="8">
        <v>0</v>
      </c>
      <c r="AT880" s="8">
        <v>0</v>
      </c>
      <c r="AU880" s="8">
        <v>0</v>
      </c>
      <c r="AV880" s="8">
        <v>0</v>
      </c>
      <c r="AW880" s="8">
        <v>0</v>
      </c>
      <c r="AX880" s="8"/>
      <c r="AY880" s="8"/>
      <c r="AZ880">
        <v>2</v>
      </c>
      <c r="BA880" t="s">
        <v>3888</v>
      </c>
      <c r="BB880" t="s">
        <v>3889</v>
      </c>
    </row>
    <row r="881" spans="1:54">
      <c r="A881" s="6">
        <v>45863</v>
      </c>
      <c r="B881" s="7" t="s">
        <v>3890</v>
      </c>
      <c r="C881" t="s">
        <v>668</v>
      </c>
      <c r="D881" t="s">
        <v>3610</v>
      </c>
      <c r="E881" t="s">
        <v>3610</v>
      </c>
      <c r="F881" t="s">
        <v>3611</v>
      </c>
      <c r="G881" t="s">
        <v>754</v>
      </c>
      <c r="H881" s="8" t="s">
        <v>221</v>
      </c>
      <c r="I881" s="8" t="s">
        <v>221</v>
      </c>
      <c r="J881" s="9" t="s">
        <v>218</v>
      </c>
      <c r="K881" s="9" t="s">
        <v>218</v>
      </c>
      <c r="L881" s="8" t="s">
        <v>221</v>
      </c>
      <c r="M881" s="8" t="s">
        <v>221</v>
      </c>
      <c r="N881" s="8" t="s">
        <v>221</v>
      </c>
      <c r="O881" s="8" t="s">
        <v>208</v>
      </c>
      <c r="Q881" t="s">
        <v>3891</v>
      </c>
      <c r="R881" t="s">
        <v>3892</v>
      </c>
      <c r="U881" t="s">
        <v>3893</v>
      </c>
      <c r="V881" t="s">
        <v>133</v>
      </c>
      <c r="W881" t="s">
        <v>212</v>
      </c>
      <c r="Y881" t="s">
        <v>275</v>
      </c>
      <c r="AA881" t="s">
        <v>214</v>
      </c>
      <c r="AB881" t="s">
        <v>242</v>
      </c>
      <c r="AD881" t="s">
        <v>3815</v>
      </c>
      <c r="AE881" t="s">
        <v>11</v>
      </c>
      <c r="AG881" s="8" t="s">
        <v>218</v>
      </c>
      <c r="AH881" t="s">
        <v>2256</v>
      </c>
      <c r="AI881" s="8" t="s">
        <v>221</v>
      </c>
      <c r="AJ881" s="9" t="s">
        <v>218</v>
      </c>
      <c r="AK881" t="s">
        <v>3894</v>
      </c>
      <c r="AL881" s="8" t="s">
        <v>221</v>
      </c>
      <c r="AM881" s="9" t="s">
        <v>218</v>
      </c>
      <c r="AN881" s="8" t="s">
        <v>221</v>
      </c>
      <c r="AO881" s="8" t="s">
        <v>222</v>
      </c>
      <c r="AP881" s="8">
        <v>0</v>
      </c>
      <c r="AQ881" s="8">
        <v>0</v>
      </c>
      <c r="AR881" s="8">
        <v>0</v>
      </c>
      <c r="AS881" s="8">
        <v>0</v>
      </c>
      <c r="AT881" s="8">
        <v>0</v>
      </c>
      <c r="AU881" s="8">
        <v>0</v>
      </c>
      <c r="AV881" s="8">
        <v>0</v>
      </c>
      <c r="AW881" s="8">
        <v>0</v>
      </c>
      <c r="AX881" s="8"/>
      <c r="AY881" s="8"/>
      <c r="AZ881">
        <v>0</v>
      </c>
    </row>
    <row r="882" spans="1:54">
      <c r="A882" s="6">
        <v>45863</v>
      </c>
      <c r="B882" s="7" t="s">
        <v>3895</v>
      </c>
      <c r="C882" t="s">
        <v>668</v>
      </c>
      <c r="D882" t="s">
        <v>3610</v>
      </c>
      <c r="E882" t="s">
        <v>3610</v>
      </c>
      <c r="F882" t="s">
        <v>3611</v>
      </c>
      <c r="G882" t="s">
        <v>754</v>
      </c>
      <c r="H882" s="8" t="s">
        <v>221</v>
      </c>
      <c r="I882" s="8" t="s">
        <v>221</v>
      </c>
      <c r="J882" s="9" t="s">
        <v>218</v>
      </c>
      <c r="K882" s="9" t="s">
        <v>218</v>
      </c>
      <c r="L882" s="8" t="s">
        <v>221</v>
      </c>
      <c r="M882" s="8" t="s">
        <v>221</v>
      </c>
      <c r="N882" s="8" t="s">
        <v>221</v>
      </c>
      <c r="O882" s="8" t="s">
        <v>208</v>
      </c>
      <c r="Q882" t="s">
        <v>3896</v>
      </c>
      <c r="R882" t="s">
        <v>3897</v>
      </c>
      <c r="U882" t="s">
        <v>3898</v>
      </c>
      <c r="V882" t="s">
        <v>14</v>
      </c>
      <c r="W882" t="s">
        <v>212</v>
      </c>
      <c r="X882" t="s">
        <v>212</v>
      </c>
      <c r="Y882" t="s">
        <v>275</v>
      </c>
      <c r="Z882" t="s">
        <v>213</v>
      </c>
      <c r="AA882" t="s">
        <v>214</v>
      </c>
      <c r="AB882" t="s">
        <v>701</v>
      </c>
      <c r="AC882" t="s">
        <v>242</v>
      </c>
      <c r="AD882" t="s">
        <v>3815</v>
      </c>
      <c r="AE882" t="s">
        <v>11</v>
      </c>
      <c r="AG882" s="8" t="s">
        <v>218</v>
      </c>
      <c r="AH882" t="s">
        <v>2256</v>
      </c>
      <c r="AI882" s="8" t="s">
        <v>221</v>
      </c>
      <c r="AJ882" s="9" t="s">
        <v>218</v>
      </c>
      <c r="AK882" t="s">
        <v>3899</v>
      </c>
      <c r="AL882" s="8" t="s">
        <v>221</v>
      </c>
      <c r="AM882" s="9" t="s">
        <v>218</v>
      </c>
      <c r="AN882" s="8" t="s">
        <v>221</v>
      </c>
      <c r="AO882" s="8" t="s">
        <v>222</v>
      </c>
      <c r="AP882" s="8">
        <v>0</v>
      </c>
      <c r="AQ882" s="8">
        <v>0</v>
      </c>
      <c r="AR882" s="8">
        <v>0</v>
      </c>
      <c r="AS882" s="8">
        <v>0</v>
      </c>
      <c r="AT882" s="8">
        <v>0</v>
      </c>
      <c r="AU882" s="8">
        <v>0</v>
      </c>
      <c r="AV882" s="8">
        <v>0</v>
      </c>
      <c r="AW882" s="8">
        <v>0</v>
      </c>
      <c r="AX882" s="8"/>
      <c r="AY882" s="8"/>
      <c r="AZ882">
        <v>2</v>
      </c>
      <c r="BA882" t="s">
        <v>3900</v>
      </c>
      <c r="BB882" t="s">
        <v>3901</v>
      </c>
    </row>
    <row r="883" spans="1:54">
      <c r="A883" s="6">
        <v>45863</v>
      </c>
      <c r="B883" s="7" t="s">
        <v>1772</v>
      </c>
      <c r="C883" t="s">
        <v>387</v>
      </c>
      <c r="D883" t="s">
        <v>3610</v>
      </c>
      <c r="E883" t="s">
        <v>3610</v>
      </c>
      <c r="F883" t="s">
        <v>3611</v>
      </c>
      <c r="G883" t="s">
        <v>754</v>
      </c>
      <c r="H883" s="8" t="s">
        <v>221</v>
      </c>
      <c r="I883" s="8" t="s">
        <v>221</v>
      </c>
      <c r="J883" s="9" t="s">
        <v>218</v>
      </c>
      <c r="K883" s="9" t="s">
        <v>218</v>
      </c>
      <c r="L883" s="8" t="s">
        <v>221</v>
      </c>
      <c r="M883" s="8" t="s">
        <v>221</v>
      </c>
      <c r="N883" s="8" t="s">
        <v>221</v>
      </c>
      <c r="O883" s="8" t="s">
        <v>208</v>
      </c>
      <c r="Q883" t="s">
        <v>1774</v>
      </c>
      <c r="R883" t="s">
        <v>1775</v>
      </c>
      <c r="U883" t="s">
        <v>1776</v>
      </c>
      <c r="V883" t="s">
        <v>1777</v>
      </c>
      <c r="W883" t="s">
        <v>298</v>
      </c>
      <c r="X883" t="s">
        <v>298</v>
      </c>
      <c r="Y883" t="s">
        <v>299</v>
      </c>
      <c r="Z883" t="s">
        <v>299</v>
      </c>
      <c r="AA883" t="s">
        <v>1778</v>
      </c>
      <c r="AB883" t="s">
        <v>646</v>
      </c>
      <c r="AC883" t="s">
        <v>646</v>
      </c>
      <c r="AD883" t="s">
        <v>216</v>
      </c>
      <c r="AE883" t="s">
        <v>1778</v>
      </c>
      <c r="AG883" s="8" t="s">
        <v>218</v>
      </c>
      <c r="AH883" t="s">
        <v>302</v>
      </c>
      <c r="AI883" s="9" t="s">
        <v>218</v>
      </c>
      <c r="AJ883" s="8" t="s">
        <v>221</v>
      </c>
      <c r="AK883" t="s">
        <v>234</v>
      </c>
      <c r="AL883" s="9" t="s">
        <v>218</v>
      </c>
      <c r="AM883" s="8" t="s">
        <v>221</v>
      </c>
      <c r="AN883" s="8" t="s">
        <v>221</v>
      </c>
      <c r="AO883" s="8" t="s">
        <v>222</v>
      </c>
      <c r="AP883" s="8">
        <v>0</v>
      </c>
      <c r="AQ883" s="8">
        <v>0</v>
      </c>
      <c r="AR883" s="9">
        <v>54</v>
      </c>
      <c r="AS883" s="8">
        <v>0</v>
      </c>
      <c r="AT883" s="8">
        <v>0</v>
      </c>
      <c r="AU883" s="8">
        <v>0</v>
      </c>
      <c r="AV883" s="8">
        <v>0</v>
      </c>
      <c r="AW883" s="9">
        <v>54</v>
      </c>
      <c r="AX883" s="8"/>
      <c r="AY883" s="8"/>
      <c r="AZ883">
        <v>0</v>
      </c>
      <c r="BB883" t="s">
        <v>1780</v>
      </c>
    </row>
    <row r="884" spans="1:54">
      <c r="A884" s="6">
        <v>45863</v>
      </c>
      <c r="B884" s="7" t="s">
        <v>640</v>
      </c>
      <c r="C884" t="s">
        <v>387</v>
      </c>
      <c r="D884" t="s">
        <v>3610</v>
      </c>
      <c r="E884" t="s">
        <v>3610</v>
      </c>
      <c r="F884" t="s">
        <v>3611</v>
      </c>
      <c r="G884" t="s">
        <v>754</v>
      </c>
      <c r="H884" s="8" t="s">
        <v>221</v>
      </c>
      <c r="I884" s="8" t="s">
        <v>221</v>
      </c>
      <c r="J884" s="9" t="s">
        <v>218</v>
      </c>
      <c r="K884" s="9" t="s">
        <v>218</v>
      </c>
      <c r="L884" s="8" t="s">
        <v>221</v>
      </c>
      <c r="M884" s="8" t="s">
        <v>221</v>
      </c>
      <c r="N884" s="8" t="s">
        <v>221</v>
      </c>
      <c r="O884" s="8" t="s">
        <v>208</v>
      </c>
      <c r="Q884" t="s">
        <v>641</v>
      </c>
      <c r="R884" t="s">
        <v>642</v>
      </c>
      <c r="U884" t="s">
        <v>643</v>
      </c>
      <c r="V884" t="s">
        <v>644</v>
      </c>
      <c r="W884" t="s">
        <v>298</v>
      </c>
      <c r="X884" t="s">
        <v>298</v>
      </c>
      <c r="Y884" t="s">
        <v>299</v>
      </c>
      <c r="Z884" t="s">
        <v>299</v>
      </c>
      <c r="AA884" t="s">
        <v>645</v>
      </c>
      <c r="AB884" t="s">
        <v>1327</v>
      </c>
      <c r="AC884" t="s">
        <v>1327</v>
      </c>
      <c r="AD884" t="s">
        <v>216</v>
      </c>
      <c r="AE884" t="s">
        <v>645</v>
      </c>
      <c r="AG884" s="8" t="s">
        <v>218</v>
      </c>
      <c r="AH884" t="s">
        <v>302</v>
      </c>
      <c r="AI884" s="9" t="s">
        <v>218</v>
      </c>
      <c r="AJ884" s="8" t="s">
        <v>221</v>
      </c>
      <c r="AK884" t="s">
        <v>234</v>
      </c>
      <c r="AL884" s="9" t="s">
        <v>218</v>
      </c>
      <c r="AM884" s="8" t="s">
        <v>221</v>
      </c>
      <c r="AN884" s="8" t="s">
        <v>221</v>
      </c>
      <c r="AO884" s="8" t="s">
        <v>222</v>
      </c>
      <c r="AP884" s="8">
        <v>0</v>
      </c>
      <c r="AQ884" s="8">
        <v>0</v>
      </c>
      <c r="AR884" s="9">
        <v>48</v>
      </c>
      <c r="AS884" s="8">
        <v>0</v>
      </c>
      <c r="AT884" s="8">
        <v>0</v>
      </c>
      <c r="AU884" s="8">
        <v>0</v>
      </c>
      <c r="AV884" s="8">
        <v>0</v>
      </c>
      <c r="AW884" s="9">
        <v>48</v>
      </c>
      <c r="AX884" s="8"/>
      <c r="AY884" s="8"/>
      <c r="AZ884">
        <v>0</v>
      </c>
      <c r="BB884" t="s">
        <v>647</v>
      </c>
    </row>
    <row r="885" spans="1:54">
      <c r="A885" s="6">
        <v>45863</v>
      </c>
      <c r="B885" s="7" t="s">
        <v>3591</v>
      </c>
      <c r="C885" t="s">
        <v>687</v>
      </c>
      <c r="D885" t="s">
        <v>3610</v>
      </c>
      <c r="E885" t="s">
        <v>3610</v>
      </c>
      <c r="F885" t="s">
        <v>3611</v>
      </c>
      <c r="G885" t="s">
        <v>754</v>
      </c>
      <c r="H885" s="8" t="s">
        <v>221</v>
      </c>
      <c r="I885" s="8" t="s">
        <v>221</v>
      </c>
      <c r="J885" s="9" t="s">
        <v>218</v>
      </c>
      <c r="K885" s="9" t="s">
        <v>218</v>
      </c>
      <c r="L885" s="8" t="s">
        <v>208</v>
      </c>
      <c r="M885" s="8" t="s">
        <v>208</v>
      </c>
      <c r="N885" s="8" t="s">
        <v>221</v>
      </c>
      <c r="O885" s="8" t="s">
        <v>208</v>
      </c>
      <c r="Q885" t="s">
        <v>3593</v>
      </c>
      <c r="R885" t="s">
        <v>3594</v>
      </c>
      <c r="U885" t="s">
        <v>16</v>
      </c>
      <c r="V885" t="s">
        <v>14</v>
      </c>
      <c r="W885" t="s">
        <v>232</v>
      </c>
      <c r="X885" t="s">
        <v>232</v>
      </c>
      <c r="Y885" t="s">
        <v>765</v>
      </c>
      <c r="Z885" t="s">
        <v>765</v>
      </c>
      <c r="AA885" t="s">
        <v>214</v>
      </c>
      <c r="AB885" t="s">
        <v>681</v>
      </c>
      <c r="AC885" t="s">
        <v>1335</v>
      </c>
      <c r="AD885" t="s">
        <v>3595</v>
      </c>
      <c r="AE885" t="s">
        <v>11</v>
      </c>
      <c r="AG885" s="8" t="s">
        <v>218</v>
      </c>
      <c r="AH885" t="s">
        <v>2256</v>
      </c>
      <c r="AI885" s="8" t="s">
        <v>221</v>
      </c>
      <c r="AJ885" s="9" t="s">
        <v>218</v>
      </c>
      <c r="AK885" t="s">
        <v>234</v>
      </c>
      <c r="AL885" s="9" t="s">
        <v>218</v>
      </c>
      <c r="AM885" s="8" t="s">
        <v>221</v>
      </c>
      <c r="AN885" s="8" t="s">
        <v>221</v>
      </c>
      <c r="AO885" s="8" t="s">
        <v>222</v>
      </c>
      <c r="AP885" s="8">
        <v>0</v>
      </c>
      <c r="AQ885" s="8">
        <v>0</v>
      </c>
      <c r="AR885" s="8">
        <v>0</v>
      </c>
      <c r="AS885" s="8">
        <v>0</v>
      </c>
      <c r="AT885" s="8">
        <v>0</v>
      </c>
      <c r="AU885" s="8">
        <v>0</v>
      </c>
      <c r="AV885" s="8">
        <v>0</v>
      </c>
      <c r="AW885" s="8">
        <v>0</v>
      </c>
      <c r="AX885" s="8"/>
      <c r="AY885" s="8"/>
      <c r="AZ885">
        <v>0</v>
      </c>
      <c r="BB885" t="s">
        <v>3597</v>
      </c>
    </row>
    <row r="886" spans="1:54">
      <c r="A886" s="6">
        <v>45863</v>
      </c>
      <c r="B886" s="7" t="s">
        <v>3902</v>
      </c>
      <c r="C886" t="s">
        <v>687</v>
      </c>
      <c r="D886" t="s">
        <v>3610</v>
      </c>
      <c r="E886" t="s">
        <v>3610</v>
      </c>
      <c r="F886" t="s">
        <v>3611</v>
      </c>
      <c r="G886" t="s">
        <v>754</v>
      </c>
      <c r="H886" s="8" t="s">
        <v>221</v>
      </c>
      <c r="I886" s="8" t="s">
        <v>221</v>
      </c>
      <c r="J886" s="9" t="s">
        <v>218</v>
      </c>
      <c r="K886" s="9" t="s">
        <v>218</v>
      </c>
      <c r="L886" s="8" t="s">
        <v>208</v>
      </c>
      <c r="M886" s="8" t="s">
        <v>208</v>
      </c>
      <c r="N886" s="8" t="s">
        <v>221</v>
      </c>
      <c r="O886" s="8" t="s">
        <v>208</v>
      </c>
      <c r="Q886" t="s">
        <v>3903</v>
      </c>
      <c r="R886" t="s">
        <v>3904</v>
      </c>
      <c r="U886" t="s">
        <v>3905</v>
      </c>
      <c r="V886" t="s">
        <v>2804</v>
      </c>
      <c r="W886" t="s">
        <v>232</v>
      </c>
      <c r="Y886" t="s">
        <v>765</v>
      </c>
      <c r="Z886" t="s">
        <v>766</v>
      </c>
      <c r="AA886" t="s">
        <v>3629</v>
      </c>
      <c r="AB886" s="9" t="s">
        <v>242</v>
      </c>
      <c r="AC886" s="9" t="s">
        <v>312</v>
      </c>
      <c r="AD886" t="s">
        <v>3815</v>
      </c>
      <c r="AE886" t="s">
        <v>11</v>
      </c>
      <c r="AG886" s="8" t="s">
        <v>218</v>
      </c>
      <c r="AH886" t="s">
        <v>2256</v>
      </c>
      <c r="AI886" s="8" t="s">
        <v>221</v>
      </c>
      <c r="AJ886" s="9" t="s">
        <v>218</v>
      </c>
      <c r="AK886" t="s">
        <v>3503</v>
      </c>
      <c r="AL886" s="9" t="s">
        <v>218</v>
      </c>
      <c r="AM886" s="8" t="s">
        <v>221</v>
      </c>
      <c r="AN886" s="8" t="s">
        <v>221</v>
      </c>
      <c r="AO886" s="8" t="s">
        <v>222</v>
      </c>
      <c r="AP886" s="8">
        <v>0</v>
      </c>
      <c r="AQ886" s="8">
        <v>0</v>
      </c>
      <c r="AR886" s="8">
        <v>0</v>
      </c>
      <c r="AS886" s="8">
        <v>0</v>
      </c>
      <c r="AT886" s="8">
        <v>0</v>
      </c>
      <c r="AU886" s="8">
        <v>0</v>
      </c>
      <c r="AV886" s="8">
        <v>0</v>
      </c>
      <c r="AW886" s="8">
        <v>0</v>
      </c>
      <c r="AX886" s="9" t="s">
        <v>3906</v>
      </c>
      <c r="AY886" s="8"/>
      <c r="AZ886">
        <v>0</v>
      </c>
      <c r="BB886" t="s">
        <v>3907</v>
      </c>
    </row>
    <row r="887" spans="1:54">
      <c r="A887" s="6">
        <v>45863</v>
      </c>
      <c r="B887" s="7" t="s">
        <v>3908</v>
      </c>
      <c r="C887" t="s">
        <v>291</v>
      </c>
      <c r="D887" t="s">
        <v>3136</v>
      </c>
      <c r="E887" t="s">
        <v>3136</v>
      </c>
      <c r="F887" t="s">
        <v>3137</v>
      </c>
      <c r="G887" t="s">
        <v>294</v>
      </c>
      <c r="H887" s="8" t="s">
        <v>221</v>
      </c>
      <c r="I887" s="8" t="s">
        <v>221</v>
      </c>
      <c r="J887" s="8" t="s">
        <v>221</v>
      </c>
      <c r="K887" s="8" t="s">
        <v>221</v>
      </c>
      <c r="L887" s="8" t="s">
        <v>208</v>
      </c>
      <c r="M887" s="8" t="s">
        <v>208</v>
      </c>
      <c r="N887" s="8" t="s">
        <v>221</v>
      </c>
      <c r="O887" s="8" t="s">
        <v>221</v>
      </c>
      <c r="Q887" t="s">
        <v>3909</v>
      </c>
      <c r="R887" t="s">
        <v>3910</v>
      </c>
      <c r="U887" t="s">
        <v>3911</v>
      </c>
      <c r="V887" t="s">
        <v>30</v>
      </c>
      <c r="W887" t="s">
        <v>298</v>
      </c>
      <c r="X887" t="s">
        <v>298</v>
      </c>
      <c r="Y887" t="s">
        <v>1103</v>
      </c>
      <c r="Z887" t="s">
        <v>299</v>
      </c>
      <c r="AA887" t="s">
        <v>300</v>
      </c>
      <c r="AB887" t="s">
        <v>391</v>
      </c>
      <c r="AC887" t="s">
        <v>425</v>
      </c>
      <c r="AD887" t="s">
        <v>3912</v>
      </c>
      <c r="AE887" t="s">
        <v>300</v>
      </c>
      <c r="AG887" s="8" t="s">
        <v>218</v>
      </c>
      <c r="AH887" t="s">
        <v>2283</v>
      </c>
      <c r="AI887" s="8" t="s">
        <v>221</v>
      </c>
      <c r="AJ887" s="8" t="s">
        <v>221</v>
      </c>
      <c r="AK887" t="s">
        <v>400</v>
      </c>
      <c r="AL887" s="8" t="s">
        <v>221</v>
      </c>
      <c r="AM887" s="9" t="s">
        <v>218</v>
      </c>
      <c r="AN887" s="8" t="s">
        <v>221</v>
      </c>
      <c r="AO887" s="8" t="s">
        <v>222</v>
      </c>
      <c r="AP887" s="8">
        <v>0</v>
      </c>
      <c r="AQ887" s="8">
        <v>0</v>
      </c>
      <c r="AR887" s="8">
        <v>0</v>
      </c>
      <c r="AS887" s="8">
        <v>0</v>
      </c>
      <c r="AT887" s="8">
        <v>0</v>
      </c>
      <c r="AU887" s="8">
        <v>0</v>
      </c>
      <c r="AV887" s="8">
        <v>0</v>
      </c>
      <c r="AW887" s="8">
        <v>0</v>
      </c>
      <c r="AX887" s="8"/>
      <c r="AY887" s="8"/>
      <c r="AZ887">
        <v>3</v>
      </c>
      <c r="BA887" t="s">
        <v>3913</v>
      </c>
      <c r="BB887" t="s">
        <v>3914</v>
      </c>
    </row>
    <row r="888" spans="1:54">
      <c r="A888" s="6">
        <v>45863</v>
      </c>
      <c r="B888" s="7" t="s">
        <v>3915</v>
      </c>
      <c r="C888" t="s">
        <v>308</v>
      </c>
      <c r="D888" t="s">
        <v>3136</v>
      </c>
      <c r="E888" t="s">
        <v>3136</v>
      </c>
      <c r="F888" t="s">
        <v>3137</v>
      </c>
      <c r="G888" t="s">
        <v>294</v>
      </c>
      <c r="H888" s="8" t="s">
        <v>221</v>
      </c>
      <c r="I888" s="8" t="s">
        <v>221</v>
      </c>
      <c r="J888" s="8" t="s">
        <v>221</v>
      </c>
      <c r="K888" s="8" t="s">
        <v>221</v>
      </c>
      <c r="L888" s="8" t="s">
        <v>208</v>
      </c>
      <c r="M888" s="8" t="s">
        <v>208</v>
      </c>
      <c r="N888" s="8" t="s">
        <v>221</v>
      </c>
      <c r="O888" s="8" t="s">
        <v>221</v>
      </c>
      <c r="Q888" t="s">
        <v>3916</v>
      </c>
      <c r="R888" t="s">
        <v>3917</v>
      </c>
      <c r="U888" t="s">
        <v>3918</v>
      </c>
      <c r="V888" t="s">
        <v>30</v>
      </c>
      <c r="W888" t="s">
        <v>298</v>
      </c>
      <c r="Y888" t="s">
        <v>1082</v>
      </c>
      <c r="AA888" t="s">
        <v>300</v>
      </c>
      <c r="AB888" t="s">
        <v>312</v>
      </c>
      <c r="AD888" t="s">
        <v>3912</v>
      </c>
      <c r="AE888" t="s">
        <v>300</v>
      </c>
      <c r="AG888" s="8" t="s">
        <v>218</v>
      </c>
      <c r="AH888" t="s">
        <v>2283</v>
      </c>
      <c r="AI888" s="8" t="s">
        <v>221</v>
      </c>
      <c r="AJ888" s="8" t="s">
        <v>221</v>
      </c>
      <c r="AK888" t="s">
        <v>3919</v>
      </c>
      <c r="AL888" s="8" t="s">
        <v>221</v>
      </c>
      <c r="AM888" s="9" t="s">
        <v>218</v>
      </c>
      <c r="AN888" s="8" t="s">
        <v>221</v>
      </c>
      <c r="AO888" s="9" t="s">
        <v>1086</v>
      </c>
      <c r="AP888" s="8">
        <v>0</v>
      </c>
      <c r="AQ888" s="8">
        <v>0</v>
      </c>
      <c r="AR888" s="8">
        <v>0</v>
      </c>
      <c r="AS888" s="8">
        <v>0</v>
      </c>
      <c r="AT888" s="8">
        <v>0</v>
      </c>
      <c r="AU888" s="8">
        <v>0</v>
      </c>
      <c r="AV888" s="8">
        <v>0</v>
      </c>
      <c r="AW888" s="8">
        <v>0</v>
      </c>
      <c r="AX888" s="8"/>
      <c r="AY888" s="8"/>
      <c r="AZ888">
        <v>0</v>
      </c>
    </row>
    <row r="889" spans="1:54">
      <c r="A889" s="6">
        <v>45863</v>
      </c>
      <c r="B889" s="7" t="s">
        <v>395</v>
      </c>
      <c r="C889" t="s">
        <v>387</v>
      </c>
      <c r="D889" t="s">
        <v>3136</v>
      </c>
      <c r="E889" t="s">
        <v>3136</v>
      </c>
      <c r="F889" t="s">
        <v>3137</v>
      </c>
      <c r="G889" t="s">
        <v>294</v>
      </c>
      <c r="H889" s="8" t="s">
        <v>221</v>
      </c>
      <c r="I889" s="8" t="s">
        <v>221</v>
      </c>
      <c r="J889" s="8" t="s">
        <v>221</v>
      </c>
      <c r="K889" s="8" t="s">
        <v>221</v>
      </c>
      <c r="L889" s="8" t="s">
        <v>208</v>
      </c>
      <c r="M889" s="8" t="s">
        <v>208</v>
      </c>
      <c r="N889" s="8" t="s">
        <v>221</v>
      </c>
      <c r="O889" s="8" t="s">
        <v>208</v>
      </c>
      <c r="Q889" t="s">
        <v>396</v>
      </c>
      <c r="R889" t="s">
        <v>397</v>
      </c>
      <c r="U889" t="s">
        <v>398</v>
      </c>
      <c r="V889" t="s">
        <v>30</v>
      </c>
      <c r="W889" t="s">
        <v>298</v>
      </c>
      <c r="X889" t="s">
        <v>298</v>
      </c>
      <c r="Y889" t="s">
        <v>1103</v>
      </c>
      <c r="Z889" t="s">
        <v>299</v>
      </c>
      <c r="AA889" t="s">
        <v>300</v>
      </c>
      <c r="AB889" t="s">
        <v>827</v>
      </c>
      <c r="AC889" t="s">
        <v>399</v>
      </c>
      <c r="AD889" t="s">
        <v>3912</v>
      </c>
      <c r="AE889" t="s">
        <v>300</v>
      </c>
      <c r="AG889" s="8" t="s">
        <v>218</v>
      </c>
      <c r="AH889" t="s">
        <v>2283</v>
      </c>
      <c r="AI889" s="8" t="s">
        <v>221</v>
      </c>
      <c r="AJ889" s="8" t="s">
        <v>221</v>
      </c>
      <c r="AK889" t="s">
        <v>400</v>
      </c>
      <c r="AL889" s="8" t="s">
        <v>221</v>
      </c>
      <c r="AM889" s="9" t="s">
        <v>218</v>
      </c>
      <c r="AN889" s="8" t="s">
        <v>221</v>
      </c>
      <c r="AO889" s="8" t="s">
        <v>222</v>
      </c>
      <c r="AP889" s="8">
        <v>0</v>
      </c>
      <c r="AQ889" s="8">
        <v>0</v>
      </c>
      <c r="AR889" s="8">
        <v>0</v>
      </c>
      <c r="AS889" s="8">
        <v>0</v>
      </c>
      <c r="AT889" s="8">
        <v>0</v>
      </c>
      <c r="AU889" s="8">
        <v>0</v>
      </c>
      <c r="AV889" s="8">
        <v>0</v>
      </c>
      <c r="AW889" s="8">
        <v>0</v>
      </c>
      <c r="AX889" s="8"/>
      <c r="AY889" s="8"/>
      <c r="AZ889">
        <v>2</v>
      </c>
      <c r="BA889" t="s">
        <v>3920</v>
      </c>
      <c r="BB889" t="s">
        <v>402</v>
      </c>
    </row>
    <row r="890" spans="1:54">
      <c r="A890" s="6">
        <v>45863</v>
      </c>
      <c r="B890" s="7" t="s">
        <v>599</v>
      </c>
      <c r="C890" t="s">
        <v>387</v>
      </c>
      <c r="D890" t="s">
        <v>3136</v>
      </c>
      <c r="E890" t="s">
        <v>3136</v>
      </c>
      <c r="F890" t="s">
        <v>3137</v>
      </c>
      <c r="G890" t="s">
        <v>294</v>
      </c>
      <c r="H890" s="8" t="s">
        <v>221</v>
      </c>
      <c r="I890" s="8" t="s">
        <v>221</v>
      </c>
      <c r="J890" s="8" t="s">
        <v>221</v>
      </c>
      <c r="K890" s="8" t="s">
        <v>221</v>
      </c>
      <c r="L890" s="8" t="s">
        <v>208</v>
      </c>
      <c r="M890" s="8" t="s">
        <v>208</v>
      </c>
      <c r="N890" s="8" t="s">
        <v>221</v>
      </c>
      <c r="O890" s="8" t="s">
        <v>208</v>
      </c>
      <c r="Q890" t="s">
        <v>600</v>
      </c>
      <c r="R890" t="s">
        <v>601</v>
      </c>
      <c r="U890" t="s">
        <v>602</v>
      </c>
      <c r="V890" t="s">
        <v>30</v>
      </c>
      <c r="W890" t="s">
        <v>298</v>
      </c>
      <c r="X890" t="s">
        <v>298</v>
      </c>
      <c r="Y890" t="s">
        <v>1103</v>
      </c>
      <c r="Z890" t="s">
        <v>299</v>
      </c>
      <c r="AA890" t="s">
        <v>300</v>
      </c>
      <c r="AB890" t="s">
        <v>417</v>
      </c>
      <c r="AC890" t="s">
        <v>603</v>
      </c>
      <c r="AD890" t="s">
        <v>3912</v>
      </c>
      <c r="AE890" t="s">
        <v>300</v>
      </c>
      <c r="AG890" s="8" t="s">
        <v>218</v>
      </c>
      <c r="AH890" t="s">
        <v>2283</v>
      </c>
      <c r="AI890" s="8" t="s">
        <v>221</v>
      </c>
      <c r="AJ890" s="8" t="s">
        <v>221</v>
      </c>
      <c r="AK890" t="s">
        <v>400</v>
      </c>
      <c r="AL890" s="8" t="s">
        <v>221</v>
      </c>
      <c r="AM890" s="9" t="s">
        <v>218</v>
      </c>
      <c r="AN890" s="8" t="s">
        <v>221</v>
      </c>
      <c r="AO890" s="8" t="s">
        <v>222</v>
      </c>
      <c r="AP890" s="8">
        <v>0</v>
      </c>
      <c r="AQ890" s="8">
        <v>0</v>
      </c>
      <c r="AR890" s="8">
        <v>0</v>
      </c>
      <c r="AS890" s="8">
        <v>0</v>
      </c>
      <c r="AT890" s="8">
        <v>0</v>
      </c>
      <c r="AU890" s="8">
        <v>0</v>
      </c>
      <c r="AV890" s="8">
        <v>0</v>
      </c>
      <c r="AW890" s="8">
        <v>0</v>
      </c>
      <c r="AX890" s="8"/>
      <c r="AY890" s="8"/>
      <c r="AZ890">
        <v>2</v>
      </c>
      <c r="BA890" t="s">
        <v>3921</v>
      </c>
      <c r="BB890" t="s">
        <v>604</v>
      </c>
    </row>
    <row r="891" spans="1:54">
      <c r="A891" s="6">
        <v>45863</v>
      </c>
      <c r="B891" s="7" t="s">
        <v>3922</v>
      </c>
      <c r="C891" t="s">
        <v>387</v>
      </c>
      <c r="D891" t="s">
        <v>3136</v>
      </c>
      <c r="E891" t="s">
        <v>3136</v>
      </c>
      <c r="F891" t="s">
        <v>3137</v>
      </c>
      <c r="G891" t="s">
        <v>294</v>
      </c>
      <c r="H891" s="8" t="s">
        <v>221</v>
      </c>
      <c r="I891" s="8" t="s">
        <v>221</v>
      </c>
      <c r="J891" s="8" t="s">
        <v>221</v>
      </c>
      <c r="K891" s="8" t="s">
        <v>221</v>
      </c>
      <c r="L891" s="8" t="s">
        <v>208</v>
      </c>
      <c r="M891" s="8" t="s">
        <v>208</v>
      </c>
      <c r="N891" s="8" t="s">
        <v>221</v>
      </c>
      <c r="O891" s="8" t="s">
        <v>208</v>
      </c>
      <c r="Q891" t="s">
        <v>3923</v>
      </c>
      <c r="R891" t="s">
        <v>3924</v>
      </c>
      <c r="U891" t="s">
        <v>3925</v>
      </c>
      <c r="V891" t="s">
        <v>30</v>
      </c>
      <c r="W891" t="s">
        <v>298</v>
      </c>
      <c r="X891" t="s">
        <v>298</v>
      </c>
      <c r="Y891" t="s">
        <v>1103</v>
      </c>
      <c r="Z891" t="s">
        <v>299</v>
      </c>
      <c r="AA891" t="s">
        <v>300</v>
      </c>
      <c r="AB891" t="s">
        <v>417</v>
      </c>
      <c r="AC891" t="s">
        <v>603</v>
      </c>
      <c r="AD891" t="s">
        <v>3912</v>
      </c>
      <c r="AE891" t="s">
        <v>300</v>
      </c>
      <c r="AG891" s="8" t="s">
        <v>218</v>
      </c>
      <c r="AH891" t="s">
        <v>2283</v>
      </c>
      <c r="AI891" s="8" t="s">
        <v>221</v>
      </c>
      <c r="AJ891" s="8" t="s">
        <v>221</v>
      </c>
      <c r="AK891" t="s">
        <v>400</v>
      </c>
      <c r="AL891" s="8" t="s">
        <v>221</v>
      </c>
      <c r="AM891" s="9" t="s">
        <v>218</v>
      </c>
      <c r="AN891" s="8" t="s">
        <v>221</v>
      </c>
      <c r="AO891" s="8" t="s">
        <v>222</v>
      </c>
      <c r="AP891" s="8">
        <v>0</v>
      </c>
      <c r="AQ891" s="8">
        <v>0</v>
      </c>
      <c r="AR891" s="8">
        <v>0</v>
      </c>
      <c r="AS891" s="8">
        <v>0</v>
      </c>
      <c r="AT891" s="8">
        <v>0</v>
      </c>
      <c r="AU891" s="8">
        <v>0</v>
      </c>
      <c r="AV891" s="8">
        <v>0</v>
      </c>
      <c r="AW891" s="8">
        <v>0</v>
      </c>
      <c r="AX891" s="8"/>
      <c r="AY891" s="8"/>
      <c r="AZ891">
        <v>2</v>
      </c>
      <c r="BA891" t="s">
        <v>3926</v>
      </c>
      <c r="BB891" t="s">
        <v>3927</v>
      </c>
    </row>
    <row r="892" spans="1:54">
      <c r="A892" s="6">
        <v>45863</v>
      </c>
      <c r="B892" s="7" t="s">
        <v>618</v>
      </c>
      <c r="C892" t="s">
        <v>387</v>
      </c>
      <c r="D892" t="s">
        <v>3136</v>
      </c>
      <c r="E892" t="s">
        <v>3136</v>
      </c>
      <c r="F892" t="s">
        <v>3137</v>
      </c>
      <c r="G892" t="s">
        <v>294</v>
      </c>
      <c r="H892" s="8" t="s">
        <v>221</v>
      </c>
      <c r="I892" s="8" t="s">
        <v>221</v>
      </c>
      <c r="J892" s="8" t="s">
        <v>221</v>
      </c>
      <c r="K892" s="8" t="s">
        <v>221</v>
      </c>
      <c r="L892" s="8" t="s">
        <v>208</v>
      </c>
      <c r="M892" s="8" t="s">
        <v>208</v>
      </c>
      <c r="N892" s="8" t="s">
        <v>221</v>
      </c>
      <c r="O892" s="8" t="s">
        <v>208</v>
      </c>
      <c r="Q892" t="s">
        <v>619</v>
      </c>
      <c r="R892" t="s">
        <v>620</v>
      </c>
      <c r="U892" t="s">
        <v>621</v>
      </c>
      <c r="V892" t="s">
        <v>30</v>
      </c>
      <c r="W892" t="s">
        <v>298</v>
      </c>
      <c r="X892" t="s">
        <v>298</v>
      </c>
      <c r="Y892" t="s">
        <v>1103</v>
      </c>
      <c r="Z892" t="s">
        <v>299</v>
      </c>
      <c r="AA892" t="s">
        <v>300</v>
      </c>
      <c r="AB892" t="s">
        <v>538</v>
      </c>
      <c r="AC892" t="s">
        <v>417</v>
      </c>
      <c r="AD892" t="s">
        <v>3912</v>
      </c>
      <c r="AE892" t="s">
        <v>300</v>
      </c>
      <c r="AG892" s="8" t="s">
        <v>218</v>
      </c>
      <c r="AH892" t="s">
        <v>2283</v>
      </c>
      <c r="AI892" s="8" t="s">
        <v>221</v>
      </c>
      <c r="AJ892" s="8" t="s">
        <v>221</v>
      </c>
      <c r="AK892" t="s">
        <v>400</v>
      </c>
      <c r="AL892" s="8" t="s">
        <v>221</v>
      </c>
      <c r="AM892" s="9" t="s">
        <v>218</v>
      </c>
      <c r="AN892" s="8" t="s">
        <v>221</v>
      </c>
      <c r="AO892" s="8" t="s">
        <v>222</v>
      </c>
      <c r="AP892" s="8">
        <v>0</v>
      </c>
      <c r="AQ892" s="8">
        <v>0</v>
      </c>
      <c r="AR892" s="8">
        <v>0</v>
      </c>
      <c r="AS892" s="8">
        <v>0</v>
      </c>
      <c r="AT892" s="8">
        <v>0</v>
      </c>
      <c r="AU892" s="8">
        <v>0</v>
      </c>
      <c r="AV892" s="8">
        <v>0</v>
      </c>
      <c r="AW892" s="8">
        <v>0</v>
      </c>
      <c r="AX892" s="8"/>
      <c r="AY892" s="8"/>
      <c r="AZ892">
        <v>2</v>
      </c>
      <c r="BA892" t="s">
        <v>3928</v>
      </c>
      <c r="BB892" t="s">
        <v>622</v>
      </c>
    </row>
    <row r="893" spans="1:54">
      <c r="A893" s="6">
        <v>45863</v>
      </c>
      <c r="B893" s="7" t="s">
        <v>413</v>
      </c>
      <c r="C893" t="s">
        <v>387</v>
      </c>
      <c r="D893" t="s">
        <v>3136</v>
      </c>
      <c r="E893" t="s">
        <v>3136</v>
      </c>
      <c r="F893" t="s">
        <v>3137</v>
      </c>
      <c r="G893" t="s">
        <v>294</v>
      </c>
      <c r="H893" s="8" t="s">
        <v>221</v>
      </c>
      <c r="I893" s="8" t="s">
        <v>221</v>
      </c>
      <c r="J893" s="8" t="s">
        <v>221</v>
      </c>
      <c r="K893" s="8" t="s">
        <v>221</v>
      </c>
      <c r="L893" s="8" t="s">
        <v>208</v>
      </c>
      <c r="M893" s="8" t="s">
        <v>208</v>
      </c>
      <c r="N893" s="8" t="s">
        <v>221</v>
      </c>
      <c r="O893" s="8" t="s">
        <v>208</v>
      </c>
      <c r="Q893" t="s">
        <v>414</v>
      </c>
      <c r="R893" t="s">
        <v>415</v>
      </c>
      <c r="U893" t="s">
        <v>416</v>
      </c>
      <c r="V893" t="s">
        <v>30</v>
      </c>
      <c r="W893" t="s">
        <v>298</v>
      </c>
      <c r="X893" t="s">
        <v>298</v>
      </c>
      <c r="Y893" t="s">
        <v>1103</v>
      </c>
      <c r="Z893" t="s">
        <v>299</v>
      </c>
      <c r="AA893" t="s">
        <v>300</v>
      </c>
      <c r="AB893" t="s">
        <v>538</v>
      </c>
      <c r="AC893" t="s">
        <v>417</v>
      </c>
      <c r="AD893" t="s">
        <v>3912</v>
      </c>
      <c r="AE893" t="s">
        <v>300</v>
      </c>
      <c r="AG893" s="8" t="s">
        <v>218</v>
      </c>
      <c r="AH893" t="s">
        <v>2283</v>
      </c>
      <c r="AI893" s="8" t="s">
        <v>221</v>
      </c>
      <c r="AJ893" s="8" t="s">
        <v>221</v>
      </c>
      <c r="AK893" t="s">
        <v>400</v>
      </c>
      <c r="AL893" s="8" t="s">
        <v>221</v>
      </c>
      <c r="AM893" s="9" t="s">
        <v>218</v>
      </c>
      <c r="AN893" s="8" t="s">
        <v>221</v>
      </c>
      <c r="AO893" s="8" t="s">
        <v>222</v>
      </c>
      <c r="AP893" s="8">
        <v>0</v>
      </c>
      <c r="AQ893" s="8">
        <v>0</v>
      </c>
      <c r="AR893" s="8">
        <v>0</v>
      </c>
      <c r="AS893" s="8">
        <v>0</v>
      </c>
      <c r="AT893" s="8">
        <v>0</v>
      </c>
      <c r="AU893" s="8">
        <v>0</v>
      </c>
      <c r="AV893" s="8">
        <v>0</v>
      </c>
      <c r="AW893" s="8">
        <v>0</v>
      </c>
      <c r="AX893" s="8"/>
      <c r="AY893" s="8"/>
      <c r="AZ893">
        <v>2</v>
      </c>
      <c r="BA893" t="s">
        <v>3929</v>
      </c>
      <c r="BB893" t="s">
        <v>419</v>
      </c>
    </row>
    <row r="894" spans="1:54">
      <c r="A894" s="6">
        <v>45863</v>
      </c>
      <c r="B894" s="7" t="s">
        <v>720</v>
      </c>
      <c r="C894" t="s">
        <v>387</v>
      </c>
      <c r="D894" t="s">
        <v>3136</v>
      </c>
      <c r="E894" t="s">
        <v>3136</v>
      </c>
      <c r="F894" t="s">
        <v>3137</v>
      </c>
      <c r="G894" t="s">
        <v>294</v>
      </c>
      <c r="H894" s="8" t="s">
        <v>221</v>
      </c>
      <c r="I894" s="8" t="s">
        <v>221</v>
      </c>
      <c r="J894" s="8" t="s">
        <v>221</v>
      </c>
      <c r="K894" s="8" t="s">
        <v>221</v>
      </c>
      <c r="L894" s="8" t="s">
        <v>208</v>
      </c>
      <c r="M894" s="8" t="s">
        <v>208</v>
      </c>
      <c r="N894" s="8" t="s">
        <v>221</v>
      </c>
      <c r="O894" s="8" t="s">
        <v>208</v>
      </c>
      <c r="Q894" t="s">
        <v>721</v>
      </c>
      <c r="R894" t="s">
        <v>722</v>
      </c>
      <c r="U894" t="s">
        <v>723</v>
      </c>
      <c r="V894" t="s">
        <v>30</v>
      </c>
      <c r="W894" t="s">
        <v>298</v>
      </c>
      <c r="X894" t="s">
        <v>298</v>
      </c>
      <c r="Y894" t="s">
        <v>1103</v>
      </c>
      <c r="Z894" t="s">
        <v>299</v>
      </c>
      <c r="AA894" t="s">
        <v>300</v>
      </c>
      <c r="AB894" t="s">
        <v>603</v>
      </c>
      <c r="AC894" t="s">
        <v>408</v>
      </c>
      <c r="AD894" t="s">
        <v>3912</v>
      </c>
      <c r="AE894" t="s">
        <v>300</v>
      </c>
      <c r="AG894" s="8" t="s">
        <v>218</v>
      </c>
      <c r="AH894" t="s">
        <v>2283</v>
      </c>
      <c r="AI894" s="8" t="s">
        <v>221</v>
      </c>
      <c r="AJ894" s="8" t="s">
        <v>221</v>
      </c>
      <c r="AK894" t="s">
        <v>725</v>
      </c>
      <c r="AL894" s="8" t="s">
        <v>221</v>
      </c>
      <c r="AM894" s="9" t="s">
        <v>218</v>
      </c>
      <c r="AN894" s="8" t="s">
        <v>221</v>
      </c>
      <c r="AO894" s="8" t="s">
        <v>222</v>
      </c>
      <c r="AP894" s="8">
        <v>0</v>
      </c>
      <c r="AQ894" s="8">
        <v>0</v>
      </c>
      <c r="AR894" s="9">
        <v>13</v>
      </c>
      <c r="AS894" s="8">
        <v>0</v>
      </c>
      <c r="AT894" s="8">
        <v>0</v>
      </c>
      <c r="AU894" s="8">
        <v>0</v>
      </c>
      <c r="AV894" s="8">
        <v>0</v>
      </c>
      <c r="AW894" s="9">
        <v>13</v>
      </c>
      <c r="AX894" s="8"/>
      <c r="AY894" s="8"/>
      <c r="AZ894">
        <v>2</v>
      </c>
      <c r="BA894" t="s">
        <v>3930</v>
      </c>
      <c r="BB894" t="s">
        <v>726</v>
      </c>
    </row>
    <row r="895" spans="1:54">
      <c r="A895" s="6">
        <v>45863</v>
      </c>
      <c r="B895" s="7" t="s">
        <v>3931</v>
      </c>
      <c r="C895" t="s">
        <v>387</v>
      </c>
      <c r="D895" t="s">
        <v>3136</v>
      </c>
      <c r="E895" t="s">
        <v>3136</v>
      </c>
      <c r="F895" t="s">
        <v>3137</v>
      </c>
      <c r="G895" t="s">
        <v>294</v>
      </c>
      <c r="H895" s="8" t="s">
        <v>221</v>
      </c>
      <c r="I895" s="8" t="s">
        <v>221</v>
      </c>
      <c r="J895" s="8" t="s">
        <v>221</v>
      </c>
      <c r="K895" s="8" t="s">
        <v>221</v>
      </c>
      <c r="L895" s="8" t="s">
        <v>208</v>
      </c>
      <c r="M895" s="8" t="s">
        <v>208</v>
      </c>
      <c r="N895" s="8" t="s">
        <v>221</v>
      </c>
      <c r="O895" s="8" t="s">
        <v>208</v>
      </c>
      <c r="Q895" t="s">
        <v>3932</v>
      </c>
      <c r="R895" t="s">
        <v>3933</v>
      </c>
      <c r="U895" t="s">
        <v>3934</v>
      </c>
      <c r="V895" t="s">
        <v>2871</v>
      </c>
      <c r="W895" t="s">
        <v>298</v>
      </c>
      <c r="X895" t="s">
        <v>298</v>
      </c>
      <c r="Y895" t="s">
        <v>1103</v>
      </c>
      <c r="Z895" t="s">
        <v>299</v>
      </c>
      <c r="AA895" t="s">
        <v>645</v>
      </c>
      <c r="AB895" t="s">
        <v>399</v>
      </c>
      <c r="AC895" t="s">
        <v>1480</v>
      </c>
      <c r="AD895" t="s">
        <v>3912</v>
      </c>
      <c r="AE895" t="s">
        <v>645</v>
      </c>
      <c r="AG895" s="8" t="s">
        <v>218</v>
      </c>
      <c r="AH895" t="s">
        <v>2283</v>
      </c>
      <c r="AI895" s="8" t="s">
        <v>221</v>
      </c>
      <c r="AJ895" s="8" t="s">
        <v>221</v>
      </c>
      <c r="AK895" t="s">
        <v>234</v>
      </c>
      <c r="AL895" s="8" t="s">
        <v>221</v>
      </c>
      <c r="AM895" s="9" t="s">
        <v>218</v>
      </c>
      <c r="AN895" s="8" t="s">
        <v>221</v>
      </c>
      <c r="AO895" s="8" t="s">
        <v>222</v>
      </c>
      <c r="AP895" s="8">
        <v>0</v>
      </c>
      <c r="AQ895" s="8">
        <v>0</v>
      </c>
      <c r="AR895" s="9">
        <v>4</v>
      </c>
      <c r="AS895" s="8">
        <v>0</v>
      </c>
      <c r="AT895" s="8">
        <v>0</v>
      </c>
      <c r="AU895" s="8">
        <v>0</v>
      </c>
      <c r="AV895" s="8">
        <v>0</v>
      </c>
      <c r="AW895" s="9">
        <v>4</v>
      </c>
      <c r="AX895" s="8"/>
      <c r="AY895" s="8"/>
      <c r="AZ895">
        <v>2</v>
      </c>
      <c r="BA895" t="s">
        <v>3935</v>
      </c>
      <c r="BB895" t="s">
        <v>3936</v>
      </c>
    </row>
    <row r="896" spans="1:54">
      <c r="A896" s="6">
        <v>45863</v>
      </c>
      <c r="B896" s="7" t="s">
        <v>3937</v>
      </c>
      <c r="C896" t="s">
        <v>387</v>
      </c>
      <c r="D896" t="s">
        <v>3136</v>
      </c>
      <c r="E896" t="s">
        <v>3136</v>
      </c>
      <c r="F896" t="s">
        <v>3137</v>
      </c>
      <c r="G896" t="s">
        <v>294</v>
      </c>
      <c r="H896" s="8" t="s">
        <v>221</v>
      </c>
      <c r="I896" s="8" t="s">
        <v>221</v>
      </c>
      <c r="J896" s="8" t="s">
        <v>221</v>
      </c>
      <c r="K896" s="8" t="s">
        <v>221</v>
      </c>
      <c r="L896" s="8" t="s">
        <v>208</v>
      </c>
      <c r="M896" s="8" t="s">
        <v>208</v>
      </c>
      <c r="N896" s="8" t="s">
        <v>221</v>
      </c>
      <c r="O896" s="8" t="s">
        <v>208</v>
      </c>
      <c r="Q896" t="s">
        <v>3938</v>
      </c>
      <c r="R896" t="s">
        <v>3939</v>
      </c>
      <c r="U896" t="s">
        <v>3940</v>
      </c>
      <c r="V896" t="s">
        <v>83</v>
      </c>
      <c r="W896" t="s">
        <v>298</v>
      </c>
      <c r="X896" t="s">
        <v>298</v>
      </c>
      <c r="Y896" t="s">
        <v>1103</v>
      </c>
      <c r="Z896" t="s">
        <v>299</v>
      </c>
      <c r="AA896" t="s">
        <v>732</v>
      </c>
      <c r="AB896" t="s">
        <v>538</v>
      </c>
      <c r="AC896" t="s">
        <v>417</v>
      </c>
      <c r="AD896" t="s">
        <v>3912</v>
      </c>
      <c r="AE896" t="s">
        <v>732</v>
      </c>
      <c r="AG896" s="8" t="s">
        <v>218</v>
      </c>
      <c r="AH896" t="s">
        <v>2283</v>
      </c>
      <c r="AI896" s="8" t="s">
        <v>221</v>
      </c>
      <c r="AJ896" s="8" t="s">
        <v>221</v>
      </c>
      <c r="AK896" t="s">
        <v>234</v>
      </c>
      <c r="AL896" s="8" t="s">
        <v>221</v>
      </c>
      <c r="AM896" s="9" t="s">
        <v>218</v>
      </c>
      <c r="AN896" s="8" t="s">
        <v>221</v>
      </c>
      <c r="AO896" s="8" t="s">
        <v>222</v>
      </c>
      <c r="AP896" s="8">
        <v>0</v>
      </c>
      <c r="AQ896" s="8">
        <v>0</v>
      </c>
      <c r="AR896" s="9">
        <v>6</v>
      </c>
      <c r="AS896" s="8">
        <v>0</v>
      </c>
      <c r="AT896" s="8">
        <v>0</v>
      </c>
      <c r="AU896" s="8">
        <v>0</v>
      </c>
      <c r="AV896" s="8">
        <v>0</v>
      </c>
      <c r="AW896" s="9">
        <v>6</v>
      </c>
      <c r="AX896" s="8"/>
      <c r="AY896" s="8"/>
      <c r="AZ896">
        <v>7</v>
      </c>
      <c r="BA896" t="s">
        <v>3941</v>
      </c>
      <c r="BB896" t="s">
        <v>3942</v>
      </c>
    </row>
    <row r="897" spans="1:54">
      <c r="A897" s="6">
        <v>45863</v>
      </c>
      <c r="B897" s="7" t="s">
        <v>3943</v>
      </c>
      <c r="C897" t="s">
        <v>1821</v>
      </c>
      <c r="D897" t="s">
        <v>3944</v>
      </c>
      <c r="G897" t="s">
        <v>294</v>
      </c>
      <c r="H897" s="8" t="s">
        <v>208</v>
      </c>
      <c r="I897" s="8" t="s">
        <v>208</v>
      </c>
      <c r="J897" s="8" t="s">
        <v>208</v>
      </c>
      <c r="K897" s="8" t="s">
        <v>208</v>
      </c>
      <c r="L897" s="8" t="s">
        <v>208</v>
      </c>
      <c r="M897" s="8" t="s">
        <v>208</v>
      </c>
      <c r="N897" s="8" t="s">
        <v>208</v>
      </c>
      <c r="O897" s="8" t="s">
        <v>208</v>
      </c>
      <c r="P897" t="s">
        <v>3945</v>
      </c>
      <c r="Q897" t="s">
        <v>3946</v>
      </c>
      <c r="R897" t="s">
        <v>3947</v>
      </c>
      <c r="U897" t="s">
        <v>3948</v>
      </c>
      <c r="V897" t="s">
        <v>38</v>
      </c>
      <c r="W897" t="s">
        <v>774</v>
      </c>
      <c r="X897" t="s">
        <v>774</v>
      </c>
      <c r="Y897" t="s">
        <v>1082</v>
      </c>
      <c r="Z897" t="s">
        <v>775</v>
      </c>
      <c r="AA897" t="s">
        <v>653</v>
      </c>
      <c r="AB897" t="s">
        <v>465</v>
      </c>
      <c r="AC897" t="s">
        <v>301</v>
      </c>
      <c r="AD897" t="s">
        <v>3949</v>
      </c>
      <c r="AE897" t="s">
        <v>2775</v>
      </c>
      <c r="AG897" s="8" t="s">
        <v>218</v>
      </c>
      <c r="AH897" t="s">
        <v>2256</v>
      </c>
      <c r="AI897" s="8" t="s">
        <v>221</v>
      </c>
      <c r="AJ897" s="9" t="s">
        <v>218</v>
      </c>
      <c r="AK897" t="s">
        <v>234</v>
      </c>
      <c r="AL897" s="8" t="s">
        <v>221</v>
      </c>
      <c r="AM897" s="9" t="s">
        <v>218</v>
      </c>
      <c r="AN897" s="8" t="s">
        <v>221</v>
      </c>
      <c r="AO897" s="8" t="s">
        <v>222</v>
      </c>
      <c r="AP897" s="8">
        <v>0</v>
      </c>
      <c r="AQ897" s="8">
        <v>0</v>
      </c>
      <c r="AR897" s="8">
        <v>0</v>
      </c>
      <c r="AS897" s="8">
        <v>0</v>
      </c>
      <c r="AT897" s="8">
        <v>0</v>
      </c>
      <c r="AU897" s="8">
        <v>0</v>
      </c>
      <c r="AV897" s="8">
        <v>0</v>
      </c>
      <c r="AW897" s="8">
        <v>0</v>
      </c>
      <c r="AX897" s="8"/>
      <c r="AY897" s="8"/>
      <c r="AZ897">
        <v>3</v>
      </c>
      <c r="BA897" t="s">
        <v>3950</v>
      </c>
      <c r="BB897" t="s">
        <v>3951</v>
      </c>
    </row>
    <row r="898" spans="1:54">
      <c r="A898" s="6">
        <v>45863</v>
      </c>
      <c r="B898" s="7" t="s">
        <v>2875</v>
      </c>
      <c r="C898" t="s">
        <v>1821</v>
      </c>
      <c r="D898" t="s">
        <v>3944</v>
      </c>
      <c r="G898" t="s">
        <v>294</v>
      </c>
      <c r="H898" s="8" t="s">
        <v>208</v>
      </c>
      <c r="I898" s="8" t="s">
        <v>208</v>
      </c>
      <c r="J898" s="8" t="s">
        <v>208</v>
      </c>
      <c r="K898" s="8" t="s">
        <v>208</v>
      </c>
      <c r="L898" s="8" t="s">
        <v>208</v>
      </c>
      <c r="M898" s="8" t="s">
        <v>208</v>
      </c>
      <c r="N898" s="8" t="s">
        <v>208</v>
      </c>
      <c r="O898" s="8" t="s">
        <v>208</v>
      </c>
      <c r="P898" t="s">
        <v>3952</v>
      </c>
      <c r="Q898" t="s">
        <v>2876</v>
      </c>
      <c r="R898" t="s">
        <v>2877</v>
      </c>
      <c r="U898" t="s">
        <v>2878</v>
      </c>
      <c r="V898" t="s">
        <v>38</v>
      </c>
      <c r="W898" t="s">
        <v>774</v>
      </c>
      <c r="X898" t="s">
        <v>774</v>
      </c>
      <c r="Y898" t="s">
        <v>1082</v>
      </c>
      <c r="Z898" t="s">
        <v>775</v>
      </c>
      <c r="AA898" t="s">
        <v>653</v>
      </c>
      <c r="AB898" t="s">
        <v>408</v>
      </c>
      <c r="AC898" t="s">
        <v>391</v>
      </c>
      <c r="AD898" t="s">
        <v>3949</v>
      </c>
      <c r="AE898" t="s">
        <v>2775</v>
      </c>
      <c r="AG898" s="8" t="s">
        <v>218</v>
      </c>
      <c r="AH898" t="s">
        <v>2256</v>
      </c>
      <c r="AI898" s="8" t="s">
        <v>221</v>
      </c>
      <c r="AJ898" s="9" t="s">
        <v>218</v>
      </c>
      <c r="AK898" t="s">
        <v>2879</v>
      </c>
      <c r="AL898" s="8" t="s">
        <v>221</v>
      </c>
      <c r="AM898" s="9" t="s">
        <v>218</v>
      </c>
      <c r="AN898" s="8" t="s">
        <v>221</v>
      </c>
      <c r="AO898" s="8" t="s">
        <v>222</v>
      </c>
      <c r="AP898" s="8">
        <v>0</v>
      </c>
      <c r="AQ898" s="8">
        <v>0</v>
      </c>
      <c r="AR898" s="9">
        <v>3</v>
      </c>
      <c r="AS898" s="8">
        <v>0</v>
      </c>
      <c r="AT898" s="8">
        <v>0</v>
      </c>
      <c r="AU898" s="8">
        <v>0</v>
      </c>
      <c r="AV898" s="8">
        <v>0</v>
      </c>
      <c r="AW898" s="9">
        <v>3</v>
      </c>
      <c r="AX898" s="8"/>
      <c r="AY898" s="8"/>
      <c r="AZ898">
        <v>3</v>
      </c>
      <c r="BA898" t="s">
        <v>3953</v>
      </c>
      <c r="BB898" t="s">
        <v>2881</v>
      </c>
    </row>
    <row r="899" spans="1:54">
      <c r="A899" s="6">
        <v>45863</v>
      </c>
      <c r="B899" s="7" t="s">
        <v>3954</v>
      </c>
      <c r="C899" t="s">
        <v>387</v>
      </c>
      <c r="D899" t="s">
        <v>3944</v>
      </c>
      <c r="E899" t="s">
        <v>1275</v>
      </c>
      <c r="G899" t="s">
        <v>294</v>
      </c>
      <c r="H899" s="8" t="s">
        <v>208</v>
      </c>
      <c r="I899" s="8" t="s">
        <v>208</v>
      </c>
      <c r="J899" s="8" t="s">
        <v>208</v>
      </c>
      <c r="K899" s="8" t="s">
        <v>208</v>
      </c>
      <c r="L899" s="8" t="s">
        <v>208</v>
      </c>
      <c r="M899" s="8" t="s">
        <v>208</v>
      </c>
      <c r="N899" s="8" t="s">
        <v>208</v>
      </c>
      <c r="O899" s="8" t="s">
        <v>208</v>
      </c>
      <c r="P899" t="s">
        <v>3955</v>
      </c>
      <c r="Q899" t="s">
        <v>3956</v>
      </c>
      <c r="R899" t="s">
        <v>3957</v>
      </c>
      <c r="U899" t="s">
        <v>3958</v>
      </c>
      <c r="V899" t="s">
        <v>16</v>
      </c>
      <c r="W899" t="s">
        <v>298</v>
      </c>
      <c r="X899" t="s">
        <v>298</v>
      </c>
      <c r="Y899" t="s">
        <v>1103</v>
      </c>
      <c r="Z899" t="s">
        <v>299</v>
      </c>
      <c r="AA899" t="s">
        <v>2030</v>
      </c>
      <c r="AB899" t="s">
        <v>603</v>
      </c>
      <c r="AC899" t="s">
        <v>408</v>
      </c>
      <c r="AD899" t="s">
        <v>3912</v>
      </c>
      <c r="AE899" t="s">
        <v>2030</v>
      </c>
      <c r="AG899" s="8" t="s">
        <v>218</v>
      </c>
      <c r="AH899" t="s">
        <v>2283</v>
      </c>
      <c r="AI899" s="8" t="s">
        <v>221</v>
      </c>
      <c r="AJ899" s="8" t="s">
        <v>221</v>
      </c>
      <c r="AK899" t="s">
        <v>3959</v>
      </c>
      <c r="AL899" s="8" t="s">
        <v>221</v>
      </c>
      <c r="AM899" s="9" t="s">
        <v>218</v>
      </c>
      <c r="AN899" s="8" t="s">
        <v>221</v>
      </c>
      <c r="AO899" s="8" t="s">
        <v>222</v>
      </c>
      <c r="AP899" s="8">
        <v>0</v>
      </c>
      <c r="AQ899" s="8">
        <v>0</v>
      </c>
      <c r="AR899" s="9">
        <v>12</v>
      </c>
      <c r="AS899" s="8">
        <v>0</v>
      </c>
      <c r="AT899" s="8">
        <v>0</v>
      </c>
      <c r="AU899" s="8">
        <v>0</v>
      </c>
      <c r="AV899" s="8">
        <v>0</v>
      </c>
      <c r="AW899" s="9">
        <v>12</v>
      </c>
      <c r="AX899" s="8"/>
      <c r="AY899" s="8"/>
      <c r="AZ899">
        <v>4</v>
      </c>
      <c r="BA899" t="s">
        <v>3960</v>
      </c>
      <c r="BB899" t="s">
        <v>3961</v>
      </c>
    </row>
    <row r="900" spans="1:54">
      <c r="A900" s="6">
        <v>45863</v>
      </c>
      <c r="B900" s="7" t="s">
        <v>3962</v>
      </c>
      <c r="C900" t="s">
        <v>387</v>
      </c>
      <c r="D900" t="s">
        <v>3944</v>
      </c>
      <c r="E900" t="s">
        <v>1275</v>
      </c>
      <c r="G900" t="s">
        <v>294</v>
      </c>
      <c r="H900" s="8" t="s">
        <v>208</v>
      </c>
      <c r="I900" s="8" t="s">
        <v>208</v>
      </c>
      <c r="J900" s="8" t="s">
        <v>208</v>
      </c>
      <c r="K900" s="8" t="s">
        <v>208</v>
      </c>
      <c r="L900" s="8" t="s">
        <v>208</v>
      </c>
      <c r="M900" s="8" t="s">
        <v>208</v>
      </c>
      <c r="N900" s="8" t="s">
        <v>208</v>
      </c>
      <c r="O900" s="8" t="s">
        <v>208</v>
      </c>
      <c r="P900" t="s">
        <v>3955</v>
      </c>
      <c r="Q900" t="s">
        <v>3963</v>
      </c>
      <c r="R900" t="s">
        <v>3964</v>
      </c>
      <c r="U900" t="s">
        <v>3965</v>
      </c>
      <c r="V900" t="s">
        <v>1693</v>
      </c>
      <c r="W900" t="s">
        <v>298</v>
      </c>
      <c r="X900" t="s">
        <v>298</v>
      </c>
      <c r="Y900" t="s">
        <v>1103</v>
      </c>
      <c r="Z900" t="s">
        <v>299</v>
      </c>
      <c r="AA900" t="s">
        <v>1694</v>
      </c>
      <c r="AB900" t="s">
        <v>301</v>
      </c>
      <c r="AC900" t="s">
        <v>312</v>
      </c>
      <c r="AD900" t="s">
        <v>3912</v>
      </c>
      <c r="AE900" t="s">
        <v>1694</v>
      </c>
      <c r="AG900" s="8" t="s">
        <v>218</v>
      </c>
      <c r="AH900" t="s">
        <v>2283</v>
      </c>
      <c r="AI900" s="8" t="s">
        <v>221</v>
      </c>
      <c r="AJ900" s="8" t="s">
        <v>221</v>
      </c>
      <c r="AK900" t="s">
        <v>3966</v>
      </c>
      <c r="AL900" s="8" t="s">
        <v>221</v>
      </c>
      <c r="AM900" s="9" t="s">
        <v>218</v>
      </c>
      <c r="AN900" s="8" t="s">
        <v>221</v>
      </c>
      <c r="AO900" s="8" t="s">
        <v>222</v>
      </c>
      <c r="AP900" s="8">
        <v>0</v>
      </c>
      <c r="AQ900" s="8">
        <v>0</v>
      </c>
      <c r="AR900" s="8">
        <v>0</v>
      </c>
      <c r="AS900" s="8">
        <v>0</v>
      </c>
      <c r="AT900" s="8">
        <v>0</v>
      </c>
      <c r="AU900" s="8">
        <v>0</v>
      </c>
      <c r="AV900" s="8">
        <v>0</v>
      </c>
      <c r="AW900" s="8">
        <v>0</v>
      </c>
      <c r="AX900" s="8"/>
      <c r="AY900" s="8"/>
      <c r="AZ900">
        <v>2</v>
      </c>
      <c r="BA900" t="s">
        <v>3967</v>
      </c>
      <c r="BB900" t="s">
        <v>3968</v>
      </c>
    </row>
    <row r="901" spans="1:54">
      <c r="A901" s="6">
        <v>45863</v>
      </c>
      <c r="B901" s="7" t="s">
        <v>2941</v>
      </c>
      <c r="C901" t="s">
        <v>387</v>
      </c>
      <c r="D901" t="s">
        <v>3944</v>
      </c>
      <c r="E901" t="s">
        <v>1275</v>
      </c>
      <c r="G901" t="s">
        <v>294</v>
      </c>
      <c r="H901" s="8" t="s">
        <v>208</v>
      </c>
      <c r="I901" s="8" t="s">
        <v>208</v>
      </c>
      <c r="J901" s="8" t="s">
        <v>208</v>
      </c>
      <c r="K901" s="8" t="s">
        <v>208</v>
      </c>
      <c r="L901" s="8" t="s">
        <v>208</v>
      </c>
      <c r="M901" s="8" t="s">
        <v>208</v>
      </c>
      <c r="N901" s="8" t="s">
        <v>208</v>
      </c>
      <c r="O901" s="8" t="s">
        <v>208</v>
      </c>
      <c r="P901" t="s">
        <v>3955</v>
      </c>
      <c r="Q901" t="s">
        <v>2942</v>
      </c>
      <c r="R901" t="s">
        <v>2943</v>
      </c>
      <c r="U901" t="s">
        <v>2944</v>
      </c>
      <c r="V901" t="s">
        <v>662</v>
      </c>
      <c r="W901" t="s">
        <v>298</v>
      </c>
      <c r="X901" t="s">
        <v>298</v>
      </c>
      <c r="Y901" t="s">
        <v>1103</v>
      </c>
      <c r="Z901" t="s">
        <v>299</v>
      </c>
      <c r="AA901" t="s">
        <v>663</v>
      </c>
      <c r="AB901" t="s">
        <v>301</v>
      </c>
      <c r="AC901" t="s">
        <v>312</v>
      </c>
      <c r="AD901" t="s">
        <v>3912</v>
      </c>
      <c r="AE901" t="s">
        <v>663</v>
      </c>
      <c r="AG901" s="8" t="s">
        <v>218</v>
      </c>
      <c r="AH901" t="s">
        <v>2283</v>
      </c>
      <c r="AI901" s="8" t="s">
        <v>221</v>
      </c>
      <c r="AJ901" s="8" t="s">
        <v>221</v>
      </c>
      <c r="AK901" t="s">
        <v>2936</v>
      </c>
      <c r="AL901" s="8" t="s">
        <v>221</v>
      </c>
      <c r="AM901" s="9" t="s">
        <v>218</v>
      </c>
      <c r="AN901" s="8" t="s">
        <v>221</v>
      </c>
      <c r="AO901" s="8" t="s">
        <v>222</v>
      </c>
      <c r="AP901" s="8">
        <v>0</v>
      </c>
      <c r="AQ901" s="8">
        <v>0</v>
      </c>
      <c r="AR901" s="8">
        <v>0</v>
      </c>
      <c r="AS901" s="8">
        <v>0</v>
      </c>
      <c r="AT901" s="8">
        <v>0</v>
      </c>
      <c r="AU901" s="8">
        <v>0</v>
      </c>
      <c r="AV901" s="8">
        <v>0</v>
      </c>
      <c r="AW901" s="8">
        <v>0</v>
      </c>
      <c r="AX901" s="8"/>
      <c r="AY901" s="8"/>
      <c r="AZ901">
        <v>2</v>
      </c>
      <c r="BA901" t="s">
        <v>3967</v>
      </c>
      <c r="BB901" t="s">
        <v>3969</v>
      </c>
    </row>
    <row r="902" spans="1:54">
      <c r="A902" s="6">
        <v>45863</v>
      </c>
      <c r="B902" s="7" t="s">
        <v>2671</v>
      </c>
      <c r="C902" t="s">
        <v>205</v>
      </c>
      <c r="D902" t="s">
        <v>3970</v>
      </c>
      <c r="G902" t="s">
        <v>1160</v>
      </c>
      <c r="H902" s="8" t="s">
        <v>208</v>
      </c>
      <c r="I902" s="8" t="s">
        <v>208</v>
      </c>
      <c r="J902" s="8" t="s">
        <v>208</v>
      </c>
      <c r="K902" s="8" t="s">
        <v>208</v>
      </c>
      <c r="L902" s="8" t="s">
        <v>208</v>
      </c>
      <c r="M902" s="8" t="s">
        <v>208</v>
      </c>
      <c r="N902" s="8" t="s">
        <v>208</v>
      </c>
      <c r="O902" s="8" t="s">
        <v>208</v>
      </c>
      <c r="P902" t="s">
        <v>3971</v>
      </c>
      <c r="Q902" t="s">
        <v>2672</v>
      </c>
      <c r="R902" t="s">
        <v>2673</v>
      </c>
      <c r="U902" t="s">
        <v>2674</v>
      </c>
      <c r="V902" t="s">
        <v>140</v>
      </c>
      <c r="W902" t="s">
        <v>232</v>
      </c>
      <c r="X902" t="s">
        <v>232</v>
      </c>
      <c r="Y902" t="s">
        <v>765</v>
      </c>
      <c r="Z902" t="s">
        <v>765</v>
      </c>
      <c r="AA902" t="s">
        <v>1164</v>
      </c>
      <c r="AB902" t="s">
        <v>672</v>
      </c>
      <c r="AC902" t="s">
        <v>276</v>
      </c>
      <c r="AD902" t="s">
        <v>3972</v>
      </c>
      <c r="AE902" t="s">
        <v>217</v>
      </c>
      <c r="AG902" s="8" t="s">
        <v>218</v>
      </c>
      <c r="AH902" t="s">
        <v>2256</v>
      </c>
      <c r="AI902" s="8" t="s">
        <v>221</v>
      </c>
      <c r="AJ902" s="9" t="s">
        <v>218</v>
      </c>
      <c r="AK902" t="s">
        <v>2676</v>
      </c>
      <c r="AL902" s="9" t="s">
        <v>218</v>
      </c>
      <c r="AM902" s="8" t="s">
        <v>221</v>
      </c>
      <c r="AN902" s="8" t="s">
        <v>221</v>
      </c>
      <c r="AO902" s="8" t="s">
        <v>222</v>
      </c>
      <c r="AP902" s="8">
        <v>0</v>
      </c>
      <c r="AQ902" s="8">
        <v>0</v>
      </c>
      <c r="AR902" s="8">
        <v>0</v>
      </c>
      <c r="AS902" s="8">
        <v>0</v>
      </c>
      <c r="AT902" s="8">
        <v>0</v>
      </c>
      <c r="AU902" s="8">
        <v>0</v>
      </c>
      <c r="AV902" s="8">
        <v>0</v>
      </c>
      <c r="AW902" s="8">
        <v>0</v>
      </c>
      <c r="AX902" s="9" t="s">
        <v>2677</v>
      </c>
      <c r="AY902" s="8"/>
      <c r="AZ902">
        <v>1</v>
      </c>
      <c r="BA902" t="s">
        <v>3973</v>
      </c>
      <c r="BB902" t="s">
        <v>2678</v>
      </c>
    </row>
    <row r="903" spans="1:54">
      <c r="A903" s="6">
        <v>45863</v>
      </c>
      <c r="B903" s="7" t="s">
        <v>1747</v>
      </c>
      <c r="C903" t="s">
        <v>668</v>
      </c>
      <c r="D903" t="s">
        <v>3610</v>
      </c>
      <c r="E903" t="s">
        <v>3610</v>
      </c>
      <c r="F903" t="s">
        <v>3611</v>
      </c>
      <c r="G903" t="s">
        <v>754</v>
      </c>
      <c r="H903" s="8" t="s">
        <v>221</v>
      </c>
      <c r="I903" s="8" t="s">
        <v>221</v>
      </c>
      <c r="J903" s="9" t="s">
        <v>218</v>
      </c>
      <c r="K903" s="9" t="s">
        <v>218</v>
      </c>
      <c r="L903" s="8" t="s">
        <v>221</v>
      </c>
      <c r="M903" s="8" t="s">
        <v>221</v>
      </c>
      <c r="N903" s="8" t="s">
        <v>221</v>
      </c>
      <c r="O903" s="8" t="s">
        <v>208</v>
      </c>
      <c r="Q903" t="s">
        <v>1748</v>
      </c>
      <c r="R903" t="s">
        <v>1749</v>
      </c>
      <c r="U903" t="s">
        <v>1750</v>
      </c>
      <c r="V903" t="s">
        <v>1751</v>
      </c>
      <c r="W903" t="s">
        <v>212</v>
      </c>
      <c r="X903" t="s">
        <v>212</v>
      </c>
      <c r="Y903" t="s">
        <v>213</v>
      </c>
      <c r="Z903" t="s">
        <v>213</v>
      </c>
      <c r="AA903" t="s">
        <v>214</v>
      </c>
      <c r="AB903" t="s">
        <v>1336</v>
      </c>
      <c r="AC903" t="s">
        <v>1336</v>
      </c>
      <c r="AD903" t="s">
        <v>216</v>
      </c>
      <c r="AE903" t="s">
        <v>1296</v>
      </c>
      <c r="AG903" s="8" t="s">
        <v>218</v>
      </c>
      <c r="AH903" t="s">
        <v>219</v>
      </c>
      <c r="AI903" s="9" t="s">
        <v>218</v>
      </c>
      <c r="AJ903" s="9" t="s">
        <v>218</v>
      </c>
      <c r="AK903" t="s">
        <v>234</v>
      </c>
      <c r="AL903" s="9" t="s">
        <v>218</v>
      </c>
      <c r="AM903" s="8" t="s">
        <v>221</v>
      </c>
      <c r="AN903" s="8" t="s">
        <v>221</v>
      </c>
      <c r="AO903" s="8" t="s">
        <v>222</v>
      </c>
      <c r="AP903" s="8">
        <v>0</v>
      </c>
      <c r="AQ903" s="8">
        <v>0</v>
      </c>
      <c r="AR903" s="9">
        <v>68</v>
      </c>
      <c r="AS903" s="8">
        <v>0</v>
      </c>
      <c r="AT903" s="8">
        <v>0</v>
      </c>
      <c r="AU903" s="8">
        <v>0</v>
      </c>
      <c r="AV903" s="8">
        <v>0</v>
      </c>
      <c r="AW903" s="9">
        <v>68</v>
      </c>
      <c r="AX903" s="8"/>
      <c r="AY903" s="8"/>
      <c r="AZ903">
        <v>0</v>
      </c>
      <c r="BB903" t="s">
        <v>1754</v>
      </c>
    </row>
    <row r="904" spans="1:54">
      <c r="A904" s="6">
        <v>45863</v>
      </c>
      <c r="B904" s="7" t="s">
        <v>667</v>
      </c>
      <c r="C904" t="s">
        <v>668</v>
      </c>
      <c r="D904" t="s">
        <v>3610</v>
      </c>
      <c r="E904" t="s">
        <v>3610</v>
      </c>
      <c r="F904" t="s">
        <v>3611</v>
      </c>
      <c r="G904" t="s">
        <v>754</v>
      </c>
      <c r="H904" s="8" t="s">
        <v>221</v>
      </c>
      <c r="I904" s="8" t="s">
        <v>221</v>
      </c>
      <c r="J904" s="9" t="s">
        <v>218</v>
      </c>
      <c r="K904" s="9" t="s">
        <v>218</v>
      </c>
      <c r="L904" s="8" t="s">
        <v>221</v>
      </c>
      <c r="M904" s="8" t="s">
        <v>221</v>
      </c>
      <c r="N904" s="8" t="s">
        <v>221</v>
      </c>
      <c r="O904" s="8" t="s">
        <v>208</v>
      </c>
      <c r="Q904" t="s">
        <v>669</v>
      </c>
      <c r="R904" t="s">
        <v>670</v>
      </c>
      <c r="U904" t="s">
        <v>671</v>
      </c>
      <c r="V904" t="s">
        <v>138</v>
      </c>
      <c r="W904" t="s">
        <v>212</v>
      </c>
      <c r="X904" t="s">
        <v>212</v>
      </c>
      <c r="Y904" t="s">
        <v>213</v>
      </c>
      <c r="Z904" t="s">
        <v>213</v>
      </c>
      <c r="AA904" t="s">
        <v>214</v>
      </c>
      <c r="AB904" t="s">
        <v>832</v>
      </c>
      <c r="AC904" t="s">
        <v>832</v>
      </c>
      <c r="AD904" t="s">
        <v>216</v>
      </c>
      <c r="AE904" t="s">
        <v>217</v>
      </c>
      <c r="AG904" s="8" t="s">
        <v>218</v>
      </c>
      <c r="AH904" t="s">
        <v>219</v>
      </c>
      <c r="AI904" s="9" t="s">
        <v>218</v>
      </c>
      <c r="AJ904" s="9" t="s">
        <v>218</v>
      </c>
      <c r="AK904" t="s">
        <v>234</v>
      </c>
      <c r="AL904" s="9" t="s">
        <v>218</v>
      </c>
      <c r="AM904" s="8" t="s">
        <v>221</v>
      </c>
      <c r="AN904" s="8" t="s">
        <v>221</v>
      </c>
      <c r="AO904" s="8" t="s">
        <v>222</v>
      </c>
      <c r="AP904" s="8">
        <v>0</v>
      </c>
      <c r="AQ904" s="8">
        <v>0</v>
      </c>
      <c r="AR904" s="9">
        <v>130</v>
      </c>
      <c r="AS904" s="8">
        <v>0</v>
      </c>
      <c r="AT904" s="8">
        <v>0</v>
      </c>
      <c r="AU904" s="8">
        <v>0</v>
      </c>
      <c r="AV904" s="8">
        <v>0</v>
      </c>
      <c r="AW904" s="9">
        <v>130</v>
      </c>
      <c r="AX904" s="8"/>
      <c r="AY904" s="9" t="s">
        <v>674</v>
      </c>
      <c r="AZ904">
        <v>0</v>
      </c>
      <c r="BB904" t="s">
        <v>675</v>
      </c>
    </row>
    <row r="905" spans="1:54">
      <c r="A905" s="6">
        <v>45863</v>
      </c>
      <c r="B905" s="7" t="s">
        <v>2116</v>
      </c>
      <c r="C905" t="s">
        <v>668</v>
      </c>
      <c r="D905" t="s">
        <v>3610</v>
      </c>
      <c r="E905" t="s">
        <v>3610</v>
      </c>
      <c r="F905" t="s">
        <v>3611</v>
      </c>
      <c r="G905" t="s">
        <v>754</v>
      </c>
      <c r="H905" s="8" t="s">
        <v>221</v>
      </c>
      <c r="I905" s="8" t="s">
        <v>221</v>
      </c>
      <c r="J905" s="9" t="s">
        <v>218</v>
      </c>
      <c r="K905" s="9" t="s">
        <v>218</v>
      </c>
      <c r="L905" s="8" t="s">
        <v>221</v>
      </c>
      <c r="M905" s="8" t="s">
        <v>221</v>
      </c>
      <c r="N905" s="8" t="s">
        <v>221</v>
      </c>
      <c r="O905" s="8" t="s">
        <v>208</v>
      </c>
      <c r="Q905" t="s">
        <v>2118</v>
      </c>
      <c r="R905" t="s">
        <v>2119</v>
      </c>
      <c r="U905" t="s">
        <v>2120</v>
      </c>
      <c r="V905" t="s">
        <v>137</v>
      </c>
      <c r="W905" t="s">
        <v>212</v>
      </c>
      <c r="X905" t="s">
        <v>212</v>
      </c>
      <c r="Y905" t="s">
        <v>213</v>
      </c>
      <c r="Z905" t="s">
        <v>213</v>
      </c>
      <c r="AA905" t="s">
        <v>214</v>
      </c>
      <c r="AB905" t="s">
        <v>701</v>
      </c>
      <c r="AC905" t="s">
        <v>701</v>
      </c>
      <c r="AD905" t="s">
        <v>216</v>
      </c>
      <c r="AE905" t="s">
        <v>11</v>
      </c>
      <c r="AG905" s="8" t="s">
        <v>218</v>
      </c>
      <c r="AH905" t="s">
        <v>219</v>
      </c>
      <c r="AI905" s="9" t="s">
        <v>218</v>
      </c>
      <c r="AJ905" s="9" t="s">
        <v>218</v>
      </c>
      <c r="AK905" t="s">
        <v>234</v>
      </c>
      <c r="AL905" s="9" t="s">
        <v>218</v>
      </c>
      <c r="AM905" s="8" t="s">
        <v>221</v>
      </c>
      <c r="AN905" s="8" t="s">
        <v>221</v>
      </c>
      <c r="AO905" s="8" t="s">
        <v>222</v>
      </c>
      <c r="AP905" s="8">
        <v>0</v>
      </c>
      <c r="AQ905" s="8">
        <v>0</v>
      </c>
      <c r="AR905" s="8">
        <v>0</v>
      </c>
      <c r="AS905" s="8">
        <v>0</v>
      </c>
      <c r="AT905" s="8">
        <v>0</v>
      </c>
      <c r="AU905" s="8">
        <v>0</v>
      </c>
      <c r="AV905" s="8">
        <v>0</v>
      </c>
      <c r="AW905" s="8">
        <v>0</v>
      </c>
      <c r="AX905" s="8"/>
      <c r="AY905" s="8"/>
      <c r="AZ905">
        <v>0</v>
      </c>
      <c r="BB905" t="s">
        <v>2123</v>
      </c>
    </row>
    <row r="906" spans="1:54">
      <c r="A906" s="6">
        <v>45863</v>
      </c>
      <c r="B906" s="7" t="s">
        <v>3211</v>
      </c>
      <c r="C906" t="s">
        <v>387</v>
      </c>
      <c r="D906" t="s">
        <v>3610</v>
      </c>
      <c r="E906" t="s">
        <v>3610</v>
      </c>
      <c r="F906" t="s">
        <v>3611</v>
      </c>
      <c r="G906" t="s">
        <v>754</v>
      </c>
      <c r="H906" s="8" t="s">
        <v>221</v>
      </c>
      <c r="I906" s="8" t="s">
        <v>221</v>
      </c>
      <c r="J906" s="9" t="s">
        <v>218</v>
      </c>
      <c r="K906" s="9" t="s">
        <v>218</v>
      </c>
      <c r="L906" s="8" t="s">
        <v>221</v>
      </c>
      <c r="M906" s="8" t="s">
        <v>221</v>
      </c>
      <c r="N906" s="8" t="s">
        <v>221</v>
      </c>
      <c r="O906" s="8" t="s">
        <v>208</v>
      </c>
      <c r="Q906" t="s">
        <v>3212</v>
      </c>
      <c r="R906" t="s">
        <v>3213</v>
      </c>
      <c r="U906" t="s">
        <v>3214</v>
      </c>
      <c r="V906" t="s">
        <v>2834</v>
      </c>
      <c r="W906" t="s">
        <v>298</v>
      </c>
      <c r="X906" t="s">
        <v>298</v>
      </c>
      <c r="Y906" t="s">
        <v>299</v>
      </c>
      <c r="Z906" t="s">
        <v>299</v>
      </c>
      <c r="AA906" t="s">
        <v>3215</v>
      </c>
      <c r="AB906" t="s">
        <v>391</v>
      </c>
      <c r="AC906" t="s">
        <v>391</v>
      </c>
      <c r="AD906" t="s">
        <v>216</v>
      </c>
      <c r="AE906" t="s">
        <v>3215</v>
      </c>
      <c r="AG906" s="8" t="s">
        <v>218</v>
      </c>
      <c r="AH906" t="s">
        <v>302</v>
      </c>
      <c r="AI906" s="9" t="s">
        <v>218</v>
      </c>
      <c r="AJ906" s="8" t="s">
        <v>221</v>
      </c>
      <c r="AK906" t="s">
        <v>3216</v>
      </c>
      <c r="AL906" s="9" t="s">
        <v>218</v>
      </c>
      <c r="AM906" s="8" t="s">
        <v>221</v>
      </c>
      <c r="AN906" s="8" t="s">
        <v>221</v>
      </c>
      <c r="AO906" s="8" t="s">
        <v>222</v>
      </c>
      <c r="AP906" s="8">
        <v>0</v>
      </c>
      <c r="AQ906" s="8">
        <v>0</v>
      </c>
      <c r="AR906" s="9">
        <v>5</v>
      </c>
      <c r="AS906" s="8">
        <v>0</v>
      </c>
      <c r="AT906" s="8">
        <v>0</v>
      </c>
      <c r="AU906" s="8">
        <v>0</v>
      </c>
      <c r="AV906" s="8">
        <v>0</v>
      </c>
      <c r="AW906" s="9">
        <v>5</v>
      </c>
      <c r="AX906" s="8"/>
      <c r="AY906" s="8"/>
      <c r="AZ906">
        <v>0</v>
      </c>
      <c r="BB906" t="s">
        <v>3218</v>
      </c>
    </row>
    <row r="907" spans="1:54">
      <c r="A907" s="6">
        <v>45863</v>
      </c>
      <c r="B907" s="7" t="s">
        <v>227</v>
      </c>
      <c r="C907" t="s">
        <v>687</v>
      </c>
      <c r="D907" t="s">
        <v>3610</v>
      </c>
      <c r="E907" t="s">
        <v>3610</v>
      </c>
      <c r="F907" t="s">
        <v>3611</v>
      </c>
      <c r="G907" t="s">
        <v>754</v>
      </c>
      <c r="H907" s="8" t="s">
        <v>221</v>
      </c>
      <c r="I907" s="8" t="s">
        <v>221</v>
      </c>
      <c r="J907" s="9" t="s">
        <v>218</v>
      </c>
      <c r="K907" s="9" t="s">
        <v>218</v>
      </c>
      <c r="L907" s="8" t="s">
        <v>221</v>
      </c>
      <c r="M907" s="8" t="s">
        <v>221</v>
      </c>
      <c r="N907" s="8" t="s">
        <v>221</v>
      </c>
      <c r="O907" s="8" t="s">
        <v>208</v>
      </c>
      <c r="Q907" t="s">
        <v>229</v>
      </c>
      <c r="R907" t="s">
        <v>230</v>
      </c>
      <c r="U907" t="s">
        <v>231</v>
      </c>
      <c r="V907" t="s">
        <v>137</v>
      </c>
      <c r="W907" t="s">
        <v>232</v>
      </c>
      <c r="X907" t="s">
        <v>232</v>
      </c>
      <c r="Y907" t="s">
        <v>233</v>
      </c>
      <c r="Z907" t="s">
        <v>233</v>
      </c>
      <c r="AA907" t="s">
        <v>214</v>
      </c>
      <c r="AB907" t="s">
        <v>215</v>
      </c>
      <c r="AC907" t="s">
        <v>215</v>
      </c>
      <c r="AD907" t="s">
        <v>216</v>
      </c>
      <c r="AE907" t="s">
        <v>217</v>
      </c>
      <c r="AG907" s="8" t="s">
        <v>218</v>
      </c>
      <c r="AH907" t="s">
        <v>219</v>
      </c>
      <c r="AI907" s="9" t="s">
        <v>218</v>
      </c>
      <c r="AJ907" s="9" t="s">
        <v>218</v>
      </c>
      <c r="AK907" t="s">
        <v>234</v>
      </c>
      <c r="AL907" s="9" t="s">
        <v>218</v>
      </c>
      <c r="AM907" s="8" t="s">
        <v>221</v>
      </c>
      <c r="AN907" s="8" t="s">
        <v>221</v>
      </c>
      <c r="AO907" s="8" t="s">
        <v>222</v>
      </c>
      <c r="AP907" s="8">
        <v>0</v>
      </c>
      <c r="AQ907" s="8">
        <v>0</v>
      </c>
      <c r="AR907" s="8">
        <v>0</v>
      </c>
      <c r="AS907" s="8">
        <v>0</v>
      </c>
      <c r="AT907" s="8">
        <v>0</v>
      </c>
      <c r="AU907" s="8">
        <v>0</v>
      </c>
      <c r="AV907" s="8">
        <v>0</v>
      </c>
      <c r="AW907" s="8">
        <v>0</v>
      </c>
      <c r="AX907" s="8"/>
      <c r="AY907" s="8"/>
      <c r="AZ907">
        <v>0</v>
      </c>
      <c r="BB907" t="s">
        <v>236</v>
      </c>
    </row>
    <row r="908" spans="1:54">
      <c r="A908" s="6">
        <v>45863</v>
      </c>
      <c r="B908" s="7" t="s">
        <v>238</v>
      </c>
      <c r="C908" t="s">
        <v>668</v>
      </c>
      <c r="D908" t="s">
        <v>3610</v>
      </c>
      <c r="E908" t="s">
        <v>3610</v>
      </c>
      <c r="F908" t="s">
        <v>3611</v>
      </c>
      <c r="G908" t="s">
        <v>754</v>
      </c>
      <c r="H908" s="8" t="s">
        <v>221</v>
      </c>
      <c r="I908" s="8" t="s">
        <v>221</v>
      </c>
      <c r="J908" s="9" t="s">
        <v>218</v>
      </c>
      <c r="K908" s="9" t="s">
        <v>218</v>
      </c>
      <c r="L908" s="8" t="s">
        <v>221</v>
      </c>
      <c r="M908" s="8" t="s">
        <v>221</v>
      </c>
      <c r="N908" s="8" t="s">
        <v>221</v>
      </c>
      <c r="O908" s="8" t="s">
        <v>208</v>
      </c>
      <c r="Q908" t="s">
        <v>239</v>
      </c>
      <c r="R908" t="s">
        <v>240</v>
      </c>
      <c r="U908" t="s">
        <v>241</v>
      </c>
      <c r="V908" t="s">
        <v>137</v>
      </c>
      <c r="W908" t="s">
        <v>212</v>
      </c>
      <c r="X908" t="s">
        <v>212</v>
      </c>
      <c r="Y908" t="s">
        <v>213</v>
      </c>
      <c r="Z908" t="s">
        <v>213</v>
      </c>
      <c r="AA908" t="s">
        <v>214</v>
      </c>
      <c r="AB908" t="s">
        <v>242</v>
      </c>
      <c r="AC908" t="s">
        <v>242</v>
      </c>
      <c r="AD908" t="s">
        <v>216</v>
      </c>
      <c r="AE908" t="s">
        <v>217</v>
      </c>
      <c r="AG908" s="8" t="s">
        <v>218</v>
      </c>
      <c r="AH908" t="s">
        <v>219</v>
      </c>
      <c r="AI908" s="9" t="s">
        <v>218</v>
      </c>
      <c r="AJ908" s="9" t="s">
        <v>218</v>
      </c>
      <c r="AK908" t="s">
        <v>243</v>
      </c>
      <c r="AL908" s="9" t="s">
        <v>218</v>
      </c>
      <c r="AM908" s="8" t="s">
        <v>221</v>
      </c>
      <c r="AN908" s="8" t="s">
        <v>221</v>
      </c>
      <c r="AO908" s="8" t="s">
        <v>222</v>
      </c>
      <c r="AP908" s="8">
        <v>0</v>
      </c>
      <c r="AQ908" s="8">
        <v>0</v>
      </c>
      <c r="AR908" s="8">
        <v>0</v>
      </c>
      <c r="AS908" s="8">
        <v>0</v>
      </c>
      <c r="AT908" s="8">
        <v>0</v>
      </c>
      <c r="AU908" s="8">
        <v>0</v>
      </c>
      <c r="AV908" s="8">
        <v>0</v>
      </c>
      <c r="AW908" s="8">
        <v>0</v>
      </c>
      <c r="AX908" s="8"/>
      <c r="AY908" s="8"/>
      <c r="AZ908">
        <v>0</v>
      </c>
      <c r="BB908" t="s">
        <v>3877</v>
      </c>
    </row>
    <row r="909" spans="1:54">
      <c r="A909" s="6">
        <v>45863</v>
      </c>
      <c r="B909" s="7" t="s">
        <v>1772</v>
      </c>
      <c r="C909" t="s">
        <v>387</v>
      </c>
      <c r="D909" t="s">
        <v>3610</v>
      </c>
      <c r="E909" t="s">
        <v>3610</v>
      </c>
      <c r="F909" t="s">
        <v>3611</v>
      </c>
      <c r="G909" t="s">
        <v>754</v>
      </c>
      <c r="H909" s="8" t="s">
        <v>221</v>
      </c>
      <c r="I909" s="8" t="s">
        <v>221</v>
      </c>
      <c r="J909" s="9" t="s">
        <v>218</v>
      </c>
      <c r="K909" s="9" t="s">
        <v>218</v>
      </c>
      <c r="L909" s="8" t="s">
        <v>221</v>
      </c>
      <c r="M909" s="8" t="s">
        <v>221</v>
      </c>
      <c r="N909" s="8" t="s">
        <v>221</v>
      </c>
      <c r="O909" s="8" t="s">
        <v>208</v>
      </c>
      <c r="Q909" t="s">
        <v>1774</v>
      </c>
      <c r="R909" t="s">
        <v>1775</v>
      </c>
      <c r="U909" t="s">
        <v>1776</v>
      </c>
      <c r="V909" t="s">
        <v>1777</v>
      </c>
      <c r="W909" t="s">
        <v>298</v>
      </c>
      <c r="X909" t="s">
        <v>298</v>
      </c>
      <c r="Y909" t="s">
        <v>299</v>
      </c>
      <c r="Z909" t="s">
        <v>299</v>
      </c>
      <c r="AA909" t="s">
        <v>1778</v>
      </c>
      <c r="AB909" t="s">
        <v>646</v>
      </c>
      <c r="AC909" t="s">
        <v>646</v>
      </c>
      <c r="AD909" t="s">
        <v>216</v>
      </c>
      <c r="AE909" t="s">
        <v>1778</v>
      </c>
      <c r="AG909" s="8" t="s">
        <v>218</v>
      </c>
      <c r="AH909" t="s">
        <v>302</v>
      </c>
      <c r="AI909" s="9" t="s">
        <v>218</v>
      </c>
      <c r="AJ909" s="8" t="s">
        <v>221</v>
      </c>
      <c r="AK909" t="s">
        <v>234</v>
      </c>
      <c r="AL909" s="9" t="s">
        <v>218</v>
      </c>
      <c r="AM909" s="8" t="s">
        <v>221</v>
      </c>
      <c r="AN909" s="8" t="s">
        <v>221</v>
      </c>
      <c r="AO909" s="8" t="s">
        <v>222</v>
      </c>
      <c r="AP909" s="8">
        <v>0</v>
      </c>
      <c r="AQ909" s="8">
        <v>0</v>
      </c>
      <c r="AR909" s="9">
        <v>54</v>
      </c>
      <c r="AS909" s="8">
        <v>0</v>
      </c>
      <c r="AT909" s="8">
        <v>0</v>
      </c>
      <c r="AU909" s="8">
        <v>0</v>
      </c>
      <c r="AV909" s="8">
        <v>0</v>
      </c>
      <c r="AW909" s="9">
        <v>54</v>
      </c>
      <c r="AX909" s="8"/>
      <c r="AY909" s="8"/>
      <c r="AZ909">
        <v>0</v>
      </c>
      <c r="BB909" t="s">
        <v>1780</v>
      </c>
    </row>
    <row r="910" spans="1:54">
      <c r="A910" s="6">
        <v>45863</v>
      </c>
      <c r="B910" s="7" t="s">
        <v>640</v>
      </c>
      <c r="C910" t="s">
        <v>387</v>
      </c>
      <c r="D910" t="s">
        <v>3610</v>
      </c>
      <c r="E910" t="s">
        <v>3610</v>
      </c>
      <c r="F910" t="s">
        <v>3611</v>
      </c>
      <c r="G910" t="s">
        <v>754</v>
      </c>
      <c r="H910" s="8" t="s">
        <v>221</v>
      </c>
      <c r="I910" s="8" t="s">
        <v>221</v>
      </c>
      <c r="J910" s="9" t="s">
        <v>218</v>
      </c>
      <c r="K910" s="9" t="s">
        <v>218</v>
      </c>
      <c r="L910" s="8" t="s">
        <v>221</v>
      </c>
      <c r="M910" s="8" t="s">
        <v>221</v>
      </c>
      <c r="N910" s="8" t="s">
        <v>221</v>
      </c>
      <c r="O910" s="8" t="s">
        <v>208</v>
      </c>
      <c r="Q910" t="s">
        <v>641</v>
      </c>
      <c r="R910" t="s">
        <v>642</v>
      </c>
      <c r="U910" t="s">
        <v>643</v>
      </c>
      <c r="V910" t="s">
        <v>644</v>
      </c>
      <c r="W910" t="s">
        <v>298</v>
      </c>
      <c r="X910" t="s">
        <v>298</v>
      </c>
      <c r="Y910" t="s">
        <v>299</v>
      </c>
      <c r="Z910" t="s">
        <v>299</v>
      </c>
      <c r="AA910" t="s">
        <v>645</v>
      </c>
      <c r="AB910" t="s">
        <v>1327</v>
      </c>
      <c r="AC910" t="s">
        <v>1327</v>
      </c>
      <c r="AD910" t="s">
        <v>216</v>
      </c>
      <c r="AE910" t="s">
        <v>645</v>
      </c>
      <c r="AG910" s="8" t="s">
        <v>218</v>
      </c>
      <c r="AH910" t="s">
        <v>302</v>
      </c>
      <c r="AI910" s="9" t="s">
        <v>218</v>
      </c>
      <c r="AJ910" s="8" t="s">
        <v>221</v>
      </c>
      <c r="AK910" t="s">
        <v>234</v>
      </c>
      <c r="AL910" s="9" t="s">
        <v>218</v>
      </c>
      <c r="AM910" s="8" t="s">
        <v>221</v>
      </c>
      <c r="AN910" s="8" t="s">
        <v>221</v>
      </c>
      <c r="AO910" s="8" t="s">
        <v>222</v>
      </c>
      <c r="AP910" s="8">
        <v>0</v>
      </c>
      <c r="AQ910" s="8">
        <v>0</v>
      </c>
      <c r="AR910" s="9">
        <v>48</v>
      </c>
      <c r="AS910" s="8">
        <v>0</v>
      </c>
      <c r="AT910" s="8">
        <v>0</v>
      </c>
      <c r="AU910" s="8">
        <v>0</v>
      </c>
      <c r="AV910" s="8">
        <v>0</v>
      </c>
      <c r="AW910" s="9">
        <v>48</v>
      </c>
      <c r="AX910" s="8"/>
      <c r="AY910" s="8"/>
      <c r="AZ910">
        <v>0</v>
      </c>
      <c r="BB910" t="s">
        <v>647</v>
      </c>
    </row>
  </sheetData>
  <autoFilter ref="A1:BC910" xr:uid="{00000000-0009-0000-0000-000004000000}"/>
  <dataValidations count="4">
    <dataValidation type="list" allowBlank="1" showErrorMessage="1" errorTitle="Invalid option" error="Please select a valid option" sqref="AF2:AF910" xr:uid="{52B8A05B-88E2-44B0-9DBB-0B403A86ED4C}">
      <formula1>"Primary,Secondary,N/A"</formula1>
    </dataValidation>
    <dataValidation type="list" sqref="G2:G910" xr:uid="{E8D4D534-0D89-4757-89D2-2D175CAF082A}">
      <formula1>"Nick, Cat, Chad, Pappy, David"</formula1>
    </dataValidation>
    <dataValidation type="list" allowBlank="1" showErrorMessage="1" errorTitle="Invalid Category" error="Please select a valid category" sqref="C2:C910" xr:uid="{A6BA182A-D212-49F2-A8BD-46C684790BA4}">
      <formula1>"Eng TRB Initial,Eng TRB Return (primary),Eng TRB Return (secondary / impacted),Impacted Claimed Diagram (not for approval),Impacted Unclaimed Diagram (not for approval),Impacted Not to be Claimed Diagram (not for approval),Other Primary,Promotion Only"</formula1>
    </dataValidation>
    <dataValidation type="list" allowBlank="1" sqref="H2:O910" xr:uid="{DC807323-92D4-4115-A0E3-C7D7A2C2DE5F}">
      <formula1>"Yes,No,N/A"</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outlinePr summaryBelow="0"/>
  </sheetPr>
  <dimension ref="A1:T987"/>
  <sheetViews>
    <sheetView workbookViewId="0">
      <selection activeCell="H1" sqref="H1"/>
    </sheetView>
  </sheetViews>
  <sheetFormatPr defaultColWidth="11.42578125" defaultRowHeight="15"/>
  <cols>
    <col min="1" max="1" width="21.7109375" customWidth="1"/>
    <col min="2" max="2" width="42.7109375" customWidth="1"/>
    <col min="3" max="3" width="11.7109375" customWidth="1"/>
    <col min="4" max="4" width="12.7109375" customWidth="1"/>
    <col min="5" max="5" width="22.7109375" customWidth="1"/>
    <col min="6" max="6" width="16.7109375" customWidth="1"/>
    <col min="7" max="7" width="11.7109375" customWidth="1"/>
    <col min="8" max="8" width="25.7109375" customWidth="1"/>
    <col min="9" max="9" width="20.7109375" customWidth="1"/>
    <col min="10" max="10" width="16.7109375" customWidth="1"/>
    <col min="11" max="11" width="22.7109375" customWidth="1"/>
    <col min="12" max="12" width="18.7109375" customWidth="1"/>
    <col min="13" max="13" width="17.7109375" customWidth="1"/>
    <col min="14" max="14" width="12.7109375" customWidth="1"/>
    <col min="16" max="18" width="14.7109375" customWidth="1"/>
    <col min="19" max="19" width="21.7109375" customWidth="1"/>
  </cols>
  <sheetData>
    <row r="1" spans="1:20">
      <c r="A1" s="1" t="s">
        <v>3974</v>
      </c>
      <c r="B1" s="1" t="s">
        <v>1</v>
      </c>
      <c r="C1" s="1" t="s">
        <v>0</v>
      </c>
      <c r="D1" s="1" t="s">
        <v>2</v>
      </c>
      <c r="E1" s="1" t="s">
        <v>3</v>
      </c>
      <c r="F1" s="1" t="s">
        <v>4</v>
      </c>
      <c r="G1" s="1" t="s">
        <v>5</v>
      </c>
      <c r="H1" s="1" t="s">
        <v>5</v>
      </c>
      <c r="I1" s="1" t="s">
        <v>3975</v>
      </c>
      <c r="J1" s="1" t="s">
        <v>6</v>
      </c>
      <c r="K1" s="1" t="s">
        <v>6</v>
      </c>
      <c r="L1" s="1" t="s">
        <v>3976</v>
      </c>
      <c r="M1" s="1" t="s">
        <v>3977</v>
      </c>
      <c r="N1" s="1" t="s">
        <v>3978</v>
      </c>
      <c r="O1" s="1" t="s">
        <v>3979</v>
      </c>
      <c r="P1" s="1" t="s">
        <v>7</v>
      </c>
      <c r="Q1" s="1" t="s">
        <v>8</v>
      </c>
      <c r="R1" s="1" t="s">
        <v>9</v>
      </c>
      <c r="S1" s="1" t="s">
        <v>3980</v>
      </c>
      <c r="T1" s="1" t="s">
        <v>10</v>
      </c>
    </row>
    <row r="2" spans="1:20">
      <c r="A2" s="1" t="s">
        <v>3981</v>
      </c>
      <c r="B2" s="1" t="s">
        <v>312</v>
      </c>
      <c r="C2" s="1" t="s">
        <v>3982</v>
      </c>
      <c r="D2" s="1" t="s">
        <v>312</v>
      </c>
      <c r="E2" s="2">
        <v>45667</v>
      </c>
      <c r="F2" s="2">
        <v>45660</v>
      </c>
      <c r="G2" s="1" t="s">
        <v>3983</v>
      </c>
      <c r="H2" s="3" t="s">
        <v>32</v>
      </c>
      <c r="I2" s="1" t="s">
        <v>3984</v>
      </c>
      <c r="J2" s="1" t="s">
        <v>3985</v>
      </c>
      <c r="K2" s="3" t="s">
        <v>3986</v>
      </c>
      <c r="L2" s="1" t="s">
        <v>3987</v>
      </c>
      <c r="M2" s="1" t="s">
        <v>13</v>
      </c>
      <c r="N2" s="1" t="s">
        <v>13</v>
      </c>
      <c r="O2" s="1" t="s">
        <v>3988</v>
      </c>
      <c r="P2" s="1" t="s">
        <v>13</v>
      </c>
      <c r="Q2" s="1" t="s">
        <v>13</v>
      </c>
      <c r="R2" s="1" t="s">
        <v>13</v>
      </c>
      <c r="S2" s="1" t="s">
        <v>3989</v>
      </c>
      <c r="T2" s="4">
        <v>18</v>
      </c>
    </row>
    <row r="3" spans="1:20">
      <c r="A3" s="1" t="s">
        <v>3981</v>
      </c>
      <c r="B3" s="1" t="s">
        <v>312</v>
      </c>
      <c r="C3" s="1" t="s">
        <v>3982</v>
      </c>
      <c r="D3" s="1" t="s">
        <v>312</v>
      </c>
      <c r="E3" s="2">
        <v>45667</v>
      </c>
      <c r="F3" s="2">
        <v>45660</v>
      </c>
      <c r="G3" s="1" t="s">
        <v>3990</v>
      </c>
      <c r="H3" s="3" t="s">
        <v>11</v>
      </c>
      <c r="I3" s="1" t="s">
        <v>3984</v>
      </c>
      <c r="J3" s="1" t="s">
        <v>3991</v>
      </c>
      <c r="K3" s="3" t="s">
        <v>3992</v>
      </c>
      <c r="L3" s="1" t="s">
        <v>3987</v>
      </c>
      <c r="M3" s="1" t="s">
        <v>13</v>
      </c>
      <c r="N3" s="1" t="s">
        <v>13</v>
      </c>
      <c r="O3" s="1" t="s">
        <v>3993</v>
      </c>
      <c r="P3" s="1" t="s">
        <v>13</v>
      </c>
      <c r="Q3" s="1" t="s">
        <v>13</v>
      </c>
      <c r="R3" s="1" t="s">
        <v>13</v>
      </c>
      <c r="S3" s="1" t="s">
        <v>3994</v>
      </c>
      <c r="T3" s="4">
        <v>9</v>
      </c>
    </row>
    <row r="4" spans="1:20">
      <c r="A4" s="1" t="s">
        <v>3981</v>
      </c>
      <c r="B4" s="1" t="s">
        <v>312</v>
      </c>
      <c r="C4" s="1" t="s">
        <v>3982</v>
      </c>
      <c r="D4" s="1" t="s">
        <v>312</v>
      </c>
      <c r="E4" s="2">
        <v>45667</v>
      </c>
      <c r="F4" s="2">
        <v>45660</v>
      </c>
      <c r="G4" s="1" t="s">
        <v>3990</v>
      </c>
      <c r="H4" s="3" t="s">
        <v>11</v>
      </c>
      <c r="I4" s="1" t="s">
        <v>3984</v>
      </c>
      <c r="J4" s="1" t="s">
        <v>3985</v>
      </c>
      <c r="K4" s="3" t="s">
        <v>3986</v>
      </c>
      <c r="L4" s="1" t="s">
        <v>3987</v>
      </c>
      <c r="M4" s="1" t="s">
        <v>13</v>
      </c>
      <c r="N4" s="1" t="s">
        <v>13</v>
      </c>
      <c r="O4" s="1" t="s">
        <v>3988</v>
      </c>
      <c r="P4" s="1" t="s">
        <v>13</v>
      </c>
      <c r="Q4" s="1" t="s">
        <v>13</v>
      </c>
      <c r="R4" s="1" t="s">
        <v>13</v>
      </c>
      <c r="S4" s="1" t="s">
        <v>3994</v>
      </c>
      <c r="T4" s="4">
        <v>3.5</v>
      </c>
    </row>
    <row r="5" spans="1:20">
      <c r="A5" s="1" t="s">
        <v>3981</v>
      </c>
      <c r="B5" s="1" t="s">
        <v>312</v>
      </c>
      <c r="C5" s="1" t="s">
        <v>3982</v>
      </c>
      <c r="D5" s="1" t="s">
        <v>312</v>
      </c>
      <c r="E5" s="2">
        <v>45667</v>
      </c>
      <c r="F5" s="2">
        <v>45660</v>
      </c>
      <c r="G5" s="1" t="s">
        <v>3990</v>
      </c>
      <c r="H5" s="3" t="s">
        <v>11</v>
      </c>
      <c r="I5" s="1" t="s">
        <v>3984</v>
      </c>
      <c r="J5" s="1" t="s">
        <v>12</v>
      </c>
      <c r="K5" s="3" t="s">
        <v>3995</v>
      </c>
      <c r="L5" s="1" t="s">
        <v>3987</v>
      </c>
      <c r="M5" s="1" t="s">
        <v>3996</v>
      </c>
      <c r="N5" s="1" t="s">
        <v>13</v>
      </c>
      <c r="O5" s="1" t="s">
        <v>3996</v>
      </c>
      <c r="P5" s="1" t="s">
        <v>13</v>
      </c>
      <c r="Q5" s="1" t="s">
        <v>14</v>
      </c>
      <c r="R5" s="1" t="s">
        <v>15</v>
      </c>
      <c r="S5" s="1" t="s">
        <v>3994</v>
      </c>
      <c r="T5" s="4">
        <v>2</v>
      </c>
    </row>
    <row r="6" spans="1:20">
      <c r="A6" s="1" t="s">
        <v>3981</v>
      </c>
      <c r="B6" s="1" t="s">
        <v>312</v>
      </c>
      <c r="C6" s="1" t="s">
        <v>3982</v>
      </c>
      <c r="D6" s="1" t="s">
        <v>312</v>
      </c>
      <c r="E6" s="2">
        <v>45667</v>
      </c>
      <c r="F6" s="2">
        <v>45660</v>
      </c>
      <c r="G6" s="1" t="s">
        <v>3990</v>
      </c>
      <c r="H6" s="3" t="s">
        <v>11</v>
      </c>
      <c r="I6" s="1" t="s">
        <v>3984</v>
      </c>
      <c r="J6" s="1" t="s">
        <v>12</v>
      </c>
      <c r="K6" s="3" t="s">
        <v>3995</v>
      </c>
      <c r="L6" s="1" t="s">
        <v>3987</v>
      </c>
      <c r="M6" s="1" t="s">
        <v>3996</v>
      </c>
      <c r="N6" s="1" t="s">
        <v>13</v>
      </c>
      <c r="O6" s="1" t="s">
        <v>3996</v>
      </c>
      <c r="P6" s="1" t="s">
        <v>13</v>
      </c>
      <c r="Q6" s="1" t="s">
        <v>16</v>
      </c>
      <c r="R6" s="1" t="s">
        <v>17</v>
      </c>
      <c r="S6" s="1" t="s">
        <v>3994</v>
      </c>
      <c r="T6" s="4">
        <v>2</v>
      </c>
    </row>
    <row r="7" spans="1:20">
      <c r="A7" s="1" t="s">
        <v>3981</v>
      </c>
      <c r="B7" s="1" t="s">
        <v>312</v>
      </c>
      <c r="C7" s="1" t="s">
        <v>3982</v>
      </c>
      <c r="D7" s="1" t="s">
        <v>312</v>
      </c>
      <c r="E7" s="2">
        <v>45667</v>
      </c>
      <c r="F7" s="2">
        <v>45660</v>
      </c>
      <c r="G7" s="1" t="s">
        <v>3990</v>
      </c>
      <c r="H7" s="3" t="s">
        <v>11</v>
      </c>
      <c r="I7" s="1" t="s">
        <v>3984</v>
      </c>
      <c r="J7" s="1" t="s">
        <v>12</v>
      </c>
      <c r="K7" s="3" t="s">
        <v>3995</v>
      </c>
      <c r="L7" s="1" t="s">
        <v>3987</v>
      </c>
      <c r="M7" s="1" t="s">
        <v>3996</v>
      </c>
      <c r="N7" s="1" t="s">
        <v>13</v>
      </c>
      <c r="O7" s="1" t="s">
        <v>3996</v>
      </c>
      <c r="P7" s="1" t="s">
        <v>13</v>
      </c>
      <c r="Q7" s="1" t="s">
        <v>16</v>
      </c>
      <c r="R7" s="1" t="s">
        <v>18</v>
      </c>
      <c r="S7" s="1" t="s">
        <v>3994</v>
      </c>
      <c r="T7" s="4">
        <v>1.2</v>
      </c>
    </row>
    <row r="8" spans="1:20">
      <c r="A8" s="1" t="s">
        <v>3981</v>
      </c>
      <c r="B8" s="1" t="s">
        <v>312</v>
      </c>
      <c r="C8" s="1" t="s">
        <v>3982</v>
      </c>
      <c r="D8" s="1" t="s">
        <v>312</v>
      </c>
      <c r="E8" s="2">
        <v>45667</v>
      </c>
      <c r="F8" s="2">
        <v>45660</v>
      </c>
      <c r="G8" s="1" t="s">
        <v>3990</v>
      </c>
      <c r="H8" s="3" t="s">
        <v>11</v>
      </c>
      <c r="I8" s="1" t="s">
        <v>3984</v>
      </c>
      <c r="J8" s="1" t="s">
        <v>12</v>
      </c>
      <c r="K8" s="3" t="s">
        <v>3995</v>
      </c>
      <c r="L8" s="1" t="s">
        <v>3987</v>
      </c>
      <c r="M8" s="1" t="s">
        <v>3996</v>
      </c>
      <c r="N8" s="1" t="s">
        <v>13</v>
      </c>
      <c r="O8" s="1" t="s">
        <v>3996</v>
      </c>
      <c r="P8" s="1" t="s">
        <v>13</v>
      </c>
      <c r="Q8" s="1" t="s">
        <v>19</v>
      </c>
      <c r="R8" s="1" t="s">
        <v>20</v>
      </c>
      <c r="S8" s="1" t="s">
        <v>3994</v>
      </c>
      <c r="T8" s="4">
        <v>0.3</v>
      </c>
    </row>
    <row r="9" spans="1:20">
      <c r="A9" s="1" t="s">
        <v>3981</v>
      </c>
      <c r="B9" s="1" t="s">
        <v>312</v>
      </c>
      <c r="C9" s="1" t="s">
        <v>3982</v>
      </c>
      <c r="D9" s="1" t="s">
        <v>312</v>
      </c>
      <c r="E9" s="2">
        <v>45667</v>
      </c>
      <c r="F9" s="2">
        <v>45660</v>
      </c>
      <c r="G9" s="1" t="s">
        <v>3997</v>
      </c>
      <c r="H9" s="3" t="s">
        <v>41</v>
      </c>
      <c r="I9" s="1" t="s">
        <v>3984</v>
      </c>
      <c r="J9" s="1" t="s">
        <v>3991</v>
      </c>
      <c r="K9" s="3" t="s">
        <v>3992</v>
      </c>
      <c r="L9" s="1" t="s">
        <v>3987</v>
      </c>
      <c r="M9" s="1" t="s">
        <v>13</v>
      </c>
      <c r="N9" s="1" t="s">
        <v>13</v>
      </c>
      <c r="O9" s="1" t="s">
        <v>3993</v>
      </c>
      <c r="P9" s="1" t="s">
        <v>13</v>
      </c>
      <c r="Q9" s="1" t="s">
        <v>13</v>
      </c>
      <c r="R9" s="1" t="s">
        <v>13</v>
      </c>
      <c r="S9" s="1" t="s">
        <v>3998</v>
      </c>
      <c r="T9" s="4">
        <v>9</v>
      </c>
    </row>
    <row r="10" spans="1:20">
      <c r="A10" s="1" t="s">
        <v>3981</v>
      </c>
      <c r="B10" s="1" t="s">
        <v>312</v>
      </c>
      <c r="C10" s="1" t="s">
        <v>3982</v>
      </c>
      <c r="D10" s="1" t="s">
        <v>312</v>
      </c>
      <c r="E10" s="2">
        <v>45667</v>
      </c>
      <c r="F10" s="2">
        <v>45660</v>
      </c>
      <c r="G10" s="1" t="s">
        <v>3997</v>
      </c>
      <c r="H10" s="3" t="s">
        <v>41</v>
      </c>
      <c r="I10" s="1" t="s">
        <v>3984</v>
      </c>
      <c r="J10" s="1" t="s">
        <v>3985</v>
      </c>
      <c r="K10" s="3" t="s">
        <v>3986</v>
      </c>
      <c r="L10" s="1" t="s">
        <v>3987</v>
      </c>
      <c r="M10" s="1" t="s">
        <v>13</v>
      </c>
      <c r="N10" s="1" t="s">
        <v>13</v>
      </c>
      <c r="O10" s="1" t="s">
        <v>3988</v>
      </c>
      <c r="P10" s="1" t="s">
        <v>13</v>
      </c>
      <c r="Q10" s="1" t="s">
        <v>13</v>
      </c>
      <c r="R10" s="1" t="s">
        <v>13</v>
      </c>
      <c r="S10" s="1" t="s">
        <v>3998</v>
      </c>
      <c r="T10" s="4">
        <v>4</v>
      </c>
    </row>
    <row r="11" spans="1:20">
      <c r="A11" s="1" t="s">
        <v>3981</v>
      </c>
      <c r="B11" s="1" t="s">
        <v>312</v>
      </c>
      <c r="C11" s="1" t="s">
        <v>3982</v>
      </c>
      <c r="D11" s="1" t="s">
        <v>312</v>
      </c>
      <c r="E11" s="2">
        <v>45667</v>
      </c>
      <c r="F11" s="2">
        <v>45660</v>
      </c>
      <c r="G11" s="1" t="s">
        <v>3997</v>
      </c>
      <c r="H11" s="3" t="s">
        <v>41</v>
      </c>
      <c r="I11" s="1" t="s">
        <v>3984</v>
      </c>
      <c r="J11" s="1" t="s">
        <v>12</v>
      </c>
      <c r="K11" s="3" t="s">
        <v>3995</v>
      </c>
      <c r="L11" s="1" t="s">
        <v>3987</v>
      </c>
      <c r="M11" s="1" t="s">
        <v>3999</v>
      </c>
      <c r="N11" s="1" t="s">
        <v>13</v>
      </c>
      <c r="O11" s="1" t="s">
        <v>3999</v>
      </c>
      <c r="P11" s="1" t="s">
        <v>13</v>
      </c>
      <c r="Q11" s="1" t="s">
        <v>4000</v>
      </c>
      <c r="R11" s="1" t="s">
        <v>4001</v>
      </c>
      <c r="S11" s="1" t="s">
        <v>3998</v>
      </c>
      <c r="T11" s="4">
        <v>0.5</v>
      </c>
    </row>
    <row r="12" spans="1:20">
      <c r="A12" s="1" t="s">
        <v>3981</v>
      </c>
      <c r="B12" s="1" t="s">
        <v>312</v>
      </c>
      <c r="C12" s="1" t="s">
        <v>3982</v>
      </c>
      <c r="D12" s="1" t="s">
        <v>312</v>
      </c>
      <c r="E12" s="2">
        <v>45667</v>
      </c>
      <c r="F12" s="2">
        <v>45660</v>
      </c>
      <c r="G12" s="1" t="s">
        <v>3997</v>
      </c>
      <c r="H12" s="3" t="s">
        <v>41</v>
      </c>
      <c r="I12" s="1" t="s">
        <v>3984</v>
      </c>
      <c r="J12" s="1" t="s">
        <v>12</v>
      </c>
      <c r="K12" s="3" t="s">
        <v>3995</v>
      </c>
      <c r="L12" s="1" t="s">
        <v>4002</v>
      </c>
      <c r="M12" s="1" t="s">
        <v>4003</v>
      </c>
      <c r="N12" s="1" t="s">
        <v>13</v>
      </c>
      <c r="O12" s="1" t="s">
        <v>4003</v>
      </c>
      <c r="P12" s="1" t="s">
        <v>13</v>
      </c>
      <c r="Q12" s="1" t="s">
        <v>4004</v>
      </c>
      <c r="R12" s="1" t="s">
        <v>4001</v>
      </c>
      <c r="S12" s="1" t="s">
        <v>3998</v>
      </c>
      <c r="T12" s="4">
        <v>1</v>
      </c>
    </row>
    <row r="13" spans="1:20">
      <c r="A13" s="1" t="s">
        <v>3981</v>
      </c>
      <c r="B13" s="1" t="s">
        <v>312</v>
      </c>
      <c r="C13" s="1" t="s">
        <v>3982</v>
      </c>
      <c r="D13" s="1" t="s">
        <v>312</v>
      </c>
      <c r="E13" s="2">
        <v>45667</v>
      </c>
      <c r="F13" s="2">
        <v>45660</v>
      </c>
      <c r="G13" s="1" t="s">
        <v>4005</v>
      </c>
      <c r="H13" s="3" t="s">
        <v>21</v>
      </c>
      <c r="I13" s="1" t="s">
        <v>3984</v>
      </c>
      <c r="J13" s="1" t="s">
        <v>22</v>
      </c>
      <c r="K13" s="3" t="s">
        <v>4006</v>
      </c>
      <c r="L13" s="1" t="s">
        <v>3987</v>
      </c>
      <c r="M13" s="1" t="s">
        <v>3996</v>
      </c>
      <c r="N13" s="1" t="s">
        <v>13</v>
      </c>
      <c r="O13" s="1" t="s">
        <v>3996</v>
      </c>
      <c r="P13" s="1" t="s">
        <v>13</v>
      </c>
      <c r="Q13" s="1" t="s">
        <v>14</v>
      </c>
      <c r="R13" s="1" t="s">
        <v>23</v>
      </c>
      <c r="S13" s="1" t="s">
        <v>4007</v>
      </c>
      <c r="T13" s="4">
        <v>4.5999999999999996</v>
      </c>
    </row>
    <row r="14" spans="1:20">
      <c r="A14" s="1" t="s">
        <v>3981</v>
      </c>
      <c r="B14" s="1" t="s">
        <v>312</v>
      </c>
      <c r="C14" s="1" t="s">
        <v>3982</v>
      </c>
      <c r="D14" s="1" t="s">
        <v>312</v>
      </c>
      <c r="E14" s="2">
        <v>45667</v>
      </c>
      <c r="F14" s="2">
        <v>45660</v>
      </c>
      <c r="G14" s="1" t="s">
        <v>4005</v>
      </c>
      <c r="H14" s="3" t="s">
        <v>21</v>
      </c>
      <c r="I14" s="1" t="s">
        <v>3984</v>
      </c>
      <c r="J14" s="1" t="s">
        <v>3991</v>
      </c>
      <c r="K14" s="3" t="s">
        <v>3992</v>
      </c>
      <c r="L14" s="1" t="s">
        <v>3987</v>
      </c>
      <c r="M14" s="1" t="s">
        <v>13</v>
      </c>
      <c r="N14" s="1" t="s">
        <v>13</v>
      </c>
      <c r="O14" s="1" t="s">
        <v>3993</v>
      </c>
      <c r="P14" s="1" t="s">
        <v>13</v>
      </c>
      <c r="Q14" s="1" t="s">
        <v>13</v>
      </c>
      <c r="R14" s="1" t="s">
        <v>13</v>
      </c>
      <c r="S14" s="1" t="s">
        <v>4007</v>
      </c>
      <c r="T14" s="4">
        <v>9</v>
      </c>
    </row>
    <row r="15" spans="1:20">
      <c r="A15" s="1" t="s">
        <v>3981</v>
      </c>
      <c r="B15" s="1" t="s">
        <v>312</v>
      </c>
      <c r="C15" s="1" t="s">
        <v>3982</v>
      </c>
      <c r="D15" s="1" t="s">
        <v>312</v>
      </c>
      <c r="E15" s="2">
        <v>45667</v>
      </c>
      <c r="F15" s="2">
        <v>45660</v>
      </c>
      <c r="G15" s="1" t="s">
        <v>4005</v>
      </c>
      <c r="H15" s="3" t="s">
        <v>21</v>
      </c>
      <c r="I15" s="1" t="s">
        <v>3984</v>
      </c>
      <c r="J15" s="1" t="s">
        <v>12</v>
      </c>
      <c r="K15" s="3" t="s">
        <v>3995</v>
      </c>
      <c r="L15" s="1" t="s">
        <v>3987</v>
      </c>
      <c r="M15" s="1" t="s">
        <v>3996</v>
      </c>
      <c r="N15" s="1" t="s">
        <v>13</v>
      </c>
      <c r="O15" s="1" t="s">
        <v>3996</v>
      </c>
      <c r="P15" s="1" t="s">
        <v>13</v>
      </c>
      <c r="Q15" s="1" t="s">
        <v>14</v>
      </c>
      <c r="R15" s="1" t="s">
        <v>24</v>
      </c>
      <c r="S15" s="1" t="s">
        <v>4007</v>
      </c>
      <c r="T15" s="4">
        <v>1.3</v>
      </c>
    </row>
    <row r="16" spans="1:20">
      <c r="A16" s="1" t="s">
        <v>3981</v>
      </c>
      <c r="B16" s="1" t="s">
        <v>312</v>
      </c>
      <c r="C16" s="1" t="s">
        <v>3982</v>
      </c>
      <c r="D16" s="1" t="s">
        <v>312</v>
      </c>
      <c r="E16" s="2">
        <v>45667</v>
      </c>
      <c r="F16" s="2">
        <v>45660</v>
      </c>
      <c r="G16" s="1" t="s">
        <v>4005</v>
      </c>
      <c r="H16" s="3" t="s">
        <v>21</v>
      </c>
      <c r="I16" s="1" t="s">
        <v>3984</v>
      </c>
      <c r="J16" s="1" t="s">
        <v>12</v>
      </c>
      <c r="K16" s="3" t="s">
        <v>3995</v>
      </c>
      <c r="L16" s="1" t="s">
        <v>3987</v>
      </c>
      <c r="M16" s="1" t="s">
        <v>3996</v>
      </c>
      <c r="N16" s="1" t="s">
        <v>13</v>
      </c>
      <c r="O16" s="1" t="s">
        <v>3996</v>
      </c>
      <c r="P16" s="1" t="s">
        <v>13</v>
      </c>
      <c r="Q16" s="1" t="s">
        <v>14</v>
      </c>
      <c r="R16" s="1" t="s">
        <v>23</v>
      </c>
      <c r="S16" s="1" t="s">
        <v>4007</v>
      </c>
      <c r="T16" s="4">
        <v>13.6</v>
      </c>
    </row>
    <row r="17" spans="1:20">
      <c r="A17" s="1" t="s">
        <v>3981</v>
      </c>
      <c r="B17" s="1" t="s">
        <v>312</v>
      </c>
      <c r="C17" s="1" t="s">
        <v>3982</v>
      </c>
      <c r="D17" s="1" t="s">
        <v>312</v>
      </c>
      <c r="E17" s="2">
        <v>45667</v>
      </c>
      <c r="F17" s="2">
        <v>45660</v>
      </c>
      <c r="G17" s="1" t="s">
        <v>4008</v>
      </c>
      <c r="H17" s="3" t="s">
        <v>25</v>
      </c>
      <c r="I17" s="1" t="s">
        <v>3984</v>
      </c>
      <c r="J17" s="1" t="s">
        <v>3991</v>
      </c>
      <c r="K17" s="3" t="s">
        <v>3992</v>
      </c>
      <c r="L17" s="1" t="s">
        <v>3987</v>
      </c>
      <c r="M17" s="1" t="s">
        <v>13</v>
      </c>
      <c r="N17" s="1" t="s">
        <v>13</v>
      </c>
      <c r="O17" s="1" t="s">
        <v>3993</v>
      </c>
      <c r="P17" s="1" t="s">
        <v>13</v>
      </c>
      <c r="Q17" s="1" t="s">
        <v>13</v>
      </c>
      <c r="R17" s="1" t="s">
        <v>13</v>
      </c>
      <c r="S17" s="1" t="s">
        <v>4009</v>
      </c>
      <c r="T17" s="4">
        <v>9</v>
      </c>
    </row>
    <row r="18" spans="1:20">
      <c r="A18" s="1" t="s">
        <v>3981</v>
      </c>
      <c r="B18" s="1" t="s">
        <v>312</v>
      </c>
      <c r="C18" s="1" t="s">
        <v>3982</v>
      </c>
      <c r="D18" s="1" t="s">
        <v>312</v>
      </c>
      <c r="E18" s="2">
        <v>45667</v>
      </c>
      <c r="F18" s="2">
        <v>45660</v>
      </c>
      <c r="G18" s="1" t="s">
        <v>4008</v>
      </c>
      <c r="H18" s="3" t="s">
        <v>25</v>
      </c>
      <c r="I18" s="1" t="s">
        <v>3984</v>
      </c>
      <c r="J18" s="1" t="s">
        <v>3985</v>
      </c>
      <c r="K18" s="3" t="s">
        <v>3986</v>
      </c>
      <c r="L18" s="1" t="s">
        <v>3987</v>
      </c>
      <c r="M18" s="1" t="s">
        <v>13</v>
      </c>
      <c r="N18" s="1" t="s">
        <v>13</v>
      </c>
      <c r="O18" s="1" t="s">
        <v>3988</v>
      </c>
      <c r="P18" s="1" t="s">
        <v>13</v>
      </c>
      <c r="Q18" s="1" t="s">
        <v>13</v>
      </c>
      <c r="R18" s="1" t="s">
        <v>13</v>
      </c>
      <c r="S18" s="1" t="s">
        <v>4009</v>
      </c>
      <c r="T18" s="4">
        <v>6</v>
      </c>
    </row>
    <row r="19" spans="1:20">
      <c r="A19" s="1" t="s">
        <v>3981</v>
      </c>
      <c r="B19" s="1" t="s">
        <v>312</v>
      </c>
      <c r="C19" s="1" t="s">
        <v>3982</v>
      </c>
      <c r="D19" s="1" t="s">
        <v>312</v>
      </c>
      <c r="E19" s="2">
        <v>45667</v>
      </c>
      <c r="F19" s="2">
        <v>45660</v>
      </c>
      <c r="G19" s="1" t="s">
        <v>4008</v>
      </c>
      <c r="H19" s="3" t="s">
        <v>25</v>
      </c>
      <c r="I19" s="1" t="s">
        <v>3984</v>
      </c>
      <c r="J19" s="1" t="s">
        <v>12</v>
      </c>
      <c r="K19" s="3" t="s">
        <v>3995</v>
      </c>
      <c r="L19" s="1" t="s">
        <v>3987</v>
      </c>
      <c r="M19" s="1" t="s">
        <v>3996</v>
      </c>
      <c r="N19" s="1" t="s">
        <v>13</v>
      </c>
      <c r="O19" s="1" t="s">
        <v>3996</v>
      </c>
      <c r="P19" s="1" t="s">
        <v>13</v>
      </c>
      <c r="Q19" s="1" t="s">
        <v>14</v>
      </c>
      <c r="R19" s="1" t="s">
        <v>26</v>
      </c>
      <c r="S19" s="1" t="s">
        <v>4009</v>
      </c>
      <c r="T19" s="4">
        <v>0.5</v>
      </c>
    </row>
    <row r="20" spans="1:20">
      <c r="A20" s="1" t="s">
        <v>3981</v>
      </c>
      <c r="B20" s="1" t="s">
        <v>312</v>
      </c>
      <c r="C20" s="1" t="s">
        <v>3982</v>
      </c>
      <c r="D20" s="1" t="s">
        <v>312</v>
      </c>
      <c r="E20" s="2">
        <v>45667</v>
      </c>
      <c r="F20" s="2">
        <v>45660</v>
      </c>
      <c r="G20" s="1" t="s">
        <v>4008</v>
      </c>
      <c r="H20" s="3" t="s">
        <v>25</v>
      </c>
      <c r="I20" s="1" t="s">
        <v>3984</v>
      </c>
      <c r="J20" s="1" t="s">
        <v>12</v>
      </c>
      <c r="K20" s="3" t="s">
        <v>3995</v>
      </c>
      <c r="L20" s="1" t="s">
        <v>3987</v>
      </c>
      <c r="M20" s="1" t="s">
        <v>3996</v>
      </c>
      <c r="N20" s="1" t="s">
        <v>13</v>
      </c>
      <c r="O20" s="1" t="s">
        <v>3996</v>
      </c>
      <c r="P20" s="1" t="s">
        <v>13</v>
      </c>
      <c r="Q20" s="1" t="s">
        <v>14</v>
      </c>
      <c r="R20" s="1" t="s">
        <v>27</v>
      </c>
      <c r="S20" s="1" t="s">
        <v>4009</v>
      </c>
      <c r="T20" s="4">
        <v>1.5</v>
      </c>
    </row>
    <row r="21" spans="1:20">
      <c r="A21" s="1" t="s">
        <v>3981</v>
      </c>
      <c r="B21" s="1" t="s">
        <v>312</v>
      </c>
      <c r="C21" s="1" t="s">
        <v>3982</v>
      </c>
      <c r="D21" s="1" t="s">
        <v>312</v>
      </c>
      <c r="E21" s="2">
        <v>45667</v>
      </c>
      <c r="F21" s="2">
        <v>45660</v>
      </c>
      <c r="G21" s="1" t="s">
        <v>4008</v>
      </c>
      <c r="H21" s="3" t="s">
        <v>25</v>
      </c>
      <c r="I21" s="1" t="s">
        <v>3984</v>
      </c>
      <c r="J21" s="1" t="s">
        <v>12</v>
      </c>
      <c r="K21" s="3" t="s">
        <v>3995</v>
      </c>
      <c r="L21" s="1" t="s">
        <v>3987</v>
      </c>
      <c r="M21" s="1" t="s">
        <v>3996</v>
      </c>
      <c r="N21" s="1" t="s">
        <v>13</v>
      </c>
      <c r="O21" s="1" t="s">
        <v>3996</v>
      </c>
      <c r="P21" s="1" t="s">
        <v>13</v>
      </c>
      <c r="Q21" s="1" t="s">
        <v>28</v>
      </c>
      <c r="R21" s="1" t="s">
        <v>29</v>
      </c>
      <c r="S21" s="1" t="s">
        <v>4009</v>
      </c>
      <c r="T21" s="4">
        <v>0.5</v>
      </c>
    </row>
    <row r="22" spans="1:20">
      <c r="A22" s="1" t="s">
        <v>3981</v>
      </c>
      <c r="B22" s="1" t="s">
        <v>312</v>
      </c>
      <c r="C22" s="1" t="s">
        <v>3982</v>
      </c>
      <c r="D22" s="1" t="s">
        <v>312</v>
      </c>
      <c r="E22" s="2">
        <v>45667</v>
      </c>
      <c r="F22" s="2">
        <v>45660</v>
      </c>
      <c r="G22" s="1" t="s">
        <v>4008</v>
      </c>
      <c r="H22" s="3" t="s">
        <v>25</v>
      </c>
      <c r="I22" s="1" t="s">
        <v>3984</v>
      </c>
      <c r="J22" s="1" t="s">
        <v>12</v>
      </c>
      <c r="K22" s="3" t="s">
        <v>3995</v>
      </c>
      <c r="L22" s="1" t="s">
        <v>3987</v>
      </c>
      <c r="M22" s="1" t="s">
        <v>3996</v>
      </c>
      <c r="N22" s="1" t="s">
        <v>13</v>
      </c>
      <c r="O22" s="1" t="s">
        <v>3996</v>
      </c>
      <c r="P22" s="1" t="s">
        <v>13</v>
      </c>
      <c r="Q22" s="1" t="s">
        <v>30</v>
      </c>
      <c r="R22" s="1" t="s">
        <v>31</v>
      </c>
      <c r="S22" s="1" t="s">
        <v>4009</v>
      </c>
      <c r="T22" s="4">
        <v>0.5</v>
      </c>
    </row>
    <row r="23" spans="1:20">
      <c r="A23" s="1" t="s">
        <v>3981</v>
      </c>
      <c r="B23" s="1" t="s">
        <v>312</v>
      </c>
      <c r="C23" s="1" t="s">
        <v>3982</v>
      </c>
      <c r="D23" s="1" t="s">
        <v>312</v>
      </c>
      <c r="E23" s="2">
        <v>45667</v>
      </c>
      <c r="F23" s="2">
        <v>45667</v>
      </c>
      <c r="G23" s="1" t="s">
        <v>3983</v>
      </c>
      <c r="H23" s="3" t="s">
        <v>32</v>
      </c>
      <c r="I23" s="1" t="s">
        <v>3984</v>
      </c>
      <c r="J23" s="1" t="s">
        <v>12</v>
      </c>
      <c r="K23" s="3" t="s">
        <v>3995</v>
      </c>
      <c r="L23" s="1" t="s">
        <v>3987</v>
      </c>
      <c r="M23" s="1" t="s">
        <v>3996</v>
      </c>
      <c r="N23" s="1" t="s">
        <v>13</v>
      </c>
      <c r="O23" s="1" t="s">
        <v>3996</v>
      </c>
      <c r="P23" s="1" t="s">
        <v>13</v>
      </c>
      <c r="Q23" s="1" t="s">
        <v>14</v>
      </c>
      <c r="R23" s="1" t="s">
        <v>33</v>
      </c>
      <c r="S23" s="1" t="s">
        <v>3989</v>
      </c>
      <c r="T23" s="4">
        <v>3</v>
      </c>
    </row>
    <row r="24" spans="1:20">
      <c r="A24" s="1" t="s">
        <v>3981</v>
      </c>
      <c r="B24" s="1" t="s">
        <v>312</v>
      </c>
      <c r="C24" s="1" t="s">
        <v>3982</v>
      </c>
      <c r="D24" s="1" t="s">
        <v>312</v>
      </c>
      <c r="E24" s="2">
        <v>45667</v>
      </c>
      <c r="F24" s="2">
        <v>45667</v>
      </c>
      <c r="G24" s="1" t="s">
        <v>3983</v>
      </c>
      <c r="H24" s="3" t="s">
        <v>32</v>
      </c>
      <c r="I24" s="1" t="s">
        <v>3984</v>
      </c>
      <c r="J24" s="1" t="s">
        <v>12</v>
      </c>
      <c r="K24" s="3" t="s">
        <v>3995</v>
      </c>
      <c r="L24" s="1" t="s">
        <v>3987</v>
      </c>
      <c r="M24" s="1" t="s">
        <v>3996</v>
      </c>
      <c r="N24" s="1" t="s">
        <v>13</v>
      </c>
      <c r="O24" s="1" t="s">
        <v>3996</v>
      </c>
      <c r="P24" s="1" t="s">
        <v>13</v>
      </c>
      <c r="Q24" s="1" t="s">
        <v>14</v>
      </c>
      <c r="R24" s="1" t="s">
        <v>34</v>
      </c>
      <c r="S24" s="1" t="s">
        <v>3989</v>
      </c>
      <c r="T24" s="4">
        <v>17</v>
      </c>
    </row>
    <row r="25" spans="1:20">
      <c r="A25" s="1" t="s">
        <v>3981</v>
      </c>
      <c r="B25" s="1" t="s">
        <v>312</v>
      </c>
      <c r="C25" s="1" t="s">
        <v>3982</v>
      </c>
      <c r="D25" s="1" t="s">
        <v>312</v>
      </c>
      <c r="E25" s="2">
        <v>45667</v>
      </c>
      <c r="F25" s="2">
        <v>45667</v>
      </c>
      <c r="G25" s="1" t="s">
        <v>3983</v>
      </c>
      <c r="H25" s="3" t="s">
        <v>32</v>
      </c>
      <c r="I25" s="1" t="s">
        <v>3984</v>
      </c>
      <c r="J25" s="1" t="s">
        <v>12</v>
      </c>
      <c r="K25" s="3" t="s">
        <v>3995</v>
      </c>
      <c r="L25" s="1" t="s">
        <v>3987</v>
      </c>
      <c r="M25" s="1" t="s">
        <v>3996</v>
      </c>
      <c r="N25" s="1" t="s">
        <v>13</v>
      </c>
      <c r="O25" s="1" t="s">
        <v>3996</v>
      </c>
      <c r="P25" s="1" t="s">
        <v>13</v>
      </c>
      <c r="Q25" s="1" t="s">
        <v>19</v>
      </c>
      <c r="R25" s="1" t="s">
        <v>35</v>
      </c>
      <c r="S25" s="1" t="s">
        <v>3989</v>
      </c>
      <c r="T25" s="4">
        <v>24</v>
      </c>
    </row>
    <row r="26" spans="1:20">
      <c r="A26" s="1" t="s">
        <v>3981</v>
      </c>
      <c r="B26" s="1" t="s">
        <v>312</v>
      </c>
      <c r="C26" s="1" t="s">
        <v>3982</v>
      </c>
      <c r="D26" s="1" t="s">
        <v>312</v>
      </c>
      <c r="E26" s="2">
        <v>45667</v>
      </c>
      <c r="F26" s="2">
        <v>45667</v>
      </c>
      <c r="G26" s="1" t="s">
        <v>3990</v>
      </c>
      <c r="H26" s="3" t="s">
        <v>11</v>
      </c>
      <c r="I26" s="1" t="s">
        <v>3984</v>
      </c>
      <c r="J26" s="1" t="s">
        <v>3985</v>
      </c>
      <c r="K26" s="3" t="s">
        <v>3986</v>
      </c>
      <c r="L26" s="1" t="s">
        <v>3987</v>
      </c>
      <c r="M26" s="1" t="s">
        <v>13</v>
      </c>
      <c r="N26" s="1" t="s">
        <v>13</v>
      </c>
      <c r="O26" s="1" t="s">
        <v>3988</v>
      </c>
      <c r="P26" s="1" t="s">
        <v>13</v>
      </c>
      <c r="Q26" s="1" t="s">
        <v>13</v>
      </c>
      <c r="R26" s="1" t="s">
        <v>13</v>
      </c>
      <c r="S26" s="1" t="s">
        <v>3994</v>
      </c>
      <c r="T26" s="4">
        <v>6.7</v>
      </c>
    </row>
    <row r="27" spans="1:20">
      <c r="A27" s="1" t="s">
        <v>3981</v>
      </c>
      <c r="B27" s="1" t="s">
        <v>312</v>
      </c>
      <c r="C27" s="1" t="s">
        <v>3982</v>
      </c>
      <c r="D27" s="1" t="s">
        <v>312</v>
      </c>
      <c r="E27" s="2">
        <v>45667</v>
      </c>
      <c r="F27" s="2">
        <v>45667</v>
      </c>
      <c r="G27" s="1" t="s">
        <v>3990</v>
      </c>
      <c r="H27" s="3" t="s">
        <v>11</v>
      </c>
      <c r="I27" s="1" t="s">
        <v>3984</v>
      </c>
      <c r="J27" s="1" t="s">
        <v>12</v>
      </c>
      <c r="K27" s="3" t="s">
        <v>3995</v>
      </c>
      <c r="L27" s="1" t="s">
        <v>3987</v>
      </c>
      <c r="M27" s="1" t="s">
        <v>3996</v>
      </c>
      <c r="N27" s="1" t="s">
        <v>13</v>
      </c>
      <c r="O27" s="1" t="s">
        <v>3996</v>
      </c>
      <c r="P27" s="1" t="s">
        <v>13</v>
      </c>
      <c r="Q27" s="1" t="s">
        <v>14</v>
      </c>
      <c r="R27" s="1" t="s">
        <v>36</v>
      </c>
      <c r="S27" s="1" t="s">
        <v>3994</v>
      </c>
      <c r="T27" s="4">
        <v>0.7</v>
      </c>
    </row>
    <row r="28" spans="1:20">
      <c r="A28" s="1" t="s">
        <v>3981</v>
      </c>
      <c r="B28" s="1" t="s">
        <v>312</v>
      </c>
      <c r="C28" s="1" t="s">
        <v>3982</v>
      </c>
      <c r="D28" s="1" t="s">
        <v>312</v>
      </c>
      <c r="E28" s="2">
        <v>45667</v>
      </c>
      <c r="F28" s="2">
        <v>45667</v>
      </c>
      <c r="G28" s="1" t="s">
        <v>3990</v>
      </c>
      <c r="H28" s="3" t="s">
        <v>11</v>
      </c>
      <c r="I28" s="1" t="s">
        <v>3984</v>
      </c>
      <c r="J28" s="1" t="s">
        <v>12</v>
      </c>
      <c r="K28" s="3" t="s">
        <v>3995</v>
      </c>
      <c r="L28" s="1" t="s">
        <v>3987</v>
      </c>
      <c r="M28" s="1" t="s">
        <v>3996</v>
      </c>
      <c r="N28" s="1" t="s">
        <v>13</v>
      </c>
      <c r="O28" s="1" t="s">
        <v>3996</v>
      </c>
      <c r="P28" s="1" t="s">
        <v>13</v>
      </c>
      <c r="Q28" s="1" t="s">
        <v>14</v>
      </c>
      <c r="R28" s="1" t="s">
        <v>37</v>
      </c>
      <c r="S28" s="1" t="s">
        <v>3994</v>
      </c>
      <c r="T28" s="4">
        <v>1.1000000000000001</v>
      </c>
    </row>
    <row r="29" spans="1:20">
      <c r="A29" s="1" t="s">
        <v>3981</v>
      </c>
      <c r="B29" s="1" t="s">
        <v>312</v>
      </c>
      <c r="C29" s="1" t="s">
        <v>3982</v>
      </c>
      <c r="D29" s="1" t="s">
        <v>312</v>
      </c>
      <c r="E29" s="2">
        <v>45667</v>
      </c>
      <c r="F29" s="2">
        <v>45667</v>
      </c>
      <c r="G29" s="1" t="s">
        <v>3990</v>
      </c>
      <c r="H29" s="3" t="s">
        <v>11</v>
      </c>
      <c r="I29" s="1" t="s">
        <v>3984</v>
      </c>
      <c r="J29" s="1" t="s">
        <v>12</v>
      </c>
      <c r="K29" s="3" t="s">
        <v>3995</v>
      </c>
      <c r="L29" s="1" t="s">
        <v>3987</v>
      </c>
      <c r="M29" s="1" t="s">
        <v>3996</v>
      </c>
      <c r="N29" s="1" t="s">
        <v>13</v>
      </c>
      <c r="O29" s="1" t="s">
        <v>3996</v>
      </c>
      <c r="P29" s="1" t="s">
        <v>13</v>
      </c>
      <c r="Q29" s="1" t="s">
        <v>14</v>
      </c>
      <c r="R29" s="1" t="s">
        <v>15</v>
      </c>
      <c r="S29" s="1" t="s">
        <v>3994</v>
      </c>
      <c r="T29" s="4">
        <v>18.3</v>
      </c>
    </row>
    <row r="30" spans="1:20">
      <c r="A30" s="1" t="s">
        <v>3981</v>
      </c>
      <c r="B30" s="1" t="s">
        <v>312</v>
      </c>
      <c r="C30" s="1" t="s">
        <v>3982</v>
      </c>
      <c r="D30" s="1" t="s">
        <v>312</v>
      </c>
      <c r="E30" s="2">
        <v>45667</v>
      </c>
      <c r="F30" s="2">
        <v>45667</v>
      </c>
      <c r="G30" s="1" t="s">
        <v>3990</v>
      </c>
      <c r="H30" s="3" t="s">
        <v>11</v>
      </c>
      <c r="I30" s="1" t="s">
        <v>3984</v>
      </c>
      <c r="J30" s="1" t="s">
        <v>12</v>
      </c>
      <c r="K30" s="3" t="s">
        <v>3995</v>
      </c>
      <c r="L30" s="1" t="s">
        <v>3987</v>
      </c>
      <c r="M30" s="1" t="s">
        <v>3996</v>
      </c>
      <c r="N30" s="1" t="s">
        <v>13</v>
      </c>
      <c r="O30" s="1" t="s">
        <v>3996</v>
      </c>
      <c r="P30" s="1" t="s">
        <v>13</v>
      </c>
      <c r="Q30" s="1" t="s">
        <v>38</v>
      </c>
      <c r="R30" s="1" t="s">
        <v>39</v>
      </c>
      <c r="S30" s="1" t="s">
        <v>3994</v>
      </c>
      <c r="T30" s="4">
        <v>0.4</v>
      </c>
    </row>
    <row r="31" spans="1:20">
      <c r="A31" s="1" t="s">
        <v>3981</v>
      </c>
      <c r="B31" s="1" t="s">
        <v>312</v>
      </c>
      <c r="C31" s="1" t="s">
        <v>3982</v>
      </c>
      <c r="D31" s="1" t="s">
        <v>312</v>
      </c>
      <c r="E31" s="2">
        <v>45667</v>
      </c>
      <c r="F31" s="2">
        <v>45667</v>
      </c>
      <c r="G31" s="1" t="s">
        <v>3990</v>
      </c>
      <c r="H31" s="3" t="s">
        <v>11</v>
      </c>
      <c r="I31" s="1" t="s">
        <v>3984</v>
      </c>
      <c r="J31" s="1" t="s">
        <v>12</v>
      </c>
      <c r="K31" s="3" t="s">
        <v>3995</v>
      </c>
      <c r="L31" s="1" t="s">
        <v>3987</v>
      </c>
      <c r="M31" s="1" t="s">
        <v>3996</v>
      </c>
      <c r="N31" s="1" t="s">
        <v>13</v>
      </c>
      <c r="O31" s="1" t="s">
        <v>3996</v>
      </c>
      <c r="P31" s="1" t="s">
        <v>13</v>
      </c>
      <c r="Q31" s="1" t="s">
        <v>16</v>
      </c>
      <c r="R31" s="1" t="s">
        <v>17</v>
      </c>
      <c r="S31" s="1" t="s">
        <v>3994</v>
      </c>
      <c r="T31" s="4">
        <v>10.8</v>
      </c>
    </row>
    <row r="32" spans="1:20">
      <c r="A32" s="1" t="s">
        <v>3981</v>
      </c>
      <c r="B32" s="1" t="s">
        <v>312</v>
      </c>
      <c r="C32" s="1" t="s">
        <v>3982</v>
      </c>
      <c r="D32" s="1" t="s">
        <v>312</v>
      </c>
      <c r="E32" s="2">
        <v>45667</v>
      </c>
      <c r="F32" s="2">
        <v>45667</v>
      </c>
      <c r="G32" s="1" t="s">
        <v>3990</v>
      </c>
      <c r="H32" s="3" t="s">
        <v>11</v>
      </c>
      <c r="I32" s="1" t="s">
        <v>3984</v>
      </c>
      <c r="J32" s="1" t="s">
        <v>12</v>
      </c>
      <c r="K32" s="3" t="s">
        <v>3995</v>
      </c>
      <c r="L32" s="1" t="s">
        <v>3987</v>
      </c>
      <c r="M32" s="1" t="s">
        <v>3996</v>
      </c>
      <c r="N32" s="1" t="s">
        <v>13</v>
      </c>
      <c r="O32" s="1" t="s">
        <v>3996</v>
      </c>
      <c r="P32" s="1" t="s">
        <v>13</v>
      </c>
      <c r="Q32" s="1" t="s">
        <v>16</v>
      </c>
      <c r="R32" s="1" t="s">
        <v>40</v>
      </c>
      <c r="S32" s="1" t="s">
        <v>3994</v>
      </c>
      <c r="T32" s="4">
        <v>3.5</v>
      </c>
    </row>
    <row r="33" spans="1:20">
      <c r="A33" s="1" t="s">
        <v>3981</v>
      </c>
      <c r="B33" s="1" t="s">
        <v>312</v>
      </c>
      <c r="C33" s="1" t="s">
        <v>3982</v>
      </c>
      <c r="D33" s="1" t="s">
        <v>312</v>
      </c>
      <c r="E33" s="2">
        <v>45667</v>
      </c>
      <c r="F33" s="2">
        <v>45667</v>
      </c>
      <c r="G33" s="1" t="s">
        <v>3990</v>
      </c>
      <c r="H33" s="3" t="s">
        <v>11</v>
      </c>
      <c r="I33" s="1" t="s">
        <v>3984</v>
      </c>
      <c r="J33" s="1" t="s">
        <v>12</v>
      </c>
      <c r="K33" s="3" t="s">
        <v>3995</v>
      </c>
      <c r="L33" s="1" t="s">
        <v>3987</v>
      </c>
      <c r="M33" s="1" t="s">
        <v>3996</v>
      </c>
      <c r="N33" s="1" t="s">
        <v>13</v>
      </c>
      <c r="O33" s="1" t="s">
        <v>3996</v>
      </c>
      <c r="P33" s="1" t="s">
        <v>13</v>
      </c>
      <c r="Q33" s="1" t="s">
        <v>19</v>
      </c>
      <c r="R33" s="1" t="s">
        <v>20</v>
      </c>
      <c r="S33" s="1" t="s">
        <v>3994</v>
      </c>
      <c r="T33" s="4">
        <v>2</v>
      </c>
    </row>
    <row r="34" spans="1:20">
      <c r="A34" s="1" t="s">
        <v>3981</v>
      </c>
      <c r="B34" s="1" t="s">
        <v>312</v>
      </c>
      <c r="C34" s="1" t="s">
        <v>3982</v>
      </c>
      <c r="D34" s="1" t="s">
        <v>312</v>
      </c>
      <c r="E34" s="2">
        <v>45667</v>
      </c>
      <c r="F34" s="2">
        <v>45667</v>
      </c>
      <c r="G34" s="1" t="s">
        <v>3990</v>
      </c>
      <c r="H34" s="3" t="s">
        <v>11</v>
      </c>
      <c r="I34" s="1" t="s">
        <v>3984</v>
      </c>
      <c r="J34" s="1" t="s">
        <v>12</v>
      </c>
      <c r="K34" s="3" t="s">
        <v>3995</v>
      </c>
      <c r="L34" s="1" t="s">
        <v>3987</v>
      </c>
      <c r="M34" s="1" t="s">
        <v>4010</v>
      </c>
      <c r="N34" s="1" t="s">
        <v>4011</v>
      </c>
      <c r="O34" s="1" t="s">
        <v>13</v>
      </c>
      <c r="P34" s="1" t="s">
        <v>13</v>
      </c>
      <c r="Q34" s="1" t="s">
        <v>4001</v>
      </c>
      <c r="R34" s="1" t="s">
        <v>4012</v>
      </c>
      <c r="S34" s="1" t="s">
        <v>3994</v>
      </c>
      <c r="T34" s="4">
        <v>0.5</v>
      </c>
    </row>
    <row r="35" spans="1:20">
      <c r="A35" s="1" t="s">
        <v>3981</v>
      </c>
      <c r="B35" s="1" t="s">
        <v>312</v>
      </c>
      <c r="C35" s="1" t="s">
        <v>3982</v>
      </c>
      <c r="D35" s="1" t="s">
        <v>312</v>
      </c>
      <c r="E35" s="2">
        <v>45667</v>
      </c>
      <c r="F35" s="2">
        <v>45667</v>
      </c>
      <c r="G35" s="1" t="s">
        <v>3997</v>
      </c>
      <c r="H35" s="3" t="s">
        <v>41</v>
      </c>
      <c r="I35" s="1" t="s">
        <v>3984</v>
      </c>
      <c r="J35" s="1" t="s">
        <v>12</v>
      </c>
      <c r="K35" s="3" t="s">
        <v>3995</v>
      </c>
      <c r="L35" s="1" t="s">
        <v>3987</v>
      </c>
      <c r="M35" s="1" t="s">
        <v>3999</v>
      </c>
      <c r="N35" s="1" t="s">
        <v>13</v>
      </c>
      <c r="O35" s="1" t="s">
        <v>3999</v>
      </c>
      <c r="P35" s="1" t="s">
        <v>13</v>
      </c>
      <c r="Q35" s="1" t="s">
        <v>4000</v>
      </c>
      <c r="R35" s="1" t="s">
        <v>4001</v>
      </c>
      <c r="S35" s="1" t="s">
        <v>3998</v>
      </c>
      <c r="T35" s="4">
        <v>7.5</v>
      </c>
    </row>
    <row r="36" spans="1:20">
      <c r="A36" s="1" t="s">
        <v>3981</v>
      </c>
      <c r="B36" s="1" t="s">
        <v>312</v>
      </c>
      <c r="C36" s="1" t="s">
        <v>3982</v>
      </c>
      <c r="D36" s="1" t="s">
        <v>312</v>
      </c>
      <c r="E36" s="2">
        <v>45667</v>
      </c>
      <c r="F36" s="2">
        <v>45667</v>
      </c>
      <c r="G36" s="1" t="s">
        <v>3997</v>
      </c>
      <c r="H36" s="3" t="s">
        <v>41</v>
      </c>
      <c r="I36" s="1" t="s">
        <v>3984</v>
      </c>
      <c r="J36" s="1" t="s">
        <v>12</v>
      </c>
      <c r="K36" s="3" t="s">
        <v>3995</v>
      </c>
      <c r="L36" s="1" t="s">
        <v>3987</v>
      </c>
      <c r="M36" s="1" t="s">
        <v>3996</v>
      </c>
      <c r="N36" s="1" t="s">
        <v>13</v>
      </c>
      <c r="O36" s="1" t="s">
        <v>3996</v>
      </c>
      <c r="P36" s="1" t="s">
        <v>13</v>
      </c>
      <c r="Q36" s="1" t="s">
        <v>19</v>
      </c>
      <c r="R36" s="1" t="s">
        <v>20</v>
      </c>
      <c r="S36" s="1" t="s">
        <v>3998</v>
      </c>
      <c r="T36" s="4">
        <v>0.5</v>
      </c>
    </row>
    <row r="37" spans="1:20">
      <c r="A37" s="1" t="s">
        <v>3981</v>
      </c>
      <c r="B37" s="1" t="s">
        <v>312</v>
      </c>
      <c r="C37" s="1" t="s">
        <v>3982</v>
      </c>
      <c r="D37" s="1" t="s">
        <v>312</v>
      </c>
      <c r="E37" s="2">
        <v>45667</v>
      </c>
      <c r="F37" s="2">
        <v>45667</v>
      </c>
      <c r="G37" s="1" t="s">
        <v>3997</v>
      </c>
      <c r="H37" s="3" t="s">
        <v>41</v>
      </c>
      <c r="I37" s="1" t="s">
        <v>3984</v>
      </c>
      <c r="J37" s="1" t="s">
        <v>12</v>
      </c>
      <c r="K37" s="3" t="s">
        <v>3995</v>
      </c>
      <c r="L37" s="1" t="s">
        <v>4002</v>
      </c>
      <c r="M37" s="1" t="s">
        <v>4003</v>
      </c>
      <c r="N37" s="1" t="s">
        <v>13</v>
      </c>
      <c r="O37" s="1" t="s">
        <v>4003</v>
      </c>
      <c r="P37" s="1" t="s">
        <v>13</v>
      </c>
      <c r="Q37" s="1" t="s">
        <v>4004</v>
      </c>
      <c r="R37" s="1" t="s">
        <v>4001</v>
      </c>
      <c r="S37" s="1" t="s">
        <v>3998</v>
      </c>
      <c r="T37" s="4">
        <v>39.5</v>
      </c>
    </row>
    <row r="38" spans="1:20">
      <c r="A38" s="1" t="s">
        <v>3981</v>
      </c>
      <c r="B38" s="1" t="s">
        <v>312</v>
      </c>
      <c r="C38" s="1" t="s">
        <v>3982</v>
      </c>
      <c r="D38" s="1" t="s">
        <v>312</v>
      </c>
      <c r="E38" s="2">
        <v>45667</v>
      </c>
      <c r="F38" s="2">
        <v>45667</v>
      </c>
      <c r="G38" s="1" t="s">
        <v>4005</v>
      </c>
      <c r="H38" s="3" t="s">
        <v>21</v>
      </c>
      <c r="I38" s="1" t="s">
        <v>3984</v>
      </c>
      <c r="J38" s="1" t="s">
        <v>12</v>
      </c>
      <c r="K38" s="3" t="s">
        <v>3995</v>
      </c>
      <c r="L38" s="1" t="s">
        <v>3987</v>
      </c>
      <c r="M38" s="1" t="s">
        <v>3996</v>
      </c>
      <c r="N38" s="1" t="s">
        <v>13</v>
      </c>
      <c r="O38" s="1" t="s">
        <v>3996</v>
      </c>
      <c r="P38" s="1" t="s">
        <v>13</v>
      </c>
      <c r="Q38" s="1" t="s">
        <v>14</v>
      </c>
      <c r="R38" s="1" t="s">
        <v>24</v>
      </c>
      <c r="S38" s="1" t="s">
        <v>4007</v>
      </c>
      <c r="T38" s="4">
        <v>8.1</v>
      </c>
    </row>
    <row r="39" spans="1:20">
      <c r="A39" s="1" t="s">
        <v>3981</v>
      </c>
      <c r="B39" s="1" t="s">
        <v>312</v>
      </c>
      <c r="C39" s="1" t="s">
        <v>3982</v>
      </c>
      <c r="D39" s="1" t="s">
        <v>312</v>
      </c>
      <c r="E39" s="2">
        <v>45667</v>
      </c>
      <c r="F39" s="2">
        <v>45667</v>
      </c>
      <c r="G39" s="1" t="s">
        <v>4005</v>
      </c>
      <c r="H39" s="3" t="s">
        <v>21</v>
      </c>
      <c r="I39" s="1" t="s">
        <v>3984</v>
      </c>
      <c r="J39" s="1" t="s">
        <v>12</v>
      </c>
      <c r="K39" s="3" t="s">
        <v>3995</v>
      </c>
      <c r="L39" s="1" t="s">
        <v>3987</v>
      </c>
      <c r="M39" s="1" t="s">
        <v>3996</v>
      </c>
      <c r="N39" s="1" t="s">
        <v>13</v>
      </c>
      <c r="O39" s="1" t="s">
        <v>3996</v>
      </c>
      <c r="P39" s="1" t="s">
        <v>13</v>
      </c>
      <c r="Q39" s="1" t="s">
        <v>14</v>
      </c>
      <c r="R39" s="1" t="s">
        <v>23</v>
      </c>
      <c r="S39" s="1" t="s">
        <v>4007</v>
      </c>
      <c r="T39" s="4">
        <v>16.7</v>
      </c>
    </row>
    <row r="40" spans="1:20">
      <c r="A40" s="1" t="s">
        <v>3981</v>
      </c>
      <c r="B40" s="1" t="s">
        <v>312</v>
      </c>
      <c r="C40" s="1" t="s">
        <v>3982</v>
      </c>
      <c r="D40" s="1" t="s">
        <v>312</v>
      </c>
      <c r="E40" s="2">
        <v>45667</v>
      </c>
      <c r="F40" s="2">
        <v>45667</v>
      </c>
      <c r="G40" s="1" t="s">
        <v>4005</v>
      </c>
      <c r="H40" s="3" t="s">
        <v>21</v>
      </c>
      <c r="I40" s="1" t="s">
        <v>3984</v>
      </c>
      <c r="J40" s="1" t="s">
        <v>12</v>
      </c>
      <c r="K40" s="3" t="s">
        <v>3995</v>
      </c>
      <c r="L40" s="1" t="s">
        <v>3987</v>
      </c>
      <c r="M40" s="1" t="s">
        <v>3996</v>
      </c>
      <c r="N40" s="1" t="s">
        <v>13</v>
      </c>
      <c r="O40" s="1" t="s">
        <v>3996</v>
      </c>
      <c r="P40" s="1" t="s">
        <v>13</v>
      </c>
      <c r="Q40" s="1" t="s">
        <v>14</v>
      </c>
      <c r="R40" s="1" t="s">
        <v>42</v>
      </c>
      <c r="S40" s="1" t="s">
        <v>4007</v>
      </c>
      <c r="T40" s="4">
        <v>12.2</v>
      </c>
    </row>
    <row r="41" spans="1:20">
      <c r="A41" s="1" t="s">
        <v>3981</v>
      </c>
      <c r="B41" s="1" t="s">
        <v>312</v>
      </c>
      <c r="C41" s="1" t="s">
        <v>3982</v>
      </c>
      <c r="D41" s="1" t="s">
        <v>312</v>
      </c>
      <c r="E41" s="2">
        <v>45667</v>
      </c>
      <c r="F41" s="2">
        <v>45667</v>
      </c>
      <c r="G41" s="1" t="s">
        <v>4005</v>
      </c>
      <c r="H41" s="3" t="s">
        <v>21</v>
      </c>
      <c r="I41" s="1" t="s">
        <v>3984</v>
      </c>
      <c r="J41" s="1" t="s">
        <v>12</v>
      </c>
      <c r="K41" s="3" t="s">
        <v>3995</v>
      </c>
      <c r="L41" s="1" t="s">
        <v>3987</v>
      </c>
      <c r="M41" s="1" t="s">
        <v>3996</v>
      </c>
      <c r="N41" s="1" t="s">
        <v>13</v>
      </c>
      <c r="O41" s="1" t="s">
        <v>3996</v>
      </c>
      <c r="P41" s="1" t="s">
        <v>13</v>
      </c>
      <c r="Q41" s="1" t="s">
        <v>28</v>
      </c>
      <c r="R41" s="1" t="s">
        <v>43</v>
      </c>
      <c r="S41" s="1" t="s">
        <v>4007</v>
      </c>
      <c r="T41" s="4">
        <v>0.9</v>
      </c>
    </row>
    <row r="42" spans="1:20">
      <c r="A42" s="1" t="s">
        <v>3981</v>
      </c>
      <c r="B42" s="1" t="s">
        <v>312</v>
      </c>
      <c r="C42" s="1" t="s">
        <v>3982</v>
      </c>
      <c r="D42" s="1" t="s">
        <v>312</v>
      </c>
      <c r="E42" s="2">
        <v>45667</v>
      </c>
      <c r="F42" s="2">
        <v>45667</v>
      </c>
      <c r="G42" s="1" t="s">
        <v>4005</v>
      </c>
      <c r="H42" s="3" t="s">
        <v>21</v>
      </c>
      <c r="I42" s="1" t="s">
        <v>3984</v>
      </c>
      <c r="J42" s="1" t="s">
        <v>12</v>
      </c>
      <c r="K42" s="3" t="s">
        <v>3995</v>
      </c>
      <c r="L42" s="1" t="s">
        <v>3987</v>
      </c>
      <c r="M42" s="1" t="s">
        <v>3996</v>
      </c>
      <c r="N42" s="1" t="s">
        <v>13</v>
      </c>
      <c r="O42" s="1" t="s">
        <v>3996</v>
      </c>
      <c r="P42" s="1" t="s">
        <v>13</v>
      </c>
      <c r="Q42" s="1" t="s">
        <v>28</v>
      </c>
      <c r="R42" s="1" t="s">
        <v>29</v>
      </c>
      <c r="S42" s="1" t="s">
        <v>4007</v>
      </c>
      <c r="T42" s="4">
        <v>5.9</v>
      </c>
    </row>
    <row r="43" spans="1:20">
      <c r="A43" s="1" t="s">
        <v>3981</v>
      </c>
      <c r="B43" s="1" t="s">
        <v>312</v>
      </c>
      <c r="C43" s="1" t="s">
        <v>3982</v>
      </c>
      <c r="D43" s="1" t="s">
        <v>312</v>
      </c>
      <c r="E43" s="2">
        <v>45667</v>
      </c>
      <c r="F43" s="2">
        <v>45667</v>
      </c>
      <c r="G43" s="1" t="s">
        <v>4008</v>
      </c>
      <c r="H43" s="3" t="s">
        <v>25</v>
      </c>
      <c r="I43" s="1" t="s">
        <v>3984</v>
      </c>
      <c r="J43" s="1" t="s">
        <v>3985</v>
      </c>
      <c r="K43" s="3" t="s">
        <v>3986</v>
      </c>
      <c r="L43" s="1" t="s">
        <v>3987</v>
      </c>
      <c r="M43" s="1" t="s">
        <v>13</v>
      </c>
      <c r="N43" s="1" t="s">
        <v>13</v>
      </c>
      <c r="O43" s="1" t="s">
        <v>3988</v>
      </c>
      <c r="P43" s="1" t="s">
        <v>13</v>
      </c>
      <c r="Q43" s="1" t="s">
        <v>13</v>
      </c>
      <c r="R43" s="1" t="s">
        <v>13</v>
      </c>
      <c r="S43" s="1" t="s">
        <v>4009</v>
      </c>
      <c r="T43" s="4">
        <v>34</v>
      </c>
    </row>
    <row r="44" spans="1:20">
      <c r="A44" s="1" t="s">
        <v>3981</v>
      </c>
      <c r="B44" s="1" t="s">
        <v>312</v>
      </c>
      <c r="C44" s="1" t="s">
        <v>3982</v>
      </c>
      <c r="D44" s="1" t="s">
        <v>312</v>
      </c>
      <c r="E44" s="2">
        <v>45667</v>
      </c>
      <c r="F44" s="2">
        <v>45667</v>
      </c>
      <c r="G44" s="1" t="s">
        <v>4008</v>
      </c>
      <c r="H44" s="3" t="s">
        <v>25</v>
      </c>
      <c r="I44" s="1" t="s">
        <v>3984</v>
      </c>
      <c r="J44" s="1" t="s">
        <v>12</v>
      </c>
      <c r="K44" s="3" t="s">
        <v>3995</v>
      </c>
      <c r="L44" s="1" t="s">
        <v>4013</v>
      </c>
      <c r="M44" s="1" t="s">
        <v>4014</v>
      </c>
      <c r="N44" s="1" t="s">
        <v>13</v>
      </c>
      <c r="O44" s="1" t="s">
        <v>4014</v>
      </c>
      <c r="P44" s="1" t="s">
        <v>13</v>
      </c>
      <c r="Q44" s="1" t="s">
        <v>13</v>
      </c>
      <c r="R44" s="1" t="s">
        <v>13</v>
      </c>
      <c r="S44" s="1" t="s">
        <v>4009</v>
      </c>
      <c r="T44" s="4">
        <v>0.3</v>
      </c>
    </row>
    <row r="45" spans="1:20">
      <c r="A45" s="1" t="s">
        <v>3981</v>
      </c>
      <c r="B45" s="1" t="s">
        <v>312</v>
      </c>
      <c r="C45" s="1" t="s">
        <v>3982</v>
      </c>
      <c r="D45" s="1" t="s">
        <v>312</v>
      </c>
      <c r="E45" s="2">
        <v>45667</v>
      </c>
      <c r="F45" s="2">
        <v>45667</v>
      </c>
      <c r="G45" s="1" t="s">
        <v>4008</v>
      </c>
      <c r="H45" s="3" t="s">
        <v>25</v>
      </c>
      <c r="I45" s="1" t="s">
        <v>3984</v>
      </c>
      <c r="J45" s="1" t="s">
        <v>12</v>
      </c>
      <c r="K45" s="3" t="s">
        <v>3995</v>
      </c>
      <c r="L45" s="1" t="s">
        <v>4013</v>
      </c>
      <c r="M45" s="1" t="s">
        <v>4015</v>
      </c>
      <c r="N45" s="1" t="s">
        <v>4016</v>
      </c>
      <c r="O45" s="1" t="s">
        <v>13</v>
      </c>
      <c r="P45" s="1" t="s">
        <v>13</v>
      </c>
      <c r="Q45" s="1" t="s">
        <v>13</v>
      </c>
      <c r="R45" s="1" t="s">
        <v>13</v>
      </c>
      <c r="S45" s="1" t="s">
        <v>4009</v>
      </c>
      <c r="T45" s="4">
        <v>1.6</v>
      </c>
    </row>
    <row r="46" spans="1:20">
      <c r="A46" s="1" t="s">
        <v>3981</v>
      </c>
      <c r="B46" s="1" t="s">
        <v>312</v>
      </c>
      <c r="C46" s="1" t="s">
        <v>3982</v>
      </c>
      <c r="D46" s="1" t="s">
        <v>312</v>
      </c>
      <c r="E46" s="2">
        <v>45667</v>
      </c>
      <c r="F46" s="2">
        <v>45667</v>
      </c>
      <c r="G46" s="1" t="s">
        <v>4008</v>
      </c>
      <c r="H46" s="3" t="s">
        <v>25</v>
      </c>
      <c r="I46" s="1" t="s">
        <v>3984</v>
      </c>
      <c r="J46" s="1" t="s">
        <v>12</v>
      </c>
      <c r="K46" s="3" t="s">
        <v>3995</v>
      </c>
      <c r="L46" s="1" t="s">
        <v>3987</v>
      </c>
      <c r="M46" s="1" t="s">
        <v>3996</v>
      </c>
      <c r="N46" s="1" t="s">
        <v>13</v>
      </c>
      <c r="O46" s="1" t="s">
        <v>3996</v>
      </c>
      <c r="P46" s="1" t="s">
        <v>13</v>
      </c>
      <c r="Q46" s="1" t="s">
        <v>14</v>
      </c>
      <c r="R46" s="1" t="s">
        <v>27</v>
      </c>
      <c r="S46" s="1" t="s">
        <v>4009</v>
      </c>
      <c r="T46" s="4">
        <v>0.5</v>
      </c>
    </row>
    <row r="47" spans="1:20">
      <c r="A47" s="1" t="s">
        <v>3981</v>
      </c>
      <c r="B47" s="1" t="s">
        <v>312</v>
      </c>
      <c r="C47" s="1" t="s">
        <v>3982</v>
      </c>
      <c r="D47" s="1" t="s">
        <v>312</v>
      </c>
      <c r="E47" s="2">
        <v>45667</v>
      </c>
      <c r="F47" s="2">
        <v>45667</v>
      </c>
      <c r="G47" s="1" t="s">
        <v>4008</v>
      </c>
      <c r="H47" s="3" t="s">
        <v>25</v>
      </c>
      <c r="I47" s="1" t="s">
        <v>3984</v>
      </c>
      <c r="J47" s="1" t="s">
        <v>12</v>
      </c>
      <c r="K47" s="3" t="s">
        <v>3995</v>
      </c>
      <c r="L47" s="1" t="s">
        <v>3987</v>
      </c>
      <c r="M47" s="1" t="s">
        <v>3996</v>
      </c>
      <c r="N47" s="1" t="s">
        <v>13</v>
      </c>
      <c r="O47" s="1" t="s">
        <v>3996</v>
      </c>
      <c r="P47" s="1" t="s">
        <v>13</v>
      </c>
      <c r="Q47" s="1" t="s">
        <v>28</v>
      </c>
      <c r="R47" s="1" t="s">
        <v>29</v>
      </c>
      <c r="S47" s="1" t="s">
        <v>4009</v>
      </c>
      <c r="T47" s="4">
        <v>1.5</v>
      </c>
    </row>
    <row r="48" spans="1:20">
      <c r="A48" s="1" t="s">
        <v>3981</v>
      </c>
      <c r="B48" s="1" t="s">
        <v>312</v>
      </c>
      <c r="C48" s="1" t="s">
        <v>3982</v>
      </c>
      <c r="D48" s="1" t="s">
        <v>312</v>
      </c>
      <c r="E48" s="2">
        <v>45667</v>
      </c>
      <c r="F48" s="2">
        <v>45667</v>
      </c>
      <c r="G48" s="1" t="s">
        <v>4008</v>
      </c>
      <c r="H48" s="3" t="s">
        <v>25</v>
      </c>
      <c r="I48" s="1" t="s">
        <v>3984</v>
      </c>
      <c r="J48" s="1" t="s">
        <v>12</v>
      </c>
      <c r="K48" s="3" t="s">
        <v>3995</v>
      </c>
      <c r="L48" s="1" t="s">
        <v>3987</v>
      </c>
      <c r="M48" s="1" t="s">
        <v>3996</v>
      </c>
      <c r="N48" s="1" t="s">
        <v>13</v>
      </c>
      <c r="O48" s="1" t="s">
        <v>3996</v>
      </c>
      <c r="P48" s="1" t="s">
        <v>13</v>
      </c>
      <c r="Q48" s="1" t="s">
        <v>44</v>
      </c>
      <c r="R48" s="1" t="s">
        <v>45</v>
      </c>
      <c r="S48" s="1" t="s">
        <v>4009</v>
      </c>
      <c r="T48" s="4">
        <v>4</v>
      </c>
    </row>
    <row r="49" spans="1:20">
      <c r="A49" s="1" t="s">
        <v>3981</v>
      </c>
      <c r="B49" s="1" t="s">
        <v>312</v>
      </c>
      <c r="C49" s="1" t="s">
        <v>3982</v>
      </c>
      <c r="D49" s="1" t="s">
        <v>312</v>
      </c>
      <c r="E49" s="2">
        <v>45667</v>
      </c>
      <c r="F49" s="2">
        <v>45667</v>
      </c>
      <c r="G49" s="1" t="s">
        <v>4008</v>
      </c>
      <c r="H49" s="3" t="s">
        <v>25</v>
      </c>
      <c r="I49" s="1" t="s">
        <v>3984</v>
      </c>
      <c r="J49" s="1" t="s">
        <v>12</v>
      </c>
      <c r="K49" s="3" t="s">
        <v>3995</v>
      </c>
      <c r="L49" s="1" t="s">
        <v>3987</v>
      </c>
      <c r="M49" s="1" t="s">
        <v>3996</v>
      </c>
      <c r="N49" s="1" t="s">
        <v>13</v>
      </c>
      <c r="O49" s="1" t="s">
        <v>3996</v>
      </c>
      <c r="P49" s="1" t="s">
        <v>13</v>
      </c>
      <c r="Q49" s="1" t="s">
        <v>38</v>
      </c>
      <c r="R49" s="1" t="s">
        <v>46</v>
      </c>
      <c r="S49" s="1" t="s">
        <v>4009</v>
      </c>
      <c r="T49" s="4">
        <v>0.5</v>
      </c>
    </row>
    <row r="50" spans="1:20">
      <c r="A50" s="1" t="s">
        <v>3981</v>
      </c>
      <c r="B50" s="1" t="s">
        <v>312</v>
      </c>
      <c r="C50" s="1" t="s">
        <v>3982</v>
      </c>
      <c r="D50" s="1" t="s">
        <v>312</v>
      </c>
      <c r="E50" s="2">
        <v>45667</v>
      </c>
      <c r="F50" s="2">
        <v>45667</v>
      </c>
      <c r="G50" s="1" t="s">
        <v>4008</v>
      </c>
      <c r="H50" s="3" t="s">
        <v>25</v>
      </c>
      <c r="I50" s="1" t="s">
        <v>3984</v>
      </c>
      <c r="J50" s="1" t="s">
        <v>12</v>
      </c>
      <c r="K50" s="3" t="s">
        <v>3995</v>
      </c>
      <c r="L50" s="1" t="s">
        <v>3987</v>
      </c>
      <c r="M50" s="1" t="s">
        <v>3996</v>
      </c>
      <c r="N50" s="1" t="s">
        <v>13</v>
      </c>
      <c r="O50" s="1" t="s">
        <v>3996</v>
      </c>
      <c r="P50" s="1" t="s">
        <v>13</v>
      </c>
      <c r="Q50" s="1" t="s">
        <v>30</v>
      </c>
      <c r="R50" s="1" t="s">
        <v>31</v>
      </c>
      <c r="S50" s="1" t="s">
        <v>4009</v>
      </c>
      <c r="T50" s="4">
        <v>1.6</v>
      </c>
    </row>
    <row r="51" spans="1:20">
      <c r="A51" s="1" t="s">
        <v>3981</v>
      </c>
      <c r="B51" s="1" t="s">
        <v>312</v>
      </c>
      <c r="C51" s="1" t="s">
        <v>3982</v>
      </c>
      <c r="D51" s="1" t="s">
        <v>312</v>
      </c>
      <c r="E51" s="2">
        <v>45681</v>
      </c>
      <c r="F51" s="2">
        <v>45674</v>
      </c>
      <c r="G51" s="1" t="s">
        <v>3983</v>
      </c>
      <c r="H51" s="3" t="s">
        <v>32</v>
      </c>
      <c r="I51" s="1" t="s">
        <v>3984</v>
      </c>
      <c r="J51" s="1" t="s">
        <v>12</v>
      </c>
      <c r="K51" s="3" t="s">
        <v>3995</v>
      </c>
      <c r="L51" s="1" t="s">
        <v>3987</v>
      </c>
      <c r="M51" s="1" t="s">
        <v>3996</v>
      </c>
      <c r="N51" s="1" t="s">
        <v>13</v>
      </c>
      <c r="O51" s="1" t="s">
        <v>3996</v>
      </c>
      <c r="P51" s="1" t="s">
        <v>13</v>
      </c>
      <c r="Q51" s="1" t="s">
        <v>14</v>
      </c>
      <c r="R51" s="1" t="s">
        <v>33</v>
      </c>
      <c r="S51" s="1" t="s">
        <v>3989</v>
      </c>
      <c r="T51" s="4">
        <v>2</v>
      </c>
    </row>
    <row r="52" spans="1:20">
      <c r="A52" s="1" t="s">
        <v>3981</v>
      </c>
      <c r="B52" s="1" t="s">
        <v>312</v>
      </c>
      <c r="C52" s="1" t="s">
        <v>3982</v>
      </c>
      <c r="D52" s="1" t="s">
        <v>312</v>
      </c>
      <c r="E52" s="2">
        <v>45681</v>
      </c>
      <c r="F52" s="2">
        <v>45674</v>
      </c>
      <c r="G52" s="1" t="s">
        <v>3983</v>
      </c>
      <c r="H52" s="3" t="s">
        <v>32</v>
      </c>
      <c r="I52" s="1" t="s">
        <v>3984</v>
      </c>
      <c r="J52" s="1" t="s">
        <v>12</v>
      </c>
      <c r="K52" s="3" t="s">
        <v>3995</v>
      </c>
      <c r="L52" s="1" t="s">
        <v>3987</v>
      </c>
      <c r="M52" s="1" t="s">
        <v>3996</v>
      </c>
      <c r="N52" s="1" t="s">
        <v>13</v>
      </c>
      <c r="O52" s="1" t="s">
        <v>3996</v>
      </c>
      <c r="P52" s="1" t="s">
        <v>13</v>
      </c>
      <c r="Q52" s="1" t="s">
        <v>14</v>
      </c>
      <c r="R52" s="1" t="s">
        <v>34</v>
      </c>
      <c r="S52" s="1" t="s">
        <v>3989</v>
      </c>
      <c r="T52" s="4">
        <v>10</v>
      </c>
    </row>
    <row r="53" spans="1:20">
      <c r="A53" s="1" t="s">
        <v>3981</v>
      </c>
      <c r="B53" s="1" t="s">
        <v>312</v>
      </c>
      <c r="C53" s="1" t="s">
        <v>3982</v>
      </c>
      <c r="D53" s="1" t="s">
        <v>312</v>
      </c>
      <c r="E53" s="2">
        <v>45681</v>
      </c>
      <c r="F53" s="2">
        <v>45674</v>
      </c>
      <c r="G53" s="1" t="s">
        <v>3983</v>
      </c>
      <c r="H53" s="3" t="s">
        <v>32</v>
      </c>
      <c r="I53" s="1" t="s">
        <v>3984</v>
      </c>
      <c r="J53" s="1" t="s">
        <v>12</v>
      </c>
      <c r="K53" s="3" t="s">
        <v>3995</v>
      </c>
      <c r="L53" s="1" t="s">
        <v>3987</v>
      </c>
      <c r="M53" s="1" t="s">
        <v>3996</v>
      </c>
      <c r="N53" s="1" t="s">
        <v>13</v>
      </c>
      <c r="O53" s="1" t="s">
        <v>3996</v>
      </c>
      <c r="P53" s="1" t="s">
        <v>13</v>
      </c>
      <c r="Q53" s="1" t="s">
        <v>44</v>
      </c>
      <c r="R53" s="1" t="s">
        <v>47</v>
      </c>
      <c r="S53" s="1" t="s">
        <v>3989</v>
      </c>
      <c r="T53" s="4">
        <v>1</v>
      </c>
    </row>
    <row r="54" spans="1:20">
      <c r="A54" s="1" t="s">
        <v>3981</v>
      </c>
      <c r="B54" s="1" t="s">
        <v>312</v>
      </c>
      <c r="C54" s="1" t="s">
        <v>3982</v>
      </c>
      <c r="D54" s="1" t="s">
        <v>312</v>
      </c>
      <c r="E54" s="2">
        <v>45681</v>
      </c>
      <c r="F54" s="2">
        <v>45674</v>
      </c>
      <c r="G54" s="1" t="s">
        <v>3983</v>
      </c>
      <c r="H54" s="3" t="s">
        <v>32</v>
      </c>
      <c r="I54" s="1" t="s">
        <v>3984</v>
      </c>
      <c r="J54" s="1" t="s">
        <v>12</v>
      </c>
      <c r="K54" s="3" t="s">
        <v>3995</v>
      </c>
      <c r="L54" s="1" t="s">
        <v>3987</v>
      </c>
      <c r="M54" s="1" t="s">
        <v>3996</v>
      </c>
      <c r="N54" s="1" t="s">
        <v>13</v>
      </c>
      <c r="O54" s="1" t="s">
        <v>3996</v>
      </c>
      <c r="P54" s="1" t="s">
        <v>13</v>
      </c>
      <c r="Q54" s="1" t="s">
        <v>44</v>
      </c>
      <c r="R54" s="1" t="s">
        <v>48</v>
      </c>
      <c r="S54" s="1" t="s">
        <v>3989</v>
      </c>
      <c r="T54" s="4">
        <v>7</v>
      </c>
    </row>
    <row r="55" spans="1:20">
      <c r="A55" s="1" t="s">
        <v>3981</v>
      </c>
      <c r="B55" s="1" t="s">
        <v>312</v>
      </c>
      <c r="C55" s="1" t="s">
        <v>3982</v>
      </c>
      <c r="D55" s="1" t="s">
        <v>312</v>
      </c>
      <c r="E55" s="2">
        <v>45681</v>
      </c>
      <c r="F55" s="2">
        <v>45674</v>
      </c>
      <c r="G55" s="1" t="s">
        <v>3983</v>
      </c>
      <c r="H55" s="3" t="s">
        <v>32</v>
      </c>
      <c r="I55" s="1" t="s">
        <v>3984</v>
      </c>
      <c r="J55" s="1" t="s">
        <v>12</v>
      </c>
      <c r="K55" s="3" t="s">
        <v>3995</v>
      </c>
      <c r="L55" s="1" t="s">
        <v>3987</v>
      </c>
      <c r="M55" s="1" t="s">
        <v>3996</v>
      </c>
      <c r="N55" s="1" t="s">
        <v>13</v>
      </c>
      <c r="O55" s="1" t="s">
        <v>3996</v>
      </c>
      <c r="P55" s="1" t="s">
        <v>13</v>
      </c>
      <c r="Q55" s="1" t="s">
        <v>19</v>
      </c>
      <c r="R55" s="1" t="s">
        <v>35</v>
      </c>
      <c r="S55" s="1" t="s">
        <v>3989</v>
      </c>
      <c r="T55" s="4">
        <v>16</v>
      </c>
    </row>
    <row r="56" spans="1:20">
      <c r="A56" s="1" t="s">
        <v>3981</v>
      </c>
      <c r="B56" s="1" t="s">
        <v>312</v>
      </c>
      <c r="C56" s="1" t="s">
        <v>3982</v>
      </c>
      <c r="D56" s="1" t="s">
        <v>312</v>
      </c>
      <c r="E56" s="2">
        <v>45681</v>
      </c>
      <c r="F56" s="2">
        <v>45674</v>
      </c>
      <c r="G56" s="1" t="s">
        <v>3990</v>
      </c>
      <c r="H56" s="3" t="s">
        <v>11</v>
      </c>
      <c r="I56" s="1" t="s">
        <v>3984</v>
      </c>
      <c r="J56" s="1" t="s">
        <v>12</v>
      </c>
      <c r="K56" s="3" t="s">
        <v>3995</v>
      </c>
      <c r="L56" s="1" t="s">
        <v>3987</v>
      </c>
      <c r="M56" s="1" t="s">
        <v>3996</v>
      </c>
      <c r="N56" s="1" t="s">
        <v>13</v>
      </c>
      <c r="O56" s="1" t="s">
        <v>3996</v>
      </c>
      <c r="P56" s="1" t="s">
        <v>13</v>
      </c>
      <c r="Q56" s="1" t="s">
        <v>14</v>
      </c>
      <c r="R56" s="1" t="s">
        <v>37</v>
      </c>
      <c r="S56" s="1" t="s">
        <v>3994</v>
      </c>
      <c r="T56" s="4">
        <v>1.2</v>
      </c>
    </row>
    <row r="57" spans="1:20">
      <c r="A57" s="1" t="s">
        <v>3981</v>
      </c>
      <c r="B57" s="1" t="s">
        <v>312</v>
      </c>
      <c r="C57" s="1" t="s">
        <v>3982</v>
      </c>
      <c r="D57" s="1" t="s">
        <v>312</v>
      </c>
      <c r="E57" s="2">
        <v>45681</v>
      </c>
      <c r="F57" s="2">
        <v>45674</v>
      </c>
      <c r="G57" s="1" t="s">
        <v>3990</v>
      </c>
      <c r="H57" s="3" t="s">
        <v>11</v>
      </c>
      <c r="I57" s="1" t="s">
        <v>3984</v>
      </c>
      <c r="J57" s="1" t="s">
        <v>12</v>
      </c>
      <c r="K57" s="3" t="s">
        <v>3995</v>
      </c>
      <c r="L57" s="1" t="s">
        <v>3987</v>
      </c>
      <c r="M57" s="1" t="s">
        <v>3996</v>
      </c>
      <c r="N57" s="1" t="s">
        <v>13</v>
      </c>
      <c r="O57" s="1" t="s">
        <v>3996</v>
      </c>
      <c r="P57" s="1" t="s">
        <v>13</v>
      </c>
      <c r="Q57" s="1" t="s">
        <v>14</v>
      </c>
      <c r="R57" s="1" t="s">
        <v>15</v>
      </c>
      <c r="S57" s="1" t="s">
        <v>3994</v>
      </c>
      <c r="T57" s="4">
        <v>5.9</v>
      </c>
    </row>
    <row r="58" spans="1:20">
      <c r="A58" s="1" t="s">
        <v>3981</v>
      </c>
      <c r="B58" s="1" t="s">
        <v>312</v>
      </c>
      <c r="C58" s="1" t="s">
        <v>3982</v>
      </c>
      <c r="D58" s="1" t="s">
        <v>312</v>
      </c>
      <c r="E58" s="2">
        <v>45681</v>
      </c>
      <c r="F58" s="2">
        <v>45674</v>
      </c>
      <c r="G58" s="1" t="s">
        <v>3990</v>
      </c>
      <c r="H58" s="3" t="s">
        <v>11</v>
      </c>
      <c r="I58" s="1" t="s">
        <v>3984</v>
      </c>
      <c r="J58" s="1" t="s">
        <v>12</v>
      </c>
      <c r="K58" s="3" t="s">
        <v>3995</v>
      </c>
      <c r="L58" s="1" t="s">
        <v>3987</v>
      </c>
      <c r="M58" s="1" t="s">
        <v>3996</v>
      </c>
      <c r="N58" s="1" t="s">
        <v>13</v>
      </c>
      <c r="O58" s="1" t="s">
        <v>3996</v>
      </c>
      <c r="P58" s="1" t="s">
        <v>13</v>
      </c>
      <c r="Q58" s="1" t="s">
        <v>16</v>
      </c>
      <c r="R58" s="1" t="s">
        <v>17</v>
      </c>
      <c r="S58" s="1" t="s">
        <v>3994</v>
      </c>
      <c r="T58" s="4">
        <v>25.7</v>
      </c>
    </row>
    <row r="59" spans="1:20">
      <c r="A59" s="1" t="s">
        <v>3981</v>
      </c>
      <c r="B59" s="1" t="s">
        <v>312</v>
      </c>
      <c r="C59" s="1" t="s">
        <v>3982</v>
      </c>
      <c r="D59" s="1" t="s">
        <v>312</v>
      </c>
      <c r="E59" s="2">
        <v>45681</v>
      </c>
      <c r="F59" s="2">
        <v>45674</v>
      </c>
      <c r="G59" s="1" t="s">
        <v>3990</v>
      </c>
      <c r="H59" s="3" t="s">
        <v>11</v>
      </c>
      <c r="I59" s="1" t="s">
        <v>3984</v>
      </c>
      <c r="J59" s="1" t="s">
        <v>12</v>
      </c>
      <c r="K59" s="3" t="s">
        <v>3995</v>
      </c>
      <c r="L59" s="1" t="s">
        <v>3987</v>
      </c>
      <c r="M59" s="1" t="s">
        <v>3996</v>
      </c>
      <c r="N59" s="1" t="s">
        <v>13</v>
      </c>
      <c r="O59" s="1" t="s">
        <v>3996</v>
      </c>
      <c r="P59" s="1" t="s">
        <v>13</v>
      </c>
      <c r="Q59" s="1" t="s">
        <v>19</v>
      </c>
      <c r="R59" s="1" t="s">
        <v>20</v>
      </c>
      <c r="S59" s="1" t="s">
        <v>3994</v>
      </c>
      <c r="T59" s="4">
        <v>3.6</v>
      </c>
    </row>
    <row r="60" spans="1:20">
      <c r="A60" s="1" t="s">
        <v>3981</v>
      </c>
      <c r="B60" s="1" t="s">
        <v>312</v>
      </c>
      <c r="C60" s="1" t="s">
        <v>3982</v>
      </c>
      <c r="D60" s="1" t="s">
        <v>312</v>
      </c>
      <c r="E60" s="2">
        <v>45681</v>
      </c>
      <c r="F60" s="2">
        <v>45674</v>
      </c>
      <c r="G60" s="1" t="s">
        <v>3990</v>
      </c>
      <c r="H60" s="3" t="s">
        <v>11</v>
      </c>
      <c r="I60" s="1" t="s">
        <v>3984</v>
      </c>
      <c r="J60" s="1" t="s">
        <v>12</v>
      </c>
      <c r="K60" s="3" t="s">
        <v>3995</v>
      </c>
      <c r="L60" s="1" t="s">
        <v>3987</v>
      </c>
      <c r="M60" s="1" t="s">
        <v>3996</v>
      </c>
      <c r="N60" s="1" t="s">
        <v>13</v>
      </c>
      <c r="O60" s="1" t="s">
        <v>3996</v>
      </c>
      <c r="P60" s="1" t="s">
        <v>13</v>
      </c>
      <c r="Q60" s="1" t="s">
        <v>19</v>
      </c>
      <c r="R60" s="1" t="s">
        <v>49</v>
      </c>
      <c r="S60" s="1" t="s">
        <v>3994</v>
      </c>
      <c r="T60" s="4">
        <v>2.5</v>
      </c>
    </row>
    <row r="61" spans="1:20">
      <c r="A61" s="1" t="s">
        <v>3981</v>
      </c>
      <c r="B61" s="1" t="s">
        <v>312</v>
      </c>
      <c r="C61" s="1" t="s">
        <v>3982</v>
      </c>
      <c r="D61" s="1" t="s">
        <v>312</v>
      </c>
      <c r="E61" s="2">
        <v>45681</v>
      </c>
      <c r="F61" s="2">
        <v>45674</v>
      </c>
      <c r="G61" s="1" t="s">
        <v>3990</v>
      </c>
      <c r="H61" s="3" t="s">
        <v>11</v>
      </c>
      <c r="I61" s="1" t="s">
        <v>3984</v>
      </c>
      <c r="J61" s="1" t="s">
        <v>12</v>
      </c>
      <c r="K61" s="3" t="s">
        <v>3995</v>
      </c>
      <c r="L61" s="1" t="s">
        <v>3987</v>
      </c>
      <c r="M61" s="1" t="s">
        <v>4017</v>
      </c>
      <c r="N61" s="1" t="s">
        <v>4018</v>
      </c>
      <c r="O61" s="1" t="s">
        <v>13</v>
      </c>
      <c r="P61" s="1" t="s">
        <v>13</v>
      </c>
      <c r="Q61" s="1" t="s">
        <v>4019</v>
      </c>
      <c r="R61" s="1" t="s">
        <v>4019</v>
      </c>
      <c r="S61" s="1" t="s">
        <v>3994</v>
      </c>
      <c r="T61" s="4">
        <v>1</v>
      </c>
    </row>
    <row r="62" spans="1:20">
      <c r="A62" s="1" t="s">
        <v>3981</v>
      </c>
      <c r="B62" s="1" t="s">
        <v>312</v>
      </c>
      <c r="C62" s="1" t="s">
        <v>3982</v>
      </c>
      <c r="D62" s="1" t="s">
        <v>312</v>
      </c>
      <c r="E62" s="2">
        <v>45681</v>
      </c>
      <c r="F62" s="2">
        <v>45674</v>
      </c>
      <c r="G62" s="1" t="s">
        <v>3997</v>
      </c>
      <c r="H62" s="3" t="s">
        <v>41</v>
      </c>
      <c r="I62" s="1" t="s">
        <v>3984</v>
      </c>
      <c r="J62" s="1" t="s">
        <v>12</v>
      </c>
      <c r="K62" s="3" t="s">
        <v>3995</v>
      </c>
      <c r="L62" s="1" t="s">
        <v>3987</v>
      </c>
      <c r="M62" s="1" t="s">
        <v>3999</v>
      </c>
      <c r="N62" s="1" t="s">
        <v>13</v>
      </c>
      <c r="O62" s="1" t="s">
        <v>3999</v>
      </c>
      <c r="P62" s="1" t="s">
        <v>13</v>
      </c>
      <c r="Q62" s="1" t="s">
        <v>4000</v>
      </c>
      <c r="R62" s="1" t="s">
        <v>4001</v>
      </c>
      <c r="S62" s="1" t="s">
        <v>3998</v>
      </c>
      <c r="T62" s="4">
        <v>16</v>
      </c>
    </row>
    <row r="63" spans="1:20">
      <c r="A63" s="1" t="s">
        <v>3981</v>
      </c>
      <c r="B63" s="1" t="s">
        <v>312</v>
      </c>
      <c r="C63" s="1" t="s">
        <v>3982</v>
      </c>
      <c r="D63" s="1" t="s">
        <v>312</v>
      </c>
      <c r="E63" s="2">
        <v>45681</v>
      </c>
      <c r="F63" s="2">
        <v>45674</v>
      </c>
      <c r="G63" s="1" t="s">
        <v>3997</v>
      </c>
      <c r="H63" s="3" t="s">
        <v>41</v>
      </c>
      <c r="I63" s="1" t="s">
        <v>3984</v>
      </c>
      <c r="J63" s="1" t="s">
        <v>12</v>
      </c>
      <c r="K63" s="3" t="s">
        <v>3995</v>
      </c>
      <c r="L63" s="1" t="s">
        <v>4002</v>
      </c>
      <c r="M63" s="1" t="s">
        <v>4003</v>
      </c>
      <c r="N63" s="1" t="s">
        <v>13</v>
      </c>
      <c r="O63" s="1" t="s">
        <v>4003</v>
      </c>
      <c r="P63" s="1" t="s">
        <v>13</v>
      </c>
      <c r="Q63" s="1" t="s">
        <v>4004</v>
      </c>
      <c r="R63" s="1" t="s">
        <v>4001</v>
      </c>
      <c r="S63" s="1" t="s">
        <v>3998</v>
      </c>
      <c r="T63" s="4">
        <v>20.5</v>
      </c>
    </row>
    <row r="64" spans="1:20">
      <c r="A64" s="1" t="s">
        <v>3981</v>
      </c>
      <c r="B64" s="1" t="s">
        <v>312</v>
      </c>
      <c r="C64" s="1" t="s">
        <v>3982</v>
      </c>
      <c r="D64" s="1" t="s">
        <v>312</v>
      </c>
      <c r="E64" s="2">
        <v>45681</v>
      </c>
      <c r="F64" s="2">
        <v>45674</v>
      </c>
      <c r="G64" s="1" t="s">
        <v>4005</v>
      </c>
      <c r="H64" s="3" t="s">
        <v>21</v>
      </c>
      <c r="I64" s="1" t="s">
        <v>3984</v>
      </c>
      <c r="J64" s="1" t="s">
        <v>12</v>
      </c>
      <c r="K64" s="3" t="s">
        <v>3995</v>
      </c>
      <c r="L64" s="1" t="s">
        <v>3987</v>
      </c>
      <c r="M64" s="1" t="s">
        <v>3996</v>
      </c>
      <c r="N64" s="1" t="s">
        <v>13</v>
      </c>
      <c r="O64" s="1" t="s">
        <v>3996</v>
      </c>
      <c r="P64" s="1" t="s">
        <v>13</v>
      </c>
      <c r="Q64" s="1" t="s">
        <v>14</v>
      </c>
      <c r="R64" s="1" t="s">
        <v>24</v>
      </c>
      <c r="S64" s="1" t="s">
        <v>4007</v>
      </c>
      <c r="T64" s="4">
        <v>15</v>
      </c>
    </row>
    <row r="65" spans="1:20">
      <c r="A65" s="1" t="s">
        <v>3981</v>
      </c>
      <c r="B65" s="1" t="s">
        <v>312</v>
      </c>
      <c r="C65" s="1" t="s">
        <v>3982</v>
      </c>
      <c r="D65" s="1" t="s">
        <v>312</v>
      </c>
      <c r="E65" s="2">
        <v>45681</v>
      </c>
      <c r="F65" s="2">
        <v>45674</v>
      </c>
      <c r="G65" s="1" t="s">
        <v>4005</v>
      </c>
      <c r="H65" s="3" t="s">
        <v>21</v>
      </c>
      <c r="I65" s="1" t="s">
        <v>3984</v>
      </c>
      <c r="J65" s="1" t="s">
        <v>12</v>
      </c>
      <c r="K65" s="3" t="s">
        <v>3995</v>
      </c>
      <c r="L65" s="1" t="s">
        <v>3987</v>
      </c>
      <c r="M65" s="1" t="s">
        <v>3996</v>
      </c>
      <c r="N65" s="1" t="s">
        <v>13</v>
      </c>
      <c r="O65" s="1" t="s">
        <v>3996</v>
      </c>
      <c r="P65" s="1" t="s">
        <v>13</v>
      </c>
      <c r="Q65" s="1" t="s">
        <v>14</v>
      </c>
      <c r="R65" s="1" t="s">
        <v>23</v>
      </c>
      <c r="S65" s="1" t="s">
        <v>4007</v>
      </c>
      <c r="T65" s="4">
        <v>3.2</v>
      </c>
    </row>
    <row r="66" spans="1:20">
      <c r="A66" s="1" t="s">
        <v>3981</v>
      </c>
      <c r="B66" s="1" t="s">
        <v>312</v>
      </c>
      <c r="C66" s="1" t="s">
        <v>3982</v>
      </c>
      <c r="D66" s="1" t="s">
        <v>312</v>
      </c>
      <c r="E66" s="2">
        <v>45681</v>
      </c>
      <c r="F66" s="2">
        <v>45674</v>
      </c>
      <c r="G66" s="1" t="s">
        <v>4005</v>
      </c>
      <c r="H66" s="3" t="s">
        <v>21</v>
      </c>
      <c r="I66" s="1" t="s">
        <v>3984</v>
      </c>
      <c r="J66" s="1" t="s">
        <v>12</v>
      </c>
      <c r="K66" s="3" t="s">
        <v>3995</v>
      </c>
      <c r="L66" s="1" t="s">
        <v>3987</v>
      </c>
      <c r="M66" s="1" t="s">
        <v>3996</v>
      </c>
      <c r="N66" s="1" t="s">
        <v>13</v>
      </c>
      <c r="O66" s="1" t="s">
        <v>3996</v>
      </c>
      <c r="P66" s="1" t="s">
        <v>13</v>
      </c>
      <c r="Q66" s="1" t="s">
        <v>14</v>
      </c>
      <c r="R66" s="1" t="s">
        <v>42</v>
      </c>
      <c r="S66" s="1" t="s">
        <v>4007</v>
      </c>
      <c r="T66" s="4">
        <v>8.8000000000000007</v>
      </c>
    </row>
    <row r="67" spans="1:20">
      <c r="A67" s="1" t="s">
        <v>3981</v>
      </c>
      <c r="B67" s="1" t="s">
        <v>312</v>
      </c>
      <c r="C67" s="1" t="s">
        <v>3982</v>
      </c>
      <c r="D67" s="1" t="s">
        <v>312</v>
      </c>
      <c r="E67" s="2">
        <v>45681</v>
      </c>
      <c r="F67" s="2">
        <v>45674</v>
      </c>
      <c r="G67" s="1" t="s">
        <v>4005</v>
      </c>
      <c r="H67" s="3" t="s">
        <v>21</v>
      </c>
      <c r="I67" s="1" t="s">
        <v>3984</v>
      </c>
      <c r="J67" s="1" t="s">
        <v>12</v>
      </c>
      <c r="K67" s="3" t="s">
        <v>3995</v>
      </c>
      <c r="L67" s="1" t="s">
        <v>3987</v>
      </c>
      <c r="M67" s="1" t="s">
        <v>3996</v>
      </c>
      <c r="N67" s="1" t="s">
        <v>13</v>
      </c>
      <c r="O67" s="1" t="s">
        <v>3996</v>
      </c>
      <c r="P67" s="1" t="s">
        <v>13</v>
      </c>
      <c r="Q67" s="1" t="s">
        <v>28</v>
      </c>
      <c r="R67" s="1" t="s">
        <v>29</v>
      </c>
      <c r="S67" s="1" t="s">
        <v>4007</v>
      </c>
      <c r="T67" s="4">
        <v>10.9</v>
      </c>
    </row>
    <row r="68" spans="1:20">
      <c r="A68" s="1" t="s">
        <v>3981</v>
      </c>
      <c r="B68" s="1" t="s">
        <v>312</v>
      </c>
      <c r="C68" s="1" t="s">
        <v>3982</v>
      </c>
      <c r="D68" s="1" t="s">
        <v>312</v>
      </c>
      <c r="E68" s="2">
        <v>45681</v>
      </c>
      <c r="F68" s="2">
        <v>45674</v>
      </c>
      <c r="G68" s="1" t="s">
        <v>4008</v>
      </c>
      <c r="H68" s="3" t="s">
        <v>25</v>
      </c>
      <c r="I68" s="1" t="s">
        <v>3984</v>
      </c>
      <c r="J68" s="1" t="s">
        <v>12</v>
      </c>
      <c r="K68" s="3" t="s">
        <v>3995</v>
      </c>
      <c r="L68" s="1" t="s">
        <v>4013</v>
      </c>
      <c r="M68" s="1" t="s">
        <v>4014</v>
      </c>
      <c r="N68" s="1" t="s">
        <v>13</v>
      </c>
      <c r="O68" s="1" t="s">
        <v>4014</v>
      </c>
      <c r="P68" s="1" t="s">
        <v>13</v>
      </c>
      <c r="Q68" s="1" t="s">
        <v>13</v>
      </c>
      <c r="R68" s="1" t="s">
        <v>13</v>
      </c>
      <c r="S68" s="1" t="s">
        <v>4009</v>
      </c>
      <c r="T68" s="4">
        <v>1</v>
      </c>
    </row>
    <row r="69" spans="1:20">
      <c r="A69" s="1" t="s">
        <v>3981</v>
      </c>
      <c r="B69" s="1" t="s">
        <v>312</v>
      </c>
      <c r="C69" s="1" t="s">
        <v>3982</v>
      </c>
      <c r="D69" s="1" t="s">
        <v>312</v>
      </c>
      <c r="E69" s="2">
        <v>45681</v>
      </c>
      <c r="F69" s="2">
        <v>45674</v>
      </c>
      <c r="G69" s="1" t="s">
        <v>4008</v>
      </c>
      <c r="H69" s="3" t="s">
        <v>25</v>
      </c>
      <c r="I69" s="1" t="s">
        <v>3984</v>
      </c>
      <c r="J69" s="1" t="s">
        <v>12</v>
      </c>
      <c r="K69" s="3" t="s">
        <v>3995</v>
      </c>
      <c r="L69" s="1" t="s">
        <v>3987</v>
      </c>
      <c r="M69" s="1" t="s">
        <v>3996</v>
      </c>
      <c r="N69" s="1" t="s">
        <v>13</v>
      </c>
      <c r="O69" s="1" t="s">
        <v>3996</v>
      </c>
      <c r="P69" s="1" t="s">
        <v>13</v>
      </c>
      <c r="Q69" s="1" t="s">
        <v>14</v>
      </c>
      <c r="R69" s="1" t="s">
        <v>26</v>
      </c>
      <c r="S69" s="1" t="s">
        <v>4009</v>
      </c>
      <c r="T69" s="4">
        <v>0.8</v>
      </c>
    </row>
    <row r="70" spans="1:20">
      <c r="A70" s="1" t="s">
        <v>3981</v>
      </c>
      <c r="B70" s="1" t="s">
        <v>312</v>
      </c>
      <c r="C70" s="1" t="s">
        <v>3982</v>
      </c>
      <c r="D70" s="1" t="s">
        <v>312</v>
      </c>
      <c r="E70" s="2">
        <v>45681</v>
      </c>
      <c r="F70" s="2">
        <v>45674</v>
      </c>
      <c r="G70" s="1" t="s">
        <v>4008</v>
      </c>
      <c r="H70" s="3" t="s">
        <v>25</v>
      </c>
      <c r="I70" s="1" t="s">
        <v>3984</v>
      </c>
      <c r="J70" s="1" t="s">
        <v>12</v>
      </c>
      <c r="K70" s="3" t="s">
        <v>3995</v>
      </c>
      <c r="L70" s="1" t="s">
        <v>3987</v>
      </c>
      <c r="M70" s="1" t="s">
        <v>3996</v>
      </c>
      <c r="N70" s="1" t="s">
        <v>13</v>
      </c>
      <c r="O70" s="1" t="s">
        <v>3996</v>
      </c>
      <c r="P70" s="1" t="s">
        <v>13</v>
      </c>
      <c r="Q70" s="1" t="s">
        <v>14</v>
      </c>
      <c r="R70" s="1" t="s">
        <v>50</v>
      </c>
      <c r="S70" s="1" t="s">
        <v>4009</v>
      </c>
      <c r="T70" s="4">
        <v>0.5</v>
      </c>
    </row>
    <row r="71" spans="1:20">
      <c r="A71" s="1" t="s">
        <v>3981</v>
      </c>
      <c r="B71" s="1" t="s">
        <v>312</v>
      </c>
      <c r="C71" s="1" t="s">
        <v>3982</v>
      </c>
      <c r="D71" s="1" t="s">
        <v>312</v>
      </c>
      <c r="E71" s="2">
        <v>45681</v>
      </c>
      <c r="F71" s="2">
        <v>45674</v>
      </c>
      <c r="G71" s="1" t="s">
        <v>4008</v>
      </c>
      <c r="H71" s="3" t="s">
        <v>25</v>
      </c>
      <c r="I71" s="1" t="s">
        <v>3984</v>
      </c>
      <c r="J71" s="1" t="s">
        <v>12</v>
      </c>
      <c r="K71" s="3" t="s">
        <v>3995</v>
      </c>
      <c r="L71" s="1" t="s">
        <v>3987</v>
      </c>
      <c r="M71" s="1" t="s">
        <v>3996</v>
      </c>
      <c r="N71" s="1" t="s">
        <v>13</v>
      </c>
      <c r="O71" s="1" t="s">
        <v>3996</v>
      </c>
      <c r="P71" s="1" t="s">
        <v>13</v>
      </c>
      <c r="Q71" s="1" t="s">
        <v>14</v>
      </c>
      <c r="R71" s="1" t="s">
        <v>37</v>
      </c>
      <c r="S71" s="1" t="s">
        <v>4009</v>
      </c>
      <c r="T71" s="4">
        <v>0.5</v>
      </c>
    </row>
    <row r="72" spans="1:20">
      <c r="A72" s="1" t="s">
        <v>3981</v>
      </c>
      <c r="B72" s="1" t="s">
        <v>312</v>
      </c>
      <c r="C72" s="1" t="s">
        <v>3982</v>
      </c>
      <c r="D72" s="1" t="s">
        <v>312</v>
      </c>
      <c r="E72" s="2">
        <v>45681</v>
      </c>
      <c r="F72" s="2">
        <v>45674</v>
      </c>
      <c r="G72" s="1" t="s">
        <v>4008</v>
      </c>
      <c r="H72" s="3" t="s">
        <v>25</v>
      </c>
      <c r="I72" s="1" t="s">
        <v>3984</v>
      </c>
      <c r="J72" s="1" t="s">
        <v>12</v>
      </c>
      <c r="K72" s="3" t="s">
        <v>3995</v>
      </c>
      <c r="L72" s="1" t="s">
        <v>3987</v>
      </c>
      <c r="M72" s="1" t="s">
        <v>3996</v>
      </c>
      <c r="N72" s="1" t="s">
        <v>13</v>
      </c>
      <c r="O72" s="1" t="s">
        <v>3996</v>
      </c>
      <c r="P72" s="1" t="s">
        <v>13</v>
      </c>
      <c r="Q72" s="1" t="s">
        <v>28</v>
      </c>
      <c r="R72" s="1" t="s">
        <v>29</v>
      </c>
      <c r="S72" s="1" t="s">
        <v>4009</v>
      </c>
      <c r="T72" s="4">
        <v>6.5</v>
      </c>
    </row>
    <row r="73" spans="1:20">
      <c r="A73" s="1" t="s">
        <v>3981</v>
      </c>
      <c r="B73" s="1" t="s">
        <v>312</v>
      </c>
      <c r="C73" s="1" t="s">
        <v>3982</v>
      </c>
      <c r="D73" s="1" t="s">
        <v>312</v>
      </c>
      <c r="E73" s="2">
        <v>45681</v>
      </c>
      <c r="F73" s="2">
        <v>45674</v>
      </c>
      <c r="G73" s="1" t="s">
        <v>4008</v>
      </c>
      <c r="H73" s="3" t="s">
        <v>25</v>
      </c>
      <c r="I73" s="1" t="s">
        <v>3984</v>
      </c>
      <c r="J73" s="1" t="s">
        <v>12</v>
      </c>
      <c r="K73" s="3" t="s">
        <v>3995</v>
      </c>
      <c r="L73" s="1" t="s">
        <v>3987</v>
      </c>
      <c r="M73" s="1" t="s">
        <v>3996</v>
      </c>
      <c r="N73" s="1" t="s">
        <v>13</v>
      </c>
      <c r="O73" s="1" t="s">
        <v>3996</v>
      </c>
      <c r="P73" s="1" t="s">
        <v>13</v>
      </c>
      <c r="Q73" s="1" t="s">
        <v>44</v>
      </c>
      <c r="R73" s="1" t="s">
        <v>45</v>
      </c>
      <c r="S73" s="1" t="s">
        <v>4009</v>
      </c>
      <c r="T73" s="4">
        <v>16.7</v>
      </c>
    </row>
    <row r="74" spans="1:20">
      <c r="A74" s="1" t="s">
        <v>3981</v>
      </c>
      <c r="B74" s="1" t="s">
        <v>312</v>
      </c>
      <c r="C74" s="1" t="s">
        <v>3982</v>
      </c>
      <c r="D74" s="1" t="s">
        <v>312</v>
      </c>
      <c r="E74" s="2">
        <v>45681</v>
      </c>
      <c r="F74" s="2">
        <v>45674</v>
      </c>
      <c r="G74" s="1" t="s">
        <v>4008</v>
      </c>
      <c r="H74" s="3" t="s">
        <v>25</v>
      </c>
      <c r="I74" s="1" t="s">
        <v>3984</v>
      </c>
      <c r="J74" s="1" t="s">
        <v>12</v>
      </c>
      <c r="K74" s="3" t="s">
        <v>3995</v>
      </c>
      <c r="L74" s="1" t="s">
        <v>3987</v>
      </c>
      <c r="M74" s="1" t="s">
        <v>3996</v>
      </c>
      <c r="N74" s="1" t="s">
        <v>13</v>
      </c>
      <c r="O74" s="1" t="s">
        <v>3996</v>
      </c>
      <c r="P74" s="1" t="s">
        <v>13</v>
      </c>
      <c r="Q74" s="1" t="s">
        <v>38</v>
      </c>
      <c r="R74" s="1" t="s">
        <v>46</v>
      </c>
      <c r="S74" s="1" t="s">
        <v>4009</v>
      </c>
      <c r="T74" s="4">
        <v>3.5</v>
      </c>
    </row>
    <row r="75" spans="1:20">
      <c r="A75" s="1" t="s">
        <v>3981</v>
      </c>
      <c r="B75" s="1" t="s">
        <v>312</v>
      </c>
      <c r="C75" s="1" t="s">
        <v>3982</v>
      </c>
      <c r="D75" s="1" t="s">
        <v>312</v>
      </c>
      <c r="E75" s="2">
        <v>45681</v>
      </c>
      <c r="F75" s="2">
        <v>45674</v>
      </c>
      <c r="G75" s="1" t="s">
        <v>4008</v>
      </c>
      <c r="H75" s="3" t="s">
        <v>25</v>
      </c>
      <c r="I75" s="1" t="s">
        <v>3984</v>
      </c>
      <c r="J75" s="1" t="s">
        <v>12</v>
      </c>
      <c r="K75" s="3" t="s">
        <v>3995</v>
      </c>
      <c r="L75" s="1" t="s">
        <v>3987</v>
      </c>
      <c r="M75" s="1" t="s">
        <v>3996</v>
      </c>
      <c r="N75" s="1" t="s">
        <v>13</v>
      </c>
      <c r="O75" s="1" t="s">
        <v>3996</v>
      </c>
      <c r="P75" s="1" t="s">
        <v>13</v>
      </c>
      <c r="Q75" s="1" t="s">
        <v>38</v>
      </c>
      <c r="R75" s="1" t="s">
        <v>51</v>
      </c>
      <c r="S75" s="1" t="s">
        <v>4009</v>
      </c>
      <c r="T75" s="4">
        <v>1</v>
      </c>
    </row>
    <row r="76" spans="1:20">
      <c r="A76" s="1" t="s">
        <v>3981</v>
      </c>
      <c r="B76" s="1" t="s">
        <v>312</v>
      </c>
      <c r="C76" s="1" t="s">
        <v>3982</v>
      </c>
      <c r="D76" s="1" t="s">
        <v>312</v>
      </c>
      <c r="E76" s="2">
        <v>45681</v>
      </c>
      <c r="F76" s="2">
        <v>45674</v>
      </c>
      <c r="G76" s="1" t="s">
        <v>4008</v>
      </c>
      <c r="H76" s="3" t="s">
        <v>25</v>
      </c>
      <c r="I76" s="1" t="s">
        <v>3984</v>
      </c>
      <c r="J76" s="1" t="s">
        <v>12</v>
      </c>
      <c r="K76" s="3" t="s">
        <v>3995</v>
      </c>
      <c r="L76" s="1" t="s">
        <v>3987</v>
      </c>
      <c r="M76" s="1" t="s">
        <v>3996</v>
      </c>
      <c r="N76" s="1" t="s">
        <v>13</v>
      </c>
      <c r="O76" s="1" t="s">
        <v>3996</v>
      </c>
      <c r="P76" s="1" t="s">
        <v>13</v>
      </c>
      <c r="Q76" s="1" t="s">
        <v>38</v>
      </c>
      <c r="R76" s="1" t="s">
        <v>52</v>
      </c>
      <c r="S76" s="1" t="s">
        <v>4009</v>
      </c>
      <c r="T76" s="4">
        <v>0.5</v>
      </c>
    </row>
    <row r="77" spans="1:20">
      <c r="A77" s="1" t="s">
        <v>3981</v>
      </c>
      <c r="B77" s="1" t="s">
        <v>312</v>
      </c>
      <c r="C77" s="1" t="s">
        <v>3982</v>
      </c>
      <c r="D77" s="1" t="s">
        <v>312</v>
      </c>
      <c r="E77" s="2">
        <v>45681</v>
      </c>
      <c r="F77" s="2">
        <v>45674</v>
      </c>
      <c r="G77" s="1" t="s">
        <v>4008</v>
      </c>
      <c r="H77" s="3" t="s">
        <v>25</v>
      </c>
      <c r="I77" s="1" t="s">
        <v>3984</v>
      </c>
      <c r="J77" s="1" t="s">
        <v>12</v>
      </c>
      <c r="K77" s="3" t="s">
        <v>3995</v>
      </c>
      <c r="L77" s="1" t="s">
        <v>3987</v>
      </c>
      <c r="M77" s="1" t="s">
        <v>3996</v>
      </c>
      <c r="N77" s="1" t="s">
        <v>13</v>
      </c>
      <c r="O77" s="1" t="s">
        <v>3996</v>
      </c>
      <c r="P77" s="1" t="s">
        <v>13</v>
      </c>
      <c r="Q77" s="1" t="s">
        <v>30</v>
      </c>
      <c r="R77" s="1" t="s">
        <v>53</v>
      </c>
      <c r="S77" s="1" t="s">
        <v>4009</v>
      </c>
      <c r="T77" s="4">
        <v>0.5</v>
      </c>
    </row>
    <row r="78" spans="1:20">
      <c r="A78" s="1" t="s">
        <v>3981</v>
      </c>
      <c r="B78" s="1" t="s">
        <v>312</v>
      </c>
      <c r="C78" s="1" t="s">
        <v>3982</v>
      </c>
      <c r="D78" s="1" t="s">
        <v>312</v>
      </c>
      <c r="E78" s="2">
        <v>45681</v>
      </c>
      <c r="F78" s="2">
        <v>45674</v>
      </c>
      <c r="G78" s="1" t="s">
        <v>4008</v>
      </c>
      <c r="H78" s="3" t="s">
        <v>25</v>
      </c>
      <c r="I78" s="1" t="s">
        <v>3984</v>
      </c>
      <c r="J78" s="1" t="s">
        <v>12</v>
      </c>
      <c r="K78" s="3" t="s">
        <v>3995</v>
      </c>
      <c r="L78" s="1" t="s">
        <v>3987</v>
      </c>
      <c r="M78" s="1" t="s">
        <v>3996</v>
      </c>
      <c r="N78" s="1" t="s">
        <v>13</v>
      </c>
      <c r="O78" s="1" t="s">
        <v>3996</v>
      </c>
      <c r="P78" s="1" t="s">
        <v>13</v>
      </c>
      <c r="Q78" s="1" t="s">
        <v>30</v>
      </c>
      <c r="R78" s="1" t="s">
        <v>31</v>
      </c>
      <c r="S78" s="1" t="s">
        <v>4009</v>
      </c>
      <c r="T78" s="4">
        <v>10.5</v>
      </c>
    </row>
    <row r="79" spans="1:20">
      <c r="A79" s="1" t="s">
        <v>3981</v>
      </c>
      <c r="B79" s="1" t="s">
        <v>312</v>
      </c>
      <c r="C79" s="1" t="s">
        <v>3982</v>
      </c>
      <c r="D79" s="1" t="s">
        <v>312</v>
      </c>
      <c r="E79" s="2">
        <v>45681</v>
      </c>
      <c r="F79" s="2">
        <v>45681</v>
      </c>
      <c r="G79" s="1" t="s">
        <v>3983</v>
      </c>
      <c r="H79" s="3" t="s">
        <v>32</v>
      </c>
      <c r="I79" s="1" t="s">
        <v>3984</v>
      </c>
      <c r="J79" s="1" t="s">
        <v>12</v>
      </c>
      <c r="K79" s="3" t="s">
        <v>3995</v>
      </c>
      <c r="L79" s="1" t="s">
        <v>3987</v>
      </c>
      <c r="M79" s="1" t="s">
        <v>3996</v>
      </c>
      <c r="N79" s="1" t="s">
        <v>13</v>
      </c>
      <c r="O79" s="1" t="s">
        <v>3996</v>
      </c>
      <c r="P79" s="1" t="s">
        <v>13</v>
      </c>
      <c r="Q79" s="1" t="s">
        <v>14</v>
      </c>
      <c r="R79" s="1" t="s">
        <v>33</v>
      </c>
      <c r="S79" s="1" t="s">
        <v>3989</v>
      </c>
      <c r="T79" s="4">
        <v>1</v>
      </c>
    </row>
    <row r="80" spans="1:20">
      <c r="A80" s="1" t="s">
        <v>3981</v>
      </c>
      <c r="B80" s="1" t="s">
        <v>312</v>
      </c>
      <c r="C80" s="1" t="s">
        <v>3982</v>
      </c>
      <c r="D80" s="1" t="s">
        <v>312</v>
      </c>
      <c r="E80" s="2">
        <v>45681</v>
      </c>
      <c r="F80" s="2">
        <v>45681</v>
      </c>
      <c r="G80" s="1" t="s">
        <v>3983</v>
      </c>
      <c r="H80" s="3" t="s">
        <v>32</v>
      </c>
      <c r="I80" s="1" t="s">
        <v>3984</v>
      </c>
      <c r="J80" s="1" t="s">
        <v>12</v>
      </c>
      <c r="K80" s="3" t="s">
        <v>3995</v>
      </c>
      <c r="L80" s="1" t="s">
        <v>3987</v>
      </c>
      <c r="M80" s="1" t="s">
        <v>3996</v>
      </c>
      <c r="N80" s="1" t="s">
        <v>13</v>
      </c>
      <c r="O80" s="1" t="s">
        <v>3996</v>
      </c>
      <c r="P80" s="1" t="s">
        <v>13</v>
      </c>
      <c r="Q80" s="1" t="s">
        <v>14</v>
      </c>
      <c r="R80" s="1" t="s">
        <v>54</v>
      </c>
      <c r="S80" s="1" t="s">
        <v>3989</v>
      </c>
      <c r="T80" s="4">
        <v>8</v>
      </c>
    </row>
    <row r="81" spans="1:20">
      <c r="A81" s="1" t="s">
        <v>3981</v>
      </c>
      <c r="B81" s="1" t="s">
        <v>312</v>
      </c>
      <c r="C81" s="1" t="s">
        <v>3982</v>
      </c>
      <c r="D81" s="1" t="s">
        <v>312</v>
      </c>
      <c r="E81" s="2">
        <v>45681</v>
      </c>
      <c r="F81" s="2">
        <v>45681</v>
      </c>
      <c r="G81" s="1" t="s">
        <v>3983</v>
      </c>
      <c r="H81" s="3" t="s">
        <v>32</v>
      </c>
      <c r="I81" s="1" t="s">
        <v>3984</v>
      </c>
      <c r="J81" s="1" t="s">
        <v>12</v>
      </c>
      <c r="K81" s="3" t="s">
        <v>3995</v>
      </c>
      <c r="L81" s="1" t="s">
        <v>3987</v>
      </c>
      <c r="M81" s="1" t="s">
        <v>3996</v>
      </c>
      <c r="N81" s="1" t="s">
        <v>13</v>
      </c>
      <c r="O81" s="1" t="s">
        <v>3996</v>
      </c>
      <c r="P81" s="1" t="s">
        <v>13</v>
      </c>
      <c r="Q81" s="1" t="s">
        <v>14</v>
      </c>
      <c r="R81" s="1" t="s">
        <v>34</v>
      </c>
      <c r="S81" s="1" t="s">
        <v>3989</v>
      </c>
      <c r="T81" s="4">
        <v>24</v>
      </c>
    </row>
    <row r="82" spans="1:20">
      <c r="A82" s="1" t="s">
        <v>3981</v>
      </c>
      <c r="B82" s="1" t="s">
        <v>312</v>
      </c>
      <c r="C82" s="1" t="s">
        <v>3982</v>
      </c>
      <c r="D82" s="1" t="s">
        <v>312</v>
      </c>
      <c r="E82" s="2">
        <v>45681</v>
      </c>
      <c r="F82" s="2">
        <v>45681</v>
      </c>
      <c r="G82" s="1" t="s">
        <v>3983</v>
      </c>
      <c r="H82" s="3" t="s">
        <v>32</v>
      </c>
      <c r="I82" s="1" t="s">
        <v>3984</v>
      </c>
      <c r="J82" s="1" t="s">
        <v>12</v>
      </c>
      <c r="K82" s="3" t="s">
        <v>3995</v>
      </c>
      <c r="L82" s="1" t="s">
        <v>3987</v>
      </c>
      <c r="M82" s="1" t="s">
        <v>3996</v>
      </c>
      <c r="N82" s="1" t="s">
        <v>13</v>
      </c>
      <c r="O82" s="1" t="s">
        <v>3996</v>
      </c>
      <c r="P82" s="1" t="s">
        <v>13</v>
      </c>
      <c r="Q82" s="1" t="s">
        <v>44</v>
      </c>
      <c r="R82" s="1" t="s">
        <v>48</v>
      </c>
      <c r="S82" s="1" t="s">
        <v>3989</v>
      </c>
      <c r="T82" s="4">
        <v>8</v>
      </c>
    </row>
    <row r="83" spans="1:20">
      <c r="A83" s="1" t="s">
        <v>3981</v>
      </c>
      <c r="B83" s="1" t="s">
        <v>312</v>
      </c>
      <c r="C83" s="1" t="s">
        <v>3982</v>
      </c>
      <c r="D83" s="1" t="s">
        <v>312</v>
      </c>
      <c r="E83" s="2">
        <v>45681</v>
      </c>
      <c r="F83" s="2">
        <v>45681</v>
      </c>
      <c r="G83" s="1" t="s">
        <v>3983</v>
      </c>
      <c r="H83" s="3" t="s">
        <v>32</v>
      </c>
      <c r="I83" s="1" t="s">
        <v>3984</v>
      </c>
      <c r="J83" s="1" t="s">
        <v>12</v>
      </c>
      <c r="K83" s="3" t="s">
        <v>3995</v>
      </c>
      <c r="L83" s="1" t="s">
        <v>3987</v>
      </c>
      <c r="M83" s="1" t="s">
        <v>3996</v>
      </c>
      <c r="N83" s="1" t="s">
        <v>13</v>
      </c>
      <c r="O83" s="1" t="s">
        <v>3996</v>
      </c>
      <c r="P83" s="1" t="s">
        <v>13</v>
      </c>
      <c r="Q83" s="1" t="s">
        <v>19</v>
      </c>
      <c r="R83" s="1" t="s">
        <v>35</v>
      </c>
      <c r="S83" s="1" t="s">
        <v>3989</v>
      </c>
      <c r="T83" s="4">
        <v>3</v>
      </c>
    </row>
    <row r="84" spans="1:20">
      <c r="A84" s="1" t="s">
        <v>3981</v>
      </c>
      <c r="B84" s="1" t="s">
        <v>312</v>
      </c>
      <c r="C84" s="1" t="s">
        <v>3982</v>
      </c>
      <c r="D84" s="1" t="s">
        <v>312</v>
      </c>
      <c r="E84" s="2">
        <v>45681</v>
      </c>
      <c r="F84" s="2">
        <v>45681</v>
      </c>
      <c r="G84" s="1" t="s">
        <v>3990</v>
      </c>
      <c r="H84" s="3" t="s">
        <v>11</v>
      </c>
      <c r="I84" s="1" t="s">
        <v>3984</v>
      </c>
      <c r="J84" s="1" t="s">
        <v>55</v>
      </c>
      <c r="K84" s="3" t="s">
        <v>4020</v>
      </c>
      <c r="L84" s="1" t="s">
        <v>3987</v>
      </c>
      <c r="M84" s="1" t="s">
        <v>3999</v>
      </c>
      <c r="N84" s="1" t="s">
        <v>13</v>
      </c>
      <c r="O84" s="1" t="s">
        <v>3999</v>
      </c>
      <c r="P84" s="1" t="s">
        <v>13</v>
      </c>
      <c r="Q84" s="1" t="s">
        <v>4000</v>
      </c>
      <c r="R84" s="1" t="s">
        <v>4001</v>
      </c>
      <c r="S84" s="1" t="s">
        <v>3994</v>
      </c>
      <c r="T84" s="4">
        <v>2.2000000000000002</v>
      </c>
    </row>
    <row r="85" spans="1:20">
      <c r="A85" s="1" t="s">
        <v>3981</v>
      </c>
      <c r="B85" s="1" t="s">
        <v>312</v>
      </c>
      <c r="C85" s="1" t="s">
        <v>3982</v>
      </c>
      <c r="D85" s="1" t="s">
        <v>312</v>
      </c>
      <c r="E85" s="2">
        <v>45681</v>
      </c>
      <c r="F85" s="2">
        <v>45681</v>
      </c>
      <c r="G85" s="1" t="s">
        <v>3990</v>
      </c>
      <c r="H85" s="3" t="s">
        <v>11</v>
      </c>
      <c r="I85" s="1" t="s">
        <v>3984</v>
      </c>
      <c r="J85" s="1" t="s">
        <v>55</v>
      </c>
      <c r="K85" s="3" t="s">
        <v>4020</v>
      </c>
      <c r="L85" s="1" t="s">
        <v>3987</v>
      </c>
      <c r="M85" s="1" t="s">
        <v>3996</v>
      </c>
      <c r="N85" s="1" t="s">
        <v>13</v>
      </c>
      <c r="O85" s="1" t="s">
        <v>3996</v>
      </c>
      <c r="P85" s="1" t="s">
        <v>13</v>
      </c>
      <c r="Q85" s="1" t="s">
        <v>14</v>
      </c>
      <c r="R85" s="1" t="s">
        <v>15</v>
      </c>
      <c r="S85" s="1" t="s">
        <v>3994</v>
      </c>
      <c r="T85" s="4">
        <v>2</v>
      </c>
    </row>
    <row r="86" spans="1:20">
      <c r="A86" s="1" t="s">
        <v>3981</v>
      </c>
      <c r="B86" s="1" t="s">
        <v>312</v>
      </c>
      <c r="C86" s="1" t="s">
        <v>3982</v>
      </c>
      <c r="D86" s="1" t="s">
        <v>312</v>
      </c>
      <c r="E86" s="2">
        <v>45681</v>
      </c>
      <c r="F86" s="2">
        <v>45681</v>
      </c>
      <c r="G86" s="1" t="s">
        <v>3990</v>
      </c>
      <c r="H86" s="3" t="s">
        <v>11</v>
      </c>
      <c r="I86" s="1" t="s">
        <v>3984</v>
      </c>
      <c r="J86" s="1" t="s">
        <v>55</v>
      </c>
      <c r="K86" s="3" t="s">
        <v>4020</v>
      </c>
      <c r="L86" s="1" t="s">
        <v>3987</v>
      </c>
      <c r="M86" s="1" t="s">
        <v>3996</v>
      </c>
      <c r="N86" s="1" t="s">
        <v>13</v>
      </c>
      <c r="O86" s="1" t="s">
        <v>3996</v>
      </c>
      <c r="P86" s="1" t="s">
        <v>13</v>
      </c>
      <c r="Q86" s="1" t="s">
        <v>16</v>
      </c>
      <c r="R86" s="1" t="s">
        <v>17</v>
      </c>
      <c r="S86" s="1" t="s">
        <v>3994</v>
      </c>
      <c r="T86" s="4">
        <v>4</v>
      </c>
    </row>
    <row r="87" spans="1:20">
      <c r="A87" s="1" t="s">
        <v>3981</v>
      </c>
      <c r="B87" s="1" t="s">
        <v>312</v>
      </c>
      <c r="C87" s="1" t="s">
        <v>3982</v>
      </c>
      <c r="D87" s="1" t="s">
        <v>312</v>
      </c>
      <c r="E87" s="2">
        <v>45681</v>
      </c>
      <c r="F87" s="2">
        <v>45681</v>
      </c>
      <c r="G87" s="1" t="s">
        <v>3990</v>
      </c>
      <c r="H87" s="3" t="s">
        <v>11</v>
      </c>
      <c r="I87" s="1" t="s">
        <v>3984</v>
      </c>
      <c r="J87" s="1" t="s">
        <v>55</v>
      </c>
      <c r="K87" s="3" t="s">
        <v>4020</v>
      </c>
      <c r="L87" s="1" t="s">
        <v>3987</v>
      </c>
      <c r="M87" s="1" t="s">
        <v>3996</v>
      </c>
      <c r="N87" s="1" t="s">
        <v>13</v>
      </c>
      <c r="O87" s="1" t="s">
        <v>3996</v>
      </c>
      <c r="P87" s="1" t="s">
        <v>13</v>
      </c>
      <c r="Q87" s="1" t="s">
        <v>19</v>
      </c>
      <c r="R87" s="1" t="s">
        <v>20</v>
      </c>
      <c r="S87" s="1" t="s">
        <v>3994</v>
      </c>
      <c r="T87" s="4">
        <v>1.8</v>
      </c>
    </row>
    <row r="88" spans="1:20">
      <c r="A88" s="1" t="s">
        <v>3981</v>
      </c>
      <c r="B88" s="1" t="s">
        <v>312</v>
      </c>
      <c r="C88" s="1" t="s">
        <v>3982</v>
      </c>
      <c r="D88" s="1" t="s">
        <v>312</v>
      </c>
      <c r="E88" s="2">
        <v>45681</v>
      </c>
      <c r="F88" s="2">
        <v>45681</v>
      </c>
      <c r="G88" s="1" t="s">
        <v>3990</v>
      </c>
      <c r="H88" s="3" t="s">
        <v>11</v>
      </c>
      <c r="I88" s="1" t="s">
        <v>3984</v>
      </c>
      <c r="J88" s="1" t="s">
        <v>12</v>
      </c>
      <c r="K88" s="3" t="s">
        <v>3995</v>
      </c>
      <c r="L88" s="1" t="s">
        <v>3987</v>
      </c>
      <c r="M88" s="1" t="s">
        <v>3996</v>
      </c>
      <c r="N88" s="1" t="s">
        <v>13</v>
      </c>
      <c r="O88" s="1" t="s">
        <v>3996</v>
      </c>
      <c r="P88" s="1" t="s">
        <v>13</v>
      </c>
      <c r="Q88" s="1" t="s">
        <v>14</v>
      </c>
      <c r="R88" s="1" t="s">
        <v>56</v>
      </c>
      <c r="S88" s="1" t="s">
        <v>3994</v>
      </c>
      <c r="T88" s="4">
        <v>3.5</v>
      </c>
    </row>
    <row r="89" spans="1:20">
      <c r="A89" s="1" t="s">
        <v>3981</v>
      </c>
      <c r="B89" s="1" t="s">
        <v>312</v>
      </c>
      <c r="C89" s="1" t="s">
        <v>3982</v>
      </c>
      <c r="D89" s="1" t="s">
        <v>312</v>
      </c>
      <c r="E89" s="2">
        <v>45681</v>
      </c>
      <c r="F89" s="2">
        <v>45681</v>
      </c>
      <c r="G89" s="1" t="s">
        <v>3990</v>
      </c>
      <c r="H89" s="3" t="s">
        <v>11</v>
      </c>
      <c r="I89" s="1" t="s">
        <v>3984</v>
      </c>
      <c r="J89" s="1" t="s">
        <v>12</v>
      </c>
      <c r="K89" s="3" t="s">
        <v>3995</v>
      </c>
      <c r="L89" s="1" t="s">
        <v>3987</v>
      </c>
      <c r="M89" s="1" t="s">
        <v>3996</v>
      </c>
      <c r="N89" s="1" t="s">
        <v>13</v>
      </c>
      <c r="O89" s="1" t="s">
        <v>3996</v>
      </c>
      <c r="P89" s="1" t="s">
        <v>13</v>
      </c>
      <c r="Q89" s="1" t="s">
        <v>14</v>
      </c>
      <c r="R89" s="1" t="s">
        <v>37</v>
      </c>
      <c r="S89" s="1" t="s">
        <v>3994</v>
      </c>
      <c r="T89" s="4">
        <v>1</v>
      </c>
    </row>
    <row r="90" spans="1:20">
      <c r="A90" s="1" t="s">
        <v>3981</v>
      </c>
      <c r="B90" s="1" t="s">
        <v>312</v>
      </c>
      <c r="C90" s="1" t="s">
        <v>3982</v>
      </c>
      <c r="D90" s="1" t="s">
        <v>312</v>
      </c>
      <c r="E90" s="2">
        <v>45681</v>
      </c>
      <c r="F90" s="2">
        <v>45681</v>
      </c>
      <c r="G90" s="1" t="s">
        <v>3990</v>
      </c>
      <c r="H90" s="3" t="s">
        <v>11</v>
      </c>
      <c r="I90" s="1" t="s">
        <v>3984</v>
      </c>
      <c r="J90" s="1" t="s">
        <v>12</v>
      </c>
      <c r="K90" s="3" t="s">
        <v>3995</v>
      </c>
      <c r="L90" s="1" t="s">
        <v>3987</v>
      </c>
      <c r="M90" s="1" t="s">
        <v>3996</v>
      </c>
      <c r="N90" s="1" t="s">
        <v>13</v>
      </c>
      <c r="O90" s="1" t="s">
        <v>3996</v>
      </c>
      <c r="P90" s="1" t="s">
        <v>13</v>
      </c>
      <c r="Q90" s="1" t="s">
        <v>14</v>
      </c>
      <c r="R90" s="1" t="s">
        <v>15</v>
      </c>
      <c r="S90" s="1" t="s">
        <v>3994</v>
      </c>
      <c r="T90" s="4">
        <v>6</v>
      </c>
    </row>
    <row r="91" spans="1:20">
      <c r="A91" s="1" t="s">
        <v>3981</v>
      </c>
      <c r="B91" s="1" t="s">
        <v>312</v>
      </c>
      <c r="C91" s="1" t="s">
        <v>3982</v>
      </c>
      <c r="D91" s="1" t="s">
        <v>312</v>
      </c>
      <c r="E91" s="2">
        <v>45681</v>
      </c>
      <c r="F91" s="2">
        <v>45681</v>
      </c>
      <c r="G91" s="1" t="s">
        <v>3990</v>
      </c>
      <c r="H91" s="3" t="s">
        <v>11</v>
      </c>
      <c r="I91" s="1" t="s">
        <v>3984</v>
      </c>
      <c r="J91" s="1" t="s">
        <v>12</v>
      </c>
      <c r="K91" s="3" t="s">
        <v>3995</v>
      </c>
      <c r="L91" s="1" t="s">
        <v>3987</v>
      </c>
      <c r="M91" s="1" t="s">
        <v>3996</v>
      </c>
      <c r="N91" s="1" t="s">
        <v>13</v>
      </c>
      <c r="O91" s="1" t="s">
        <v>3996</v>
      </c>
      <c r="P91" s="1" t="s">
        <v>13</v>
      </c>
      <c r="Q91" s="1" t="s">
        <v>16</v>
      </c>
      <c r="R91" s="1" t="s">
        <v>17</v>
      </c>
      <c r="S91" s="1" t="s">
        <v>3994</v>
      </c>
      <c r="T91" s="4">
        <v>14.5</v>
      </c>
    </row>
    <row r="92" spans="1:20">
      <c r="A92" s="1" t="s">
        <v>3981</v>
      </c>
      <c r="B92" s="1" t="s">
        <v>312</v>
      </c>
      <c r="C92" s="1" t="s">
        <v>3982</v>
      </c>
      <c r="D92" s="1" t="s">
        <v>312</v>
      </c>
      <c r="E92" s="2">
        <v>45681</v>
      </c>
      <c r="F92" s="2">
        <v>45681</v>
      </c>
      <c r="G92" s="1" t="s">
        <v>3990</v>
      </c>
      <c r="H92" s="3" t="s">
        <v>11</v>
      </c>
      <c r="I92" s="1" t="s">
        <v>3984</v>
      </c>
      <c r="J92" s="1" t="s">
        <v>12</v>
      </c>
      <c r="K92" s="3" t="s">
        <v>3995</v>
      </c>
      <c r="L92" s="1" t="s">
        <v>3987</v>
      </c>
      <c r="M92" s="1" t="s">
        <v>3996</v>
      </c>
      <c r="N92" s="1" t="s">
        <v>13</v>
      </c>
      <c r="O92" s="1" t="s">
        <v>3996</v>
      </c>
      <c r="P92" s="1" t="s">
        <v>13</v>
      </c>
      <c r="Q92" s="1" t="s">
        <v>19</v>
      </c>
      <c r="R92" s="1" t="s">
        <v>20</v>
      </c>
      <c r="S92" s="1" t="s">
        <v>3994</v>
      </c>
      <c r="T92" s="4">
        <v>9.3000000000000007</v>
      </c>
    </row>
    <row r="93" spans="1:20">
      <c r="A93" s="1" t="s">
        <v>3981</v>
      </c>
      <c r="B93" s="1" t="s">
        <v>312</v>
      </c>
      <c r="C93" s="1" t="s">
        <v>3982</v>
      </c>
      <c r="D93" s="1" t="s">
        <v>312</v>
      </c>
      <c r="E93" s="2">
        <v>45681</v>
      </c>
      <c r="F93" s="2">
        <v>45681</v>
      </c>
      <c r="G93" s="1" t="s">
        <v>3990</v>
      </c>
      <c r="H93" s="3" t="s">
        <v>11</v>
      </c>
      <c r="I93" s="1" t="s">
        <v>3984</v>
      </c>
      <c r="J93" s="1" t="s">
        <v>12</v>
      </c>
      <c r="K93" s="3" t="s">
        <v>3995</v>
      </c>
      <c r="L93" s="1" t="s">
        <v>3987</v>
      </c>
      <c r="M93" s="1" t="s">
        <v>4017</v>
      </c>
      <c r="N93" s="1" t="s">
        <v>4018</v>
      </c>
      <c r="O93" s="1" t="s">
        <v>13</v>
      </c>
      <c r="P93" s="1" t="s">
        <v>13</v>
      </c>
      <c r="Q93" s="1" t="s">
        <v>4019</v>
      </c>
      <c r="R93" s="1" t="s">
        <v>4019</v>
      </c>
      <c r="S93" s="1" t="s">
        <v>3994</v>
      </c>
      <c r="T93" s="4">
        <v>1.8</v>
      </c>
    </row>
    <row r="94" spans="1:20">
      <c r="A94" s="1" t="s">
        <v>3981</v>
      </c>
      <c r="B94" s="1" t="s">
        <v>312</v>
      </c>
      <c r="C94" s="1" t="s">
        <v>3982</v>
      </c>
      <c r="D94" s="1" t="s">
        <v>312</v>
      </c>
      <c r="E94" s="2">
        <v>45681</v>
      </c>
      <c r="F94" s="2">
        <v>45681</v>
      </c>
      <c r="G94" s="1" t="s">
        <v>3990</v>
      </c>
      <c r="H94" s="3" t="s">
        <v>11</v>
      </c>
      <c r="I94" s="1" t="s">
        <v>3984</v>
      </c>
      <c r="J94" s="1" t="s">
        <v>12</v>
      </c>
      <c r="K94" s="3" t="s">
        <v>3995</v>
      </c>
      <c r="L94" s="1" t="s">
        <v>3987</v>
      </c>
      <c r="M94" s="1" t="s">
        <v>4010</v>
      </c>
      <c r="N94" s="1" t="s">
        <v>4011</v>
      </c>
      <c r="O94" s="1" t="s">
        <v>13</v>
      </c>
      <c r="P94" s="1" t="s">
        <v>13</v>
      </c>
      <c r="Q94" s="1" t="s">
        <v>4001</v>
      </c>
      <c r="R94" s="1" t="s">
        <v>4012</v>
      </c>
      <c r="S94" s="1" t="s">
        <v>3994</v>
      </c>
      <c r="T94" s="4">
        <v>4</v>
      </c>
    </row>
    <row r="95" spans="1:20">
      <c r="A95" s="1" t="s">
        <v>3981</v>
      </c>
      <c r="B95" s="1" t="s">
        <v>312</v>
      </c>
      <c r="C95" s="1" t="s">
        <v>3982</v>
      </c>
      <c r="D95" s="1" t="s">
        <v>312</v>
      </c>
      <c r="E95" s="2">
        <v>45681</v>
      </c>
      <c r="F95" s="2">
        <v>45681</v>
      </c>
      <c r="G95" s="1" t="s">
        <v>3997</v>
      </c>
      <c r="H95" s="3" t="s">
        <v>41</v>
      </c>
      <c r="I95" s="1" t="s">
        <v>3984</v>
      </c>
      <c r="J95" s="1" t="s">
        <v>12</v>
      </c>
      <c r="K95" s="3" t="s">
        <v>3995</v>
      </c>
      <c r="L95" s="1" t="s">
        <v>3987</v>
      </c>
      <c r="M95" s="1" t="s">
        <v>3999</v>
      </c>
      <c r="N95" s="1" t="s">
        <v>13</v>
      </c>
      <c r="O95" s="1" t="s">
        <v>3999</v>
      </c>
      <c r="P95" s="1" t="s">
        <v>13</v>
      </c>
      <c r="Q95" s="1" t="s">
        <v>4000</v>
      </c>
      <c r="R95" s="1" t="s">
        <v>4001</v>
      </c>
      <c r="S95" s="1" t="s">
        <v>3998</v>
      </c>
      <c r="T95" s="4">
        <v>23</v>
      </c>
    </row>
    <row r="96" spans="1:20">
      <c r="A96" s="1" t="s">
        <v>3981</v>
      </c>
      <c r="B96" s="1" t="s">
        <v>312</v>
      </c>
      <c r="C96" s="1" t="s">
        <v>3982</v>
      </c>
      <c r="D96" s="1" t="s">
        <v>312</v>
      </c>
      <c r="E96" s="2">
        <v>45681</v>
      </c>
      <c r="F96" s="2">
        <v>45681</v>
      </c>
      <c r="G96" s="1" t="s">
        <v>3997</v>
      </c>
      <c r="H96" s="3" t="s">
        <v>41</v>
      </c>
      <c r="I96" s="1" t="s">
        <v>3984</v>
      </c>
      <c r="J96" s="1" t="s">
        <v>12</v>
      </c>
      <c r="K96" s="3" t="s">
        <v>3995</v>
      </c>
      <c r="L96" s="1" t="s">
        <v>4002</v>
      </c>
      <c r="M96" s="1" t="s">
        <v>4003</v>
      </c>
      <c r="N96" s="1" t="s">
        <v>13</v>
      </c>
      <c r="O96" s="1" t="s">
        <v>4003</v>
      </c>
      <c r="P96" s="1" t="s">
        <v>13</v>
      </c>
      <c r="Q96" s="1" t="s">
        <v>4004</v>
      </c>
      <c r="R96" s="1" t="s">
        <v>4001</v>
      </c>
      <c r="S96" s="1" t="s">
        <v>3998</v>
      </c>
      <c r="T96" s="4">
        <v>20.5</v>
      </c>
    </row>
    <row r="97" spans="1:20">
      <c r="A97" s="1" t="s">
        <v>3981</v>
      </c>
      <c r="B97" s="1" t="s">
        <v>312</v>
      </c>
      <c r="C97" s="1" t="s">
        <v>3982</v>
      </c>
      <c r="D97" s="1" t="s">
        <v>312</v>
      </c>
      <c r="E97" s="2">
        <v>45681</v>
      </c>
      <c r="F97" s="2">
        <v>45681</v>
      </c>
      <c r="G97" s="1" t="s">
        <v>4005</v>
      </c>
      <c r="H97" s="3" t="s">
        <v>21</v>
      </c>
      <c r="I97" s="1" t="s">
        <v>3984</v>
      </c>
      <c r="J97" s="1" t="s">
        <v>12</v>
      </c>
      <c r="K97" s="3" t="s">
        <v>3995</v>
      </c>
      <c r="L97" s="1" t="s">
        <v>3987</v>
      </c>
      <c r="M97" s="1" t="s">
        <v>3996</v>
      </c>
      <c r="N97" s="1" t="s">
        <v>13</v>
      </c>
      <c r="O97" s="1" t="s">
        <v>3996</v>
      </c>
      <c r="P97" s="1" t="s">
        <v>13</v>
      </c>
      <c r="Q97" s="1" t="s">
        <v>14</v>
      </c>
      <c r="R97" s="1" t="s">
        <v>24</v>
      </c>
      <c r="S97" s="1" t="s">
        <v>4007</v>
      </c>
      <c r="T97" s="4">
        <v>14.6</v>
      </c>
    </row>
    <row r="98" spans="1:20">
      <c r="A98" s="1" t="s">
        <v>3981</v>
      </c>
      <c r="B98" s="1" t="s">
        <v>312</v>
      </c>
      <c r="C98" s="1" t="s">
        <v>3982</v>
      </c>
      <c r="D98" s="1" t="s">
        <v>312</v>
      </c>
      <c r="E98" s="2">
        <v>45681</v>
      </c>
      <c r="F98" s="2">
        <v>45681</v>
      </c>
      <c r="G98" s="1" t="s">
        <v>4005</v>
      </c>
      <c r="H98" s="3" t="s">
        <v>21</v>
      </c>
      <c r="I98" s="1" t="s">
        <v>3984</v>
      </c>
      <c r="J98" s="1" t="s">
        <v>12</v>
      </c>
      <c r="K98" s="3" t="s">
        <v>3995</v>
      </c>
      <c r="L98" s="1" t="s">
        <v>3987</v>
      </c>
      <c r="M98" s="1" t="s">
        <v>3996</v>
      </c>
      <c r="N98" s="1" t="s">
        <v>13</v>
      </c>
      <c r="O98" s="1" t="s">
        <v>3996</v>
      </c>
      <c r="P98" s="1" t="s">
        <v>13</v>
      </c>
      <c r="Q98" s="1" t="s">
        <v>14</v>
      </c>
      <c r="R98" s="1" t="s">
        <v>23</v>
      </c>
      <c r="S98" s="1" t="s">
        <v>4007</v>
      </c>
      <c r="T98" s="4">
        <v>6.1</v>
      </c>
    </row>
    <row r="99" spans="1:20">
      <c r="A99" s="1" t="s">
        <v>3981</v>
      </c>
      <c r="B99" s="1" t="s">
        <v>312</v>
      </c>
      <c r="C99" s="1" t="s">
        <v>3982</v>
      </c>
      <c r="D99" s="1" t="s">
        <v>312</v>
      </c>
      <c r="E99" s="2">
        <v>45681</v>
      </c>
      <c r="F99" s="2">
        <v>45681</v>
      </c>
      <c r="G99" s="1" t="s">
        <v>4005</v>
      </c>
      <c r="H99" s="3" t="s">
        <v>21</v>
      </c>
      <c r="I99" s="1" t="s">
        <v>3984</v>
      </c>
      <c r="J99" s="1" t="s">
        <v>12</v>
      </c>
      <c r="K99" s="3" t="s">
        <v>3995</v>
      </c>
      <c r="L99" s="1" t="s">
        <v>3987</v>
      </c>
      <c r="M99" s="1" t="s">
        <v>3996</v>
      </c>
      <c r="N99" s="1" t="s">
        <v>13</v>
      </c>
      <c r="O99" s="1" t="s">
        <v>3996</v>
      </c>
      <c r="P99" s="1" t="s">
        <v>13</v>
      </c>
      <c r="Q99" s="1" t="s">
        <v>14</v>
      </c>
      <c r="R99" s="1" t="s">
        <v>57</v>
      </c>
      <c r="S99" s="1" t="s">
        <v>4007</v>
      </c>
      <c r="T99" s="4">
        <v>1</v>
      </c>
    </row>
    <row r="100" spans="1:20">
      <c r="A100" s="1" t="s">
        <v>3981</v>
      </c>
      <c r="B100" s="1" t="s">
        <v>312</v>
      </c>
      <c r="C100" s="1" t="s">
        <v>3982</v>
      </c>
      <c r="D100" s="1" t="s">
        <v>312</v>
      </c>
      <c r="E100" s="2">
        <v>45681</v>
      </c>
      <c r="F100" s="2">
        <v>45681</v>
      </c>
      <c r="G100" s="1" t="s">
        <v>4005</v>
      </c>
      <c r="H100" s="3" t="s">
        <v>21</v>
      </c>
      <c r="I100" s="1" t="s">
        <v>3984</v>
      </c>
      <c r="J100" s="1" t="s">
        <v>12</v>
      </c>
      <c r="K100" s="3" t="s">
        <v>3995</v>
      </c>
      <c r="L100" s="1" t="s">
        <v>3987</v>
      </c>
      <c r="M100" s="1" t="s">
        <v>3996</v>
      </c>
      <c r="N100" s="1" t="s">
        <v>13</v>
      </c>
      <c r="O100" s="1" t="s">
        <v>3996</v>
      </c>
      <c r="P100" s="1" t="s">
        <v>13</v>
      </c>
      <c r="Q100" s="1" t="s">
        <v>14</v>
      </c>
      <c r="R100" s="1" t="s">
        <v>42</v>
      </c>
      <c r="S100" s="1" t="s">
        <v>4007</v>
      </c>
      <c r="T100" s="4">
        <v>7.8</v>
      </c>
    </row>
    <row r="101" spans="1:20">
      <c r="A101" s="1" t="s">
        <v>3981</v>
      </c>
      <c r="B101" s="1" t="s">
        <v>312</v>
      </c>
      <c r="C101" s="1" t="s">
        <v>3982</v>
      </c>
      <c r="D101" s="1" t="s">
        <v>312</v>
      </c>
      <c r="E101" s="2">
        <v>45681</v>
      </c>
      <c r="F101" s="2">
        <v>45681</v>
      </c>
      <c r="G101" s="1" t="s">
        <v>4005</v>
      </c>
      <c r="H101" s="3" t="s">
        <v>21</v>
      </c>
      <c r="I101" s="1" t="s">
        <v>3984</v>
      </c>
      <c r="J101" s="1" t="s">
        <v>12</v>
      </c>
      <c r="K101" s="3" t="s">
        <v>3995</v>
      </c>
      <c r="L101" s="1" t="s">
        <v>3987</v>
      </c>
      <c r="M101" s="1" t="s">
        <v>3996</v>
      </c>
      <c r="N101" s="1" t="s">
        <v>13</v>
      </c>
      <c r="O101" s="1" t="s">
        <v>3996</v>
      </c>
      <c r="P101" s="1" t="s">
        <v>13</v>
      </c>
      <c r="Q101" s="1" t="s">
        <v>28</v>
      </c>
      <c r="R101" s="1" t="s">
        <v>58</v>
      </c>
      <c r="S101" s="1" t="s">
        <v>4007</v>
      </c>
      <c r="T101" s="4">
        <v>4.8</v>
      </c>
    </row>
    <row r="102" spans="1:20">
      <c r="A102" s="1" t="s">
        <v>3981</v>
      </c>
      <c r="B102" s="1" t="s">
        <v>312</v>
      </c>
      <c r="C102" s="1" t="s">
        <v>3982</v>
      </c>
      <c r="D102" s="1" t="s">
        <v>312</v>
      </c>
      <c r="E102" s="2">
        <v>45681</v>
      </c>
      <c r="F102" s="2">
        <v>45681</v>
      </c>
      <c r="G102" s="1" t="s">
        <v>4005</v>
      </c>
      <c r="H102" s="3" t="s">
        <v>21</v>
      </c>
      <c r="I102" s="1" t="s">
        <v>3984</v>
      </c>
      <c r="J102" s="1" t="s">
        <v>12</v>
      </c>
      <c r="K102" s="3" t="s">
        <v>3995</v>
      </c>
      <c r="L102" s="1" t="s">
        <v>3987</v>
      </c>
      <c r="M102" s="1" t="s">
        <v>3996</v>
      </c>
      <c r="N102" s="1" t="s">
        <v>13</v>
      </c>
      <c r="O102" s="1" t="s">
        <v>3996</v>
      </c>
      <c r="P102" s="1" t="s">
        <v>13</v>
      </c>
      <c r="Q102" s="1" t="s">
        <v>28</v>
      </c>
      <c r="R102" s="1" t="s">
        <v>29</v>
      </c>
      <c r="S102" s="1" t="s">
        <v>4007</v>
      </c>
      <c r="T102" s="4">
        <v>9.6999999999999993</v>
      </c>
    </row>
    <row r="103" spans="1:20">
      <c r="A103" s="1" t="s">
        <v>3981</v>
      </c>
      <c r="B103" s="1" t="s">
        <v>312</v>
      </c>
      <c r="C103" s="1" t="s">
        <v>3982</v>
      </c>
      <c r="D103" s="1" t="s">
        <v>312</v>
      </c>
      <c r="E103" s="2">
        <v>45681</v>
      </c>
      <c r="F103" s="2">
        <v>45681</v>
      </c>
      <c r="G103" s="1" t="s">
        <v>4008</v>
      </c>
      <c r="H103" s="3" t="s">
        <v>25</v>
      </c>
      <c r="I103" s="1" t="s">
        <v>3984</v>
      </c>
      <c r="J103" s="1" t="s">
        <v>12</v>
      </c>
      <c r="K103" s="3" t="s">
        <v>3995</v>
      </c>
      <c r="L103" s="1" t="s">
        <v>4013</v>
      </c>
      <c r="M103" s="1" t="s">
        <v>4014</v>
      </c>
      <c r="N103" s="1" t="s">
        <v>13</v>
      </c>
      <c r="O103" s="1" t="s">
        <v>4014</v>
      </c>
      <c r="P103" s="1" t="s">
        <v>13</v>
      </c>
      <c r="Q103" s="1" t="s">
        <v>13</v>
      </c>
      <c r="R103" s="1" t="s">
        <v>13</v>
      </c>
      <c r="S103" s="1" t="s">
        <v>4009</v>
      </c>
      <c r="T103" s="4">
        <v>5.5</v>
      </c>
    </row>
    <row r="104" spans="1:20">
      <c r="A104" s="1" t="s">
        <v>3981</v>
      </c>
      <c r="B104" s="1" t="s">
        <v>312</v>
      </c>
      <c r="C104" s="1" t="s">
        <v>3982</v>
      </c>
      <c r="D104" s="1" t="s">
        <v>312</v>
      </c>
      <c r="E104" s="2">
        <v>45681</v>
      </c>
      <c r="F104" s="2">
        <v>45681</v>
      </c>
      <c r="G104" s="1" t="s">
        <v>4008</v>
      </c>
      <c r="H104" s="3" t="s">
        <v>25</v>
      </c>
      <c r="I104" s="1" t="s">
        <v>3984</v>
      </c>
      <c r="J104" s="1" t="s">
        <v>12</v>
      </c>
      <c r="K104" s="3" t="s">
        <v>3995</v>
      </c>
      <c r="L104" s="1" t="s">
        <v>3987</v>
      </c>
      <c r="M104" s="1" t="s">
        <v>3996</v>
      </c>
      <c r="N104" s="1" t="s">
        <v>13</v>
      </c>
      <c r="O104" s="1" t="s">
        <v>3996</v>
      </c>
      <c r="P104" s="1" t="s">
        <v>13</v>
      </c>
      <c r="Q104" s="1" t="s">
        <v>14</v>
      </c>
      <c r="R104" s="1" t="s">
        <v>37</v>
      </c>
      <c r="S104" s="1" t="s">
        <v>4009</v>
      </c>
      <c r="T104" s="4">
        <v>0.5</v>
      </c>
    </row>
    <row r="105" spans="1:20">
      <c r="A105" s="1" t="s">
        <v>3981</v>
      </c>
      <c r="B105" s="1" t="s">
        <v>312</v>
      </c>
      <c r="C105" s="1" t="s">
        <v>3982</v>
      </c>
      <c r="D105" s="1" t="s">
        <v>312</v>
      </c>
      <c r="E105" s="2">
        <v>45681</v>
      </c>
      <c r="F105" s="2">
        <v>45681</v>
      </c>
      <c r="G105" s="1" t="s">
        <v>4008</v>
      </c>
      <c r="H105" s="3" t="s">
        <v>25</v>
      </c>
      <c r="I105" s="1" t="s">
        <v>3984</v>
      </c>
      <c r="J105" s="1" t="s">
        <v>12</v>
      </c>
      <c r="K105" s="3" t="s">
        <v>3995</v>
      </c>
      <c r="L105" s="1" t="s">
        <v>3987</v>
      </c>
      <c r="M105" s="1" t="s">
        <v>3996</v>
      </c>
      <c r="N105" s="1" t="s">
        <v>13</v>
      </c>
      <c r="O105" s="1" t="s">
        <v>3996</v>
      </c>
      <c r="P105" s="1" t="s">
        <v>13</v>
      </c>
      <c r="Q105" s="1" t="s">
        <v>28</v>
      </c>
      <c r="R105" s="1" t="s">
        <v>29</v>
      </c>
      <c r="S105" s="1" t="s">
        <v>4009</v>
      </c>
      <c r="T105" s="4">
        <v>0.5</v>
      </c>
    </row>
    <row r="106" spans="1:20">
      <c r="A106" s="1" t="s">
        <v>3981</v>
      </c>
      <c r="B106" s="1" t="s">
        <v>312</v>
      </c>
      <c r="C106" s="1" t="s">
        <v>3982</v>
      </c>
      <c r="D106" s="1" t="s">
        <v>312</v>
      </c>
      <c r="E106" s="2">
        <v>45681</v>
      </c>
      <c r="F106" s="2">
        <v>45681</v>
      </c>
      <c r="G106" s="1" t="s">
        <v>4008</v>
      </c>
      <c r="H106" s="3" t="s">
        <v>25</v>
      </c>
      <c r="I106" s="1" t="s">
        <v>3984</v>
      </c>
      <c r="J106" s="1" t="s">
        <v>12</v>
      </c>
      <c r="K106" s="3" t="s">
        <v>3995</v>
      </c>
      <c r="L106" s="1" t="s">
        <v>3987</v>
      </c>
      <c r="M106" s="1" t="s">
        <v>3996</v>
      </c>
      <c r="N106" s="1" t="s">
        <v>13</v>
      </c>
      <c r="O106" s="1" t="s">
        <v>3996</v>
      </c>
      <c r="P106" s="1" t="s">
        <v>13</v>
      </c>
      <c r="Q106" s="1" t="s">
        <v>44</v>
      </c>
      <c r="R106" s="1" t="s">
        <v>45</v>
      </c>
      <c r="S106" s="1" t="s">
        <v>4009</v>
      </c>
      <c r="T106" s="4">
        <v>16.8</v>
      </c>
    </row>
    <row r="107" spans="1:20">
      <c r="A107" s="1" t="s">
        <v>3981</v>
      </c>
      <c r="B107" s="1" t="s">
        <v>312</v>
      </c>
      <c r="C107" s="1" t="s">
        <v>3982</v>
      </c>
      <c r="D107" s="1" t="s">
        <v>312</v>
      </c>
      <c r="E107" s="2">
        <v>45681</v>
      </c>
      <c r="F107" s="2">
        <v>45681</v>
      </c>
      <c r="G107" s="1" t="s">
        <v>4008</v>
      </c>
      <c r="H107" s="3" t="s">
        <v>25</v>
      </c>
      <c r="I107" s="1" t="s">
        <v>3984</v>
      </c>
      <c r="J107" s="1" t="s">
        <v>12</v>
      </c>
      <c r="K107" s="3" t="s">
        <v>3995</v>
      </c>
      <c r="L107" s="1" t="s">
        <v>3987</v>
      </c>
      <c r="M107" s="1" t="s">
        <v>3996</v>
      </c>
      <c r="N107" s="1" t="s">
        <v>13</v>
      </c>
      <c r="O107" s="1" t="s">
        <v>3996</v>
      </c>
      <c r="P107" s="1" t="s">
        <v>13</v>
      </c>
      <c r="Q107" s="1" t="s">
        <v>38</v>
      </c>
      <c r="R107" s="1" t="s">
        <v>46</v>
      </c>
      <c r="S107" s="1" t="s">
        <v>4009</v>
      </c>
      <c r="T107" s="4">
        <v>6.2</v>
      </c>
    </row>
    <row r="108" spans="1:20">
      <c r="A108" s="1" t="s">
        <v>3981</v>
      </c>
      <c r="B108" s="1" t="s">
        <v>312</v>
      </c>
      <c r="C108" s="1" t="s">
        <v>3982</v>
      </c>
      <c r="D108" s="1" t="s">
        <v>312</v>
      </c>
      <c r="E108" s="2">
        <v>45681</v>
      </c>
      <c r="F108" s="2">
        <v>45681</v>
      </c>
      <c r="G108" s="1" t="s">
        <v>4008</v>
      </c>
      <c r="H108" s="3" t="s">
        <v>25</v>
      </c>
      <c r="I108" s="1" t="s">
        <v>3984</v>
      </c>
      <c r="J108" s="1" t="s">
        <v>12</v>
      </c>
      <c r="K108" s="3" t="s">
        <v>3995</v>
      </c>
      <c r="L108" s="1" t="s">
        <v>3987</v>
      </c>
      <c r="M108" s="1" t="s">
        <v>3996</v>
      </c>
      <c r="N108" s="1" t="s">
        <v>13</v>
      </c>
      <c r="O108" s="1" t="s">
        <v>3996</v>
      </c>
      <c r="P108" s="1" t="s">
        <v>13</v>
      </c>
      <c r="Q108" s="1" t="s">
        <v>30</v>
      </c>
      <c r="R108" s="1" t="s">
        <v>53</v>
      </c>
      <c r="S108" s="1" t="s">
        <v>4009</v>
      </c>
      <c r="T108" s="4">
        <v>1</v>
      </c>
    </row>
    <row r="109" spans="1:20">
      <c r="A109" s="1" t="s">
        <v>3981</v>
      </c>
      <c r="B109" s="1" t="s">
        <v>312</v>
      </c>
      <c r="C109" s="1" t="s">
        <v>3982</v>
      </c>
      <c r="D109" s="1" t="s">
        <v>312</v>
      </c>
      <c r="E109" s="2">
        <v>45681</v>
      </c>
      <c r="F109" s="2">
        <v>45681</v>
      </c>
      <c r="G109" s="1" t="s">
        <v>4008</v>
      </c>
      <c r="H109" s="3" t="s">
        <v>25</v>
      </c>
      <c r="I109" s="1" t="s">
        <v>3984</v>
      </c>
      <c r="J109" s="1" t="s">
        <v>12</v>
      </c>
      <c r="K109" s="3" t="s">
        <v>3995</v>
      </c>
      <c r="L109" s="1" t="s">
        <v>3987</v>
      </c>
      <c r="M109" s="1" t="s">
        <v>3996</v>
      </c>
      <c r="N109" s="1" t="s">
        <v>13</v>
      </c>
      <c r="O109" s="1" t="s">
        <v>3996</v>
      </c>
      <c r="P109" s="1" t="s">
        <v>13</v>
      </c>
      <c r="Q109" s="1" t="s">
        <v>30</v>
      </c>
      <c r="R109" s="1" t="s">
        <v>31</v>
      </c>
      <c r="S109" s="1" t="s">
        <v>4009</v>
      </c>
      <c r="T109" s="4">
        <v>5.5</v>
      </c>
    </row>
    <row r="110" spans="1:20">
      <c r="A110" s="1" t="s">
        <v>3981</v>
      </c>
      <c r="B110" s="1" t="s">
        <v>312</v>
      </c>
      <c r="C110" s="1" t="s">
        <v>3982</v>
      </c>
      <c r="D110" s="1" t="s">
        <v>312</v>
      </c>
      <c r="E110" s="2">
        <v>45681</v>
      </c>
      <c r="F110" s="2">
        <v>45681</v>
      </c>
      <c r="G110" s="1" t="s">
        <v>4008</v>
      </c>
      <c r="H110" s="3" t="s">
        <v>25</v>
      </c>
      <c r="I110" s="1" t="s">
        <v>3984</v>
      </c>
      <c r="J110" s="1" t="s">
        <v>12</v>
      </c>
      <c r="K110" s="3" t="s">
        <v>3995</v>
      </c>
      <c r="L110" s="1" t="s">
        <v>3987</v>
      </c>
      <c r="M110" s="1" t="s">
        <v>3996</v>
      </c>
      <c r="N110" s="1" t="s">
        <v>13</v>
      </c>
      <c r="O110" s="1" t="s">
        <v>3996</v>
      </c>
      <c r="P110" s="1" t="s">
        <v>13</v>
      </c>
      <c r="Q110" s="1" t="s">
        <v>30</v>
      </c>
      <c r="R110" s="1" t="s">
        <v>59</v>
      </c>
      <c r="S110" s="1" t="s">
        <v>4009</v>
      </c>
      <c r="T110" s="4">
        <v>2</v>
      </c>
    </row>
    <row r="111" spans="1:20">
      <c r="A111" s="1" t="s">
        <v>3981</v>
      </c>
      <c r="B111" s="1" t="s">
        <v>312</v>
      </c>
      <c r="C111" s="1" t="s">
        <v>3982</v>
      </c>
      <c r="D111" s="1" t="s">
        <v>301</v>
      </c>
      <c r="E111" s="2">
        <v>45695</v>
      </c>
      <c r="F111" s="2">
        <v>45688</v>
      </c>
      <c r="G111" s="1" t="s">
        <v>3983</v>
      </c>
      <c r="H111" s="3" t="s">
        <v>32</v>
      </c>
      <c r="I111" s="1" t="s">
        <v>3984</v>
      </c>
      <c r="J111" s="1" t="s">
        <v>12</v>
      </c>
      <c r="K111" s="3" t="s">
        <v>3995</v>
      </c>
      <c r="L111" s="1" t="s">
        <v>3987</v>
      </c>
      <c r="M111" s="1" t="s">
        <v>3996</v>
      </c>
      <c r="N111" s="1" t="s">
        <v>13</v>
      </c>
      <c r="O111" s="1" t="s">
        <v>3996</v>
      </c>
      <c r="P111" s="1" t="s">
        <v>13</v>
      </c>
      <c r="Q111" s="1" t="s">
        <v>14</v>
      </c>
      <c r="R111" s="1" t="s">
        <v>34</v>
      </c>
      <c r="S111" s="1" t="s">
        <v>3989</v>
      </c>
      <c r="T111" s="4">
        <v>38</v>
      </c>
    </row>
    <row r="112" spans="1:20">
      <c r="A112" s="1" t="s">
        <v>3981</v>
      </c>
      <c r="B112" s="1" t="s">
        <v>312</v>
      </c>
      <c r="C112" s="1" t="s">
        <v>3982</v>
      </c>
      <c r="D112" s="1" t="s">
        <v>301</v>
      </c>
      <c r="E112" s="2">
        <v>45695</v>
      </c>
      <c r="F112" s="2">
        <v>45688</v>
      </c>
      <c r="G112" s="1" t="s">
        <v>3990</v>
      </c>
      <c r="H112" s="3" t="s">
        <v>11</v>
      </c>
      <c r="I112" s="1" t="s">
        <v>3984</v>
      </c>
      <c r="J112" s="1" t="s">
        <v>12</v>
      </c>
      <c r="K112" s="3" t="s">
        <v>3995</v>
      </c>
      <c r="L112" s="1" t="s">
        <v>3987</v>
      </c>
      <c r="M112" s="1" t="s">
        <v>3996</v>
      </c>
      <c r="N112" s="1" t="s">
        <v>13</v>
      </c>
      <c r="O112" s="1" t="s">
        <v>3996</v>
      </c>
      <c r="P112" s="1" t="s">
        <v>13</v>
      </c>
      <c r="Q112" s="1" t="s">
        <v>14</v>
      </c>
      <c r="R112" s="1" t="s">
        <v>27</v>
      </c>
      <c r="S112" s="1" t="s">
        <v>3994</v>
      </c>
      <c r="T112" s="4">
        <v>0.7</v>
      </c>
    </row>
    <row r="113" spans="1:20">
      <c r="A113" s="1" t="s">
        <v>3981</v>
      </c>
      <c r="B113" s="1" t="s">
        <v>312</v>
      </c>
      <c r="C113" s="1" t="s">
        <v>3982</v>
      </c>
      <c r="D113" s="1" t="s">
        <v>301</v>
      </c>
      <c r="E113" s="2">
        <v>45695</v>
      </c>
      <c r="F113" s="2">
        <v>45688</v>
      </c>
      <c r="G113" s="1" t="s">
        <v>3990</v>
      </c>
      <c r="H113" s="3" t="s">
        <v>11</v>
      </c>
      <c r="I113" s="1" t="s">
        <v>3984</v>
      </c>
      <c r="J113" s="1" t="s">
        <v>12</v>
      </c>
      <c r="K113" s="3" t="s">
        <v>3995</v>
      </c>
      <c r="L113" s="1" t="s">
        <v>3987</v>
      </c>
      <c r="M113" s="1" t="s">
        <v>3996</v>
      </c>
      <c r="N113" s="1" t="s">
        <v>13</v>
      </c>
      <c r="O113" s="1" t="s">
        <v>3996</v>
      </c>
      <c r="P113" s="1" t="s">
        <v>13</v>
      </c>
      <c r="Q113" s="1" t="s">
        <v>14</v>
      </c>
      <c r="R113" s="1" t="s">
        <v>56</v>
      </c>
      <c r="S113" s="1" t="s">
        <v>3994</v>
      </c>
      <c r="T113" s="4">
        <v>1.1000000000000001</v>
      </c>
    </row>
    <row r="114" spans="1:20">
      <c r="A114" s="1" t="s">
        <v>3981</v>
      </c>
      <c r="B114" s="1" t="s">
        <v>312</v>
      </c>
      <c r="C114" s="1" t="s">
        <v>3982</v>
      </c>
      <c r="D114" s="1" t="s">
        <v>301</v>
      </c>
      <c r="E114" s="2">
        <v>45695</v>
      </c>
      <c r="F114" s="2">
        <v>45688</v>
      </c>
      <c r="G114" s="1" t="s">
        <v>3990</v>
      </c>
      <c r="H114" s="3" t="s">
        <v>11</v>
      </c>
      <c r="I114" s="1" t="s">
        <v>3984</v>
      </c>
      <c r="J114" s="1" t="s">
        <v>12</v>
      </c>
      <c r="K114" s="3" t="s">
        <v>3995</v>
      </c>
      <c r="L114" s="1" t="s">
        <v>3987</v>
      </c>
      <c r="M114" s="1" t="s">
        <v>3996</v>
      </c>
      <c r="N114" s="1" t="s">
        <v>13</v>
      </c>
      <c r="O114" s="1" t="s">
        <v>3996</v>
      </c>
      <c r="P114" s="1" t="s">
        <v>13</v>
      </c>
      <c r="Q114" s="1" t="s">
        <v>14</v>
      </c>
      <c r="R114" s="1" t="s">
        <v>37</v>
      </c>
      <c r="S114" s="1" t="s">
        <v>3994</v>
      </c>
      <c r="T114" s="4">
        <v>6.4</v>
      </c>
    </row>
    <row r="115" spans="1:20">
      <c r="A115" s="1" t="s">
        <v>3981</v>
      </c>
      <c r="B115" s="1" t="s">
        <v>312</v>
      </c>
      <c r="C115" s="1" t="s">
        <v>3982</v>
      </c>
      <c r="D115" s="1" t="s">
        <v>301</v>
      </c>
      <c r="E115" s="2">
        <v>45695</v>
      </c>
      <c r="F115" s="2">
        <v>45688</v>
      </c>
      <c r="G115" s="1" t="s">
        <v>3990</v>
      </c>
      <c r="H115" s="3" t="s">
        <v>11</v>
      </c>
      <c r="I115" s="1" t="s">
        <v>3984</v>
      </c>
      <c r="J115" s="1" t="s">
        <v>12</v>
      </c>
      <c r="K115" s="3" t="s">
        <v>3995</v>
      </c>
      <c r="L115" s="1" t="s">
        <v>3987</v>
      </c>
      <c r="M115" s="1" t="s">
        <v>3996</v>
      </c>
      <c r="N115" s="1" t="s">
        <v>13</v>
      </c>
      <c r="O115" s="1" t="s">
        <v>3996</v>
      </c>
      <c r="P115" s="1" t="s">
        <v>13</v>
      </c>
      <c r="Q115" s="1" t="s">
        <v>14</v>
      </c>
      <c r="R115" s="1" t="s">
        <v>15</v>
      </c>
      <c r="S115" s="1" t="s">
        <v>3994</v>
      </c>
      <c r="T115" s="4">
        <v>4.8</v>
      </c>
    </row>
    <row r="116" spans="1:20">
      <c r="A116" s="1" t="s">
        <v>3981</v>
      </c>
      <c r="B116" s="1" t="s">
        <v>312</v>
      </c>
      <c r="C116" s="1" t="s">
        <v>3982</v>
      </c>
      <c r="D116" s="1" t="s">
        <v>301</v>
      </c>
      <c r="E116" s="2">
        <v>45695</v>
      </c>
      <c r="F116" s="2">
        <v>45688</v>
      </c>
      <c r="G116" s="1" t="s">
        <v>3990</v>
      </c>
      <c r="H116" s="3" t="s">
        <v>11</v>
      </c>
      <c r="I116" s="1" t="s">
        <v>3984</v>
      </c>
      <c r="J116" s="1" t="s">
        <v>12</v>
      </c>
      <c r="K116" s="3" t="s">
        <v>3995</v>
      </c>
      <c r="L116" s="1" t="s">
        <v>3987</v>
      </c>
      <c r="M116" s="1" t="s">
        <v>3996</v>
      </c>
      <c r="N116" s="1" t="s">
        <v>13</v>
      </c>
      <c r="O116" s="1" t="s">
        <v>3996</v>
      </c>
      <c r="P116" s="1" t="s">
        <v>13</v>
      </c>
      <c r="Q116" s="1" t="s">
        <v>44</v>
      </c>
      <c r="R116" s="1" t="s">
        <v>60</v>
      </c>
      <c r="S116" s="1" t="s">
        <v>3994</v>
      </c>
      <c r="T116" s="4">
        <v>2</v>
      </c>
    </row>
    <row r="117" spans="1:20">
      <c r="A117" s="1" t="s">
        <v>3981</v>
      </c>
      <c r="B117" s="1" t="s">
        <v>312</v>
      </c>
      <c r="C117" s="1" t="s">
        <v>3982</v>
      </c>
      <c r="D117" s="1" t="s">
        <v>301</v>
      </c>
      <c r="E117" s="2">
        <v>45695</v>
      </c>
      <c r="F117" s="2">
        <v>45688</v>
      </c>
      <c r="G117" s="1" t="s">
        <v>3990</v>
      </c>
      <c r="H117" s="3" t="s">
        <v>11</v>
      </c>
      <c r="I117" s="1" t="s">
        <v>3984</v>
      </c>
      <c r="J117" s="1" t="s">
        <v>12</v>
      </c>
      <c r="K117" s="3" t="s">
        <v>3995</v>
      </c>
      <c r="L117" s="1" t="s">
        <v>3987</v>
      </c>
      <c r="M117" s="1" t="s">
        <v>3996</v>
      </c>
      <c r="N117" s="1" t="s">
        <v>13</v>
      </c>
      <c r="O117" s="1" t="s">
        <v>3996</v>
      </c>
      <c r="P117" s="1" t="s">
        <v>13</v>
      </c>
      <c r="Q117" s="1" t="s">
        <v>16</v>
      </c>
      <c r="R117" s="1" t="s">
        <v>17</v>
      </c>
      <c r="S117" s="1" t="s">
        <v>3994</v>
      </c>
      <c r="T117" s="4">
        <v>4</v>
      </c>
    </row>
    <row r="118" spans="1:20">
      <c r="A118" s="1" t="s">
        <v>3981</v>
      </c>
      <c r="B118" s="1" t="s">
        <v>312</v>
      </c>
      <c r="C118" s="1" t="s">
        <v>3982</v>
      </c>
      <c r="D118" s="1" t="s">
        <v>301</v>
      </c>
      <c r="E118" s="2">
        <v>45695</v>
      </c>
      <c r="F118" s="2">
        <v>45688</v>
      </c>
      <c r="G118" s="1" t="s">
        <v>3990</v>
      </c>
      <c r="H118" s="3" t="s">
        <v>11</v>
      </c>
      <c r="I118" s="1" t="s">
        <v>3984</v>
      </c>
      <c r="J118" s="1" t="s">
        <v>12</v>
      </c>
      <c r="K118" s="3" t="s">
        <v>3995</v>
      </c>
      <c r="L118" s="1" t="s">
        <v>3987</v>
      </c>
      <c r="M118" s="1" t="s">
        <v>3996</v>
      </c>
      <c r="N118" s="1" t="s">
        <v>13</v>
      </c>
      <c r="O118" s="1" t="s">
        <v>3996</v>
      </c>
      <c r="P118" s="1" t="s">
        <v>13</v>
      </c>
      <c r="Q118" s="1" t="s">
        <v>16</v>
      </c>
      <c r="R118" s="1" t="s">
        <v>61</v>
      </c>
      <c r="S118" s="1" t="s">
        <v>3994</v>
      </c>
      <c r="T118" s="4">
        <v>5.3</v>
      </c>
    </row>
    <row r="119" spans="1:20">
      <c r="A119" s="1" t="s">
        <v>3981</v>
      </c>
      <c r="B119" s="1" t="s">
        <v>312</v>
      </c>
      <c r="C119" s="1" t="s">
        <v>3982</v>
      </c>
      <c r="D119" s="1" t="s">
        <v>301</v>
      </c>
      <c r="E119" s="2">
        <v>45695</v>
      </c>
      <c r="F119" s="2">
        <v>45688</v>
      </c>
      <c r="G119" s="1" t="s">
        <v>3990</v>
      </c>
      <c r="H119" s="3" t="s">
        <v>11</v>
      </c>
      <c r="I119" s="1" t="s">
        <v>3984</v>
      </c>
      <c r="J119" s="1" t="s">
        <v>12</v>
      </c>
      <c r="K119" s="3" t="s">
        <v>3995</v>
      </c>
      <c r="L119" s="1" t="s">
        <v>3987</v>
      </c>
      <c r="M119" s="1" t="s">
        <v>4010</v>
      </c>
      <c r="N119" s="1" t="s">
        <v>4011</v>
      </c>
      <c r="O119" s="1" t="s">
        <v>13</v>
      </c>
      <c r="P119" s="1" t="s">
        <v>13</v>
      </c>
      <c r="Q119" s="1" t="s">
        <v>4001</v>
      </c>
      <c r="R119" s="1" t="s">
        <v>4012</v>
      </c>
      <c r="S119" s="1" t="s">
        <v>3994</v>
      </c>
      <c r="T119" s="4">
        <v>11.6</v>
      </c>
    </row>
    <row r="120" spans="1:20">
      <c r="A120" s="1" t="s">
        <v>3981</v>
      </c>
      <c r="B120" s="1" t="s">
        <v>312</v>
      </c>
      <c r="C120" s="1" t="s">
        <v>3982</v>
      </c>
      <c r="D120" s="1" t="s">
        <v>301</v>
      </c>
      <c r="E120" s="2">
        <v>45695</v>
      </c>
      <c r="F120" s="2">
        <v>45688</v>
      </c>
      <c r="G120" s="1" t="s">
        <v>3990</v>
      </c>
      <c r="H120" s="3" t="s">
        <v>11</v>
      </c>
      <c r="I120" s="1" t="s">
        <v>3984</v>
      </c>
      <c r="J120" s="1" t="s">
        <v>12</v>
      </c>
      <c r="K120" s="3" t="s">
        <v>3995</v>
      </c>
      <c r="L120" s="1" t="s">
        <v>4021</v>
      </c>
      <c r="M120" s="1" t="s">
        <v>4022</v>
      </c>
      <c r="N120" s="1" t="s">
        <v>13</v>
      </c>
      <c r="O120" s="1" t="s">
        <v>4022</v>
      </c>
      <c r="P120" s="1" t="s">
        <v>13</v>
      </c>
      <c r="Q120" s="1" t="s">
        <v>4023</v>
      </c>
      <c r="R120" s="1" t="s">
        <v>4024</v>
      </c>
      <c r="S120" s="1" t="s">
        <v>3994</v>
      </c>
      <c r="T120" s="4">
        <v>1</v>
      </c>
    </row>
    <row r="121" spans="1:20">
      <c r="A121" s="1" t="s">
        <v>3981</v>
      </c>
      <c r="B121" s="1" t="s">
        <v>312</v>
      </c>
      <c r="C121" s="1" t="s">
        <v>3982</v>
      </c>
      <c r="D121" s="1" t="s">
        <v>301</v>
      </c>
      <c r="E121" s="2">
        <v>45695</v>
      </c>
      <c r="F121" s="2">
        <v>45688</v>
      </c>
      <c r="G121" s="1" t="s">
        <v>3997</v>
      </c>
      <c r="H121" s="3" t="s">
        <v>41</v>
      </c>
      <c r="I121" s="1" t="s">
        <v>3984</v>
      </c>
      <c r="J121" s="1" t="s">
        <v>12</v>
      </c>
      <c r="K121" s="3" t="s">
        <v>3995</v>
      </c>
      <c r="L121" s="1" t="s">
        <v>3987</v>
      </c>
      <c r="M121" s="1" t="s">
        <v>3999</v>
      </c>
      <c r="N121" s="1" t="s">
        <v>13</v>
      </c>
      <c r="O121" s="1" t="s">
        <v>3999</v>
      </c>
      <c r="P121" s="1" t="s">
        <v>13</v>
      </c>
      <c r="Q121" s="1" t="s">
        <v>4000</v>
      </c>
      <c r="R121" s="1" t="s">
        <v>4001</v>
      </c>
      <c r="S121" s="1" t="s">
        <v>3998</v>
      </c>
      <c r="T121" s="4">
        <v>16</v>
      </c>
    </row>
    <row r="122" spans="1:20">
      <c r="A122" s="1" t="s">
        <v>3981</v>
      </c>
      <c r="B122" s="1" t="s">
        <v>312</v>
      </c>
      <c r="C122" s="1" t="s">
        <v>3982</v>
      </c>
      <c r="D122" s="1" t="s">
        <v>301</v>
      </c>
      <c r="E122" s="2">
        <v>45695</v>
      </c>
      <c r="F122" s="2">
        <v>45688</v>
      </c>
      <c r="G122" s="1" t="s">
        <v>3997</v>
      </c>
      <c r="H122" s="3" t="s">
        <v>41</v>
      </c>
      <c r="I122" s="1" t="s">
        <v>3984</v>
      </c>
      <c r="J122" s="1" t="s">
        <v>12</v>
      </c>
      <c r="K122" s="3" t="s">
        <v>3995</v>
      </c>
      <c r="L122" s="1" t="s">
        <v>4002</v>
      </c>
      <c r="M122" s="1" t="s">
        <v>4003</v>
      </c>
      <c r="N122" s="1" t="s">
        <v>13</v>
      </c>
      <c r="O122" s="1" t="s">
        <v>4003</v>
      </c>
      <c r="P122" s="1" t="s">
        <v>13</v>
      </c>
      <c r="Q122" s="1" t="s">
        <v>4004</v>
      </c>
      <c r="R122" s="1" t="s">
        <v>4001</v>
      </c>
      <c r="S122" s="1" t="s">
        <v>3998</v>
      </c>
      <c r="T122" s="4">
        <v>21</v>
      </c>
    </row>
    <row r="123" spans="1:20">
      <c r="A123" s="1" t="s">
        <v>3981</v>
      </c>
      <c r="B123" s="1" t="s">
        <v>312</v>
      </c>
      <c r="C123" s="1" t="s">
        <v>3982</v>
      </c>
      <c r="D123" s="1" t="s">
        <v>301</v>
      </c>
      <c r="E123" s="2">
        <v>45695</v>
      </c>
      <c r="F123" s="2">
        <v>45688</v>
      </c>
      <c r="G123" s="1" t="s">
        <v>4005</v>
      </c>
      <c r="H123" s="3" t="s">
        <v>21</v>
      </c>
      <c r="I123" s="1" t="s">
        <v>3984</v>
      </c>
      <c r="J123" s="1" t="s">
        <v>12</v>
      </c>
      <c r="K123" s="3" t="s">
        <v>3995</v>
      </c>
      <c r="L123" s="1" t="s">
        <v>3987</v>
      </c>
      <c r="M123" s="1" t="s">
        <v>3996</v>
      </c>
      <c r="N123" s="1" t="s">
        <v>13</v>
      </c>
      <c r="O123" s="1" t="s">
        <v>3996</v>
      </c>
      <c r="P123" s="1" t="s">
        <v>13</v>
      </c>
      <c r="Q123" s="1" t="s">
        <v>14</v>
      </c>
      <c r="R123" s="1" t="s">
        <v>24</v>
      </c>
      <c r="S123" s="1" t="s">
        <v>4007</v>
      </c>
      <c r="T123" s="4">
        <v>5.6</v>
      </c>
    </row>
    <row r="124" spans="1:20">
      <c r="A124" s="1" t="s">
        <v>3981</v>
      </c>
      <c r="B124" s="1" t="s">
        <v>312</v>
      </c>
      <c r="C124" s="1" t="s">
        <v>3982</v>
      </c>
      <c r="D124" s="1" t="s">
        <v>301</v>
      </c>
      <c r="E124" s="2">
        <v>45695</v>
      </c>
      <c r="F124" s="2">
        <v>45688</v>
      </c>
      <c r="G124" s="1" t="s">
        <v>4005</v>
      </c>
      <c r="H124" s="3" t="s">
        <v>21</v>
      </c>
      <c r="I124" s="1" t="s">
        <v>3984</v>
      </c>
      <c r="J124" s="1" t="s">
        <v>12</v>
      </c>
      <c r="K124" s="3" t="s">
        <v>3995</v>
      </c>
      <c r="L124" s="1" t="s">
        <v>3987</v>
      </c>
      <c r="M124" s="1" t="s">
        <v>3996</v>
      </c>
      <c r="N124" s="1" t="s">
        <v>13</v>
      </c>
      <c r="O124" s="1" t="s">
        <v>3996</v>
      </c>
      <c r="P124" s="1" t="s">
        <v>13</v>
      </c>
      <c r="Q124" s="1" t="s">
        <v>14</v>
      </c>
      <c r="R124" s="1" t="s">
        <v>42</v>
      </c>
      <c r="S124" s="1" t="s">
        <v>4007</v>
      </c>
      <c r="T124" s="4">
        <v>17.100000000000001</v>
      </c>
    </row>
    <row r="125" spans="1:20">
      <c r="A125" s="1" t="s">
        <v>3981</v>
      </c>
      <c r="B125" s="1" t="s">
        <v>312</v>
      </c>
      <c r="C125" s="1" t="s">
        <v>3982</v>
      </c>
      <c r="D125" s="1" t="s">
        <v>301</v>
      </c>
      <c r="E125" s="2">
        <v>45695</v>
      </c>
      <c r="F125" s="2">
        <v>45688</v>
      </c>
      <c r="G125" s="1" t="s">
        <v>4005</v>
      </c>
      <c r="H125" s="3" t="s">
        <v>21</v>
      </c>
      <c r="I125" s="1" t="s">
        <v>3984</v>
      </c>
      <c r="J125" s="1" t="s">
        <v>12</v>
      </c>
      <c r="K125" s="3" t="s">
        <v>3995</v>
      </c>
      <c r="L125" s="1" t="s">
        <v>3987</v>
      </c>
      <c r="M125" s="1" t="s">
        <v>3996</v>
      </c>
      <c r="N125" s="1" t="s">
        <v>13</v>
      </c>
      <c r="O125" s="1" t="s">
        <v>3996</v>
      </c>
      <c r="P125" s="1" t="s">
        <v>13</v>
      </c>
      <c r="Q125" s="1" t="s">
        <v>28</v>
      </c>
      <c r="R125" s="1" t="s">
        <v>58</v>
      </c>
      <c r="S125" s="1" t="s">
        <v>4007</v>
      </c>
      <c r="T125" s="4">
        <v>8.6</v>
      </c>
    </row>
    <row r="126" spans="1:20">
      <c r="A126" s="1" t="s">
        <v>3981</v>
      </c>
      <c r="B126" s="1" t="s">
        <v>312</v>
      </c>
      <c r="C126" s="1" t="s">
        <v>3982</v>
      </c>
      <c r="D126" s="1" t="s">
        <v>301</v>
      </c>
      <c r="E126" s="2">
        <v>45695</v>
      </c>
      <c r="F126" s="2">
        <v>45688</v>
      </c>
      <c r="G126" s="1" t="s">
        <v>4005</v>
      </c>
      <c r="H126" s="3" t="s">
        <v>21</v>
      </c>
      <c r="I126" s="1" t="s">
        <v>3984</v>
      </c>
      <c r="J126" s="1" t="s">
        <v>12</v>
      </c>
      <c r="K126" s="3" t="s">
        <v>3995</v>
      </c>
      <c r="L126" s="1" t="s">
        <v>3987</v>
      </c>
      <c r="M126" s="1" t="s">
        <v>3996</v>
      </c>
      <c r="N126" s="1" t="s">
        <v>13</v>
      </c>
      <c r="O126" s="1" t="s">
        <v>3996</v>
      </c>
      <c r="P126" s="1" t="s">
        <v>13</v>
      </c>
      <c r="Q126" s="1" t="s">
        <v>28</v>
      </c>
      <c r="R126" s="1" t="s">
        <v>29</v>
      </c>
      <c r="S126" s="1" t="s">
        <v>4007</v>
      </c>
      <c r="T126" s="4">
        <v>12.5</v>
      </c>
    </row>
    <row r="127" spans="1:20">
      <c r="A127" s="1" t="s">
        <v>3981</v>
      </c>
      <c r="B127" s="1" t="s">
        <v>312</v>
      </c>
      <c r="C127" s="1" t="s">
        <v>3982</v>
      </c>
      <c r="D127" s="1" t="s">
        <v>301</v>
      </c>
      <c r="E127" s="2">
        <v>45695</v>
      </c>
      <c r="F127" s="2">
        <v>45688</v>
      </c>
      <c r="G127" s="1" t="s">
        <v>4008</v>
      </c>
      <c r="H127" s="3" t="s">
        <v>25</v>
      </c>
      <c r="I127" s="1" t="s">
        <v>3984</v>
      </c>
      <c r="J127" s="1" t="s">
        <v>12</v>
      </c>
      <c r="K127" s="3" t="s">
        <v>3995</v>
      </c>
      <c r="L127" s="1" t="s">
        <v>4013</v>
      </c>
      <c r="M127" s="1" t="s">
        <v>4014</v>
      </c>
      <c r="N127" s="1" t="s">
        <v>13</v>
      </c>
      <c r="O127" s="1" t="s">
        <v>4014</v>
      </c>
      <c r="P127" s="1" t="s">
        <v>13</v>
      </c>
      <c r="Q127" s="1" t="s">
        <v>13</v>
      </c>
      <c r="R127" s="1" t="s">
        <v>13</v>
      </c>
      <c r="S127" s="1" t="s">
        <v>4009</v>
      </c>
      <c r="T127" s="4">
        <v>1.4</v>
      </c>
    </row>
    <row r="128" spans="1:20">
      <c r="A128" s="1" t="s">
        <v>3981</v>
      </c>
      <c r="B128" s="1" t="s">
        <v>312</v>
      </c>
      <c r="C128" s="1" t="s">
        <v>3982</v>
      </c>
      <c r="D128" s="1" t="s">
        <v>301</v>
      </c>
      <c r="E128" s="2">
        <v>45695</v>
      </c>
      <c r="F128" s="2">
        <v>45688</v>
      </c>
      <c r="G128" s="1" t="s">
        <v>4008</v>
      </c>
      <c r="H128" s="3" t="s">
        <v>25</v>
      </c>
      <c r="I128" s="1" t="s">
        <v>3984</v>
      </c>
      <c r="J128" s="1" t="s">
        <v>12</v>
      </c>
      <c r="K128" s="3" t="s">
        <v>3995</v>
      </c>
      <c r="L128" s="1" t="s">
        <v>4013</v>
      </c>
      <c r="M128" s="1" t="s">
        <v>4025</v>
      </c>
      <c r="N128" s="1" t="s">
        <v>4026</v>
      </c>
      <c r="O128" s="1" t="s">
        <v>13</v>
      </c>
      <c r="P128" s="1" t="s">
        <v>13</v>
      </c>
      <c r="Q128" s="1" t="s">
        <v>13</v>
      </c>
      <c r="R128" s="1" t="s">
        <v>13</v>
      </c>
      <c r="S128" s="1" t="s">
        <v>4009</v>
      </c>
      <c r="T128" s="4">
        <v>0.2</v>
      </c>
    </row>
    <row r="129" spans="1:20">
      <c r="A129" s="1" t="s">
        <v>3981</v>
      </c>
      <c r="B129" s="1" t="s">
        <v>312</v>
      </c>
      <c r="C129" s="1" t="s">
        <v>3982</v>
      </c>
      <c r="D129" s="1" t="s">
        <v>301</v>
      </c>
      <c r="E129" s="2">
        <v>45695</v>
      </c>
      <c r="F129" s="2">
        <v>45688</v>
      </c>
      <c r="G129" s="1" t="s">
        <v>4008</v>
      </c>
      <c r="H129" s="3" t="s">
        <v>25</v>
      </c>
      <c r="I129" s="1" t="s">
        <v>3984</v>
      </c>
      <c r="J129" s="1" t="s">
        <v>12</v>
      </c>
      <c r="K129" s="3" t="s">
        <v>3995</v>
      </c>
      <c r="L129" s="1" t="s">
        <v>4013</v>
      </c>
      <c r="M129" s="1" t="s">
        <v>4027</v>
      </c>
      <c r="N129" s="1" t="s">
        <v>4028</v>
      </c>
      <c r="O129" s="1" t="s">
        <v>13</v>
      </c>
      <c r="P129" s="1" t="s">
        <v>13</v>
      </c>
      <c r="Q129" s="1" t="s">
        <v>13</v>
      </c>
      <c r="R129" s="1" t="s">
        <v>13</v>
      </c>
      <c r="S129" s="1" t="s">
        <v>4009</v>
      </c>
      <c r="T129" s="4">
        <v>0.4</v>
      </c>
    </row>
    <row r="130" spans="1:20">
      <c r="A130" s="1" t="s">
        <v>3981</v>
      </c>
      <c r="B130" s="1" t="s">
        <v>312</v>
      </c>
      <c r="C130" s="1" t="s">
        <v>3982</v>
      </c>
      <c r="D130" s="1" t="s">
        <v>301</v>
      </c>
      <c r="E130" s="2">
        <v>45695</v>
      </c>
      <c r="F130" s="2">
        <v>45688</v>
      </c>
      <c r="G130" s="1" t="s">
        <v>4008</v>
      </c>
      <c r="H130" s="3" t="s">
        <v>25</v>
      </c>
      <c r="I130" s="1" t="s">
        <v>3984</v>
      </c>
      <c r="J130" s="1" t="s">
        <v>12</v>
      </c>
      <c r="K130" s="3" t="s">
        <v>3995</v>
      </c>
      <c r="L130" s="1" t="s">
        <v>3987</v>
      </c>
      <c r="M130" s="1" t="s">
        <v>4014</v>
      </c>
      <c r="N130" s="1" t="s">
        <v>13</v>
      </c>
      <c r="O130" s="1" t="s">
        <v>4014</v>
      </c>
      <c r="P130" s="1" t="s">
        <v>13</v>
      </c>
      <c r="Q130" s="1" t="s">
        <v>13</v>
      </c>
      <c r="R130" s="1" t="s">
        <v>13</v>
      </c>
      <c r="S130" s="1" t="s">
        <v>4009</v>
      </c>
      <c r="T130" s="4">
        <v>0.3</v>
      </c>
    </row>
    <row r="131" spans="1:20">
      <c r="A131" s="1" t="s">
        <v>3981</v>
      </c>
      <c r="B131" s="1" t="s">
        <v>312</v>
      </c>
      <c r="C131" s="1" t="s">
        <v>3982</v>
      </c>
      <c r="D131" s="1" t="s">
        <v>301</v>
      </c>
      <c r="E131" s="2">
        <v>45695</v>
      </c>
      <c r="F131" s="2">
        <v>45688</v>
      </c>
      <c r="G131" s="1" t="s">
        <v>4008</v>
      </c>
      <c r="H131" s="3" t="s">
        <v>25</v>
      </c>
      <c r="I131" s="1" t="s">
        <v>3984</v>
      </c>
      <c r="J131" s="1" t="s">
        <v>12</v>
      </c>
      <c r="K131" s="3" t="s">
        <v>3995</v>
      </c>
      <c r="L131" s="1" t="s">
        <v>3987</v>
      </c>
      <c r="M131" s="1" t="s">
        <v>3996</v>
      </c>
      <c r="N131" s="1" t="s">
        <v>13</v>
      </c>
      <c r="O131" s="1" t="s">
        <v>3996</v>
      </c>
      <c r="P131" s="1" t="s">
        <v>13</v>
      </c>
      <c r="Q131" s="1" t="s">
        <v>28</v>
      </c>
      <c r="R131" s="1" t="s">
        <v>29</v>
      </c>
      <c r="S131" s="1" t="s">
        <v>4009</v>
      </c>
      <c r="T131" s="4">
        <v>0.5</v>
      </c>
    </row>
    <row r="132" spans="1:20">
      <c r="A132" s="1" t="s">
        <v>3981</v>
      </c>
      <c r="B132" s="1" t="s">
        <v>312</v>
      </c>
      <c r="C132" s="1" t="s">
        <v>3982</v>
      </c>
      <c r="D132" s="1" t="s">
        <v>301</v>
      </c>
      <c r="E132" s="2">
        <v>45695</v>
      </c>
      <c r="F132" s="2">
        <v>45688</v>
      </c>
      <c r="G132" s="1" t="s">
        <v>4008</v>
      </c>
      <c r="H132" s="3" t="s">
        <v>25</v>
      </c>
      <c r="I132" s="1" t="s">
        <v>3984</v>
      </c>
      <c r="J132" s="1" t="s">
        <v>12</v>
      </c>
      <c r="K132" s="3" t="s">
        <v>3995</v>
      </c>
      <c r="L132" s="1" t="s">
        <v>3987</v>
      </c>
      <c r="M132" s="1" t="s">
        <v>3996</v>
      </c>
      <c r="N132" s="1" t="s">
        <v>13</v>
      </c>
      <c r="O132" s="1" t="s">
        <v>3996</v>
      </c>
      <c r="P132" s="1" t="s">
        <v>13</v>
      </c>
      <c r="Q132" s="1" t="s">
        <v>44</v>
      </c>
      <c r="R132" s="1" t="s">
        <v>45</v>
      </c>
      <c r="S132" s="1" t="s">
        <v>4009</v>
      </c>
      <c r="T132" s="4">
        <v>5.4</v>
      </c>
    </row>
    <row r="133" spans="1:20">
      <c r="A133" s="1" t="s">
        <v>3981</v>
      </c>
      <c r="B133" s="1" t="s">
        <v>312</v>
      </c>
      <c r="C133" s="1" t="s">
        <v>3982</v>
      </c>
      <c r="D133" s="1" t="s">
        <v>301</v>
      </c>
      <c r="E133" s="2">
        <v>45695</v>
      </c>
      <c r="F133" s="2">
        <v>45688</v>
      </c>
      <c r="G133" s="1" t="s">
        <v>4008</v>
      </c>
      <c r="H133" s="3" t="s">
        <v>25</v>
      </c>
      <c r="I133" s="1" t="s">
        <v>3984</v>
      </c>
      <c r="J133" s="1" t="s">
        <v>12</v>
      </c>
      <c r="K133" s="3" t="s">
        <v>3995</v>
      </c>
      <c r="L133" s="1" t="s">
        <v>3987</v>
      </c>
      <c r="M133" s="1" t="s">
        <v>3996</v>
      </c>
      <c r="N133" s="1" t="s">
        <v>13</v>
      </c>
      <c r="O133" s="1" t="s">
        <v>3996</v>
      </c>
      <c r="P133" s="1" t="s">
        <v>13</v>
      </c>
      <c r="Q133" s="1" t="s">
        <v>38</v>
      </c>
      <c r="R133" s="1" t="s">
        <v>46</v>
      </c>
      <c r="S133" s="1" t="s">
        <v>4009</v>
      </c>
      <c r="T133" s="4">
        <v>1.4</v>
      </c>
    </row>
    <row r="134" spans="1:20">
      <c r="A134" s="1" t="s">
        <v>3981</v>
      </c>
      <c r="B134" s="1" t="s">
        <v>312</v>
      </c>
      <c r="C134" s="1" t="s">
        <v>3982</v>
      </c>
      <c r="D134" s="1" t="s">
        <v>301</v>
      </c>
      <c r="E134" s="2">
        <v>45695</v>
      </c>
      <c r="F134" s="2">
        <v>45688</v>
      </c>
      <c r="G134" s="1" t="s">
        <v>4008</v>
      </c>
      <c r="H134" s="3" t="s">
        <v>25</v>
      </c>
      <c r="I134" s="1" t="s">
        <v>3984</v>
      </c>
      <c r="J134" s="1" t="s">
        <v>12</v>
      </c>
      <c r="K134" s="3" t="s">
        <v>3995</v>
      </c>
      <c r="L134" s="1" t="s">
        <v>3987</v>
      </c>
      <c r="M134" s="1" t="s">
        <v>3996</v>
      </c>
      <c r="N134" s="1" t="s">
        <v>13</v>
      </c>
      <c r="O134" s="1" t="s">
        <v>3996</v>
      </c>
      <c r="P134" s="1" t="s">
        <v>13</v>
      </c>
      <c r="Q134" s="1" t="s">
        <v>38</v>
      </c>
      <c r="R134" s="1" t="s">
        <v>52</v>
      </c>
      <c r="S134" s="1" t="s">
        <v>4009</v>
      </c>
      <c r="T134" s="4">
        <v>0.4</v>
      </c>
    </row>
    <row r="135" spans="1:20">
      <c r="A135" s="1" t="s">
        <v>3981</v>
      </c>
      <c r="B135" s="1" t="s">
        <v>312</v>
      </c>
      <c r="C135" s="1" t="s">
        <v>3982</v>
      </c>
      <c r="D135" s="1" t="s">
        <v>301</v>
      </c>
      <c r="E135" s="2">
        <v>45695</v>
      </c>
      <c r="F135" s="2">
        <v>45688</v>
      </c>
      <c r="G135" s="1" t="s">
        <v>4008</v>
      </c>
      <c r="H135" s="3" t="s">
        <v>25</v>
      </c>
      <c r="I135" s="1" t="s">
        <v>3984</v>
      </c>
      <c r="J135" s="1" t="s">
        <v>12</v>
      </c>
      <c r="K135" s="3" t="s">
        <v>3995</v>
      </c>
      <c r="L135" s="1" t="s">
        <v>3987</v>
      </c>
      <c r="M135" s="1" t="s">
        <v>3996</v>
      </c>
      <c r="N135" s="1" t="s">
        <v>13</v>
      </c>
      <c r="O135" s="1" t="s">
        <v>3996</v>
      </c>
      <c r="P135" s="1" t="s">
        <v>13</v>
      </c>
      <c r="Q135" s="1" t="s">
        <v>30</v>
      </c>
      <c r="R135" s="1" t="s">
        <v>31</v>
      </c>
      <c r="S135" s="1" t="s">
        <v>4009</v>
      </c>
      <c r="T135" s="4">
        <v>12</v>
      </c>
    </row>
    <row r="136" spans="1:20">
      <c r="A136" s="1" t="s">
        <v>3981</v>
      </c>
      <c r="B136" s="1" t="s">
        <v>312</v>
      </c>
      <c r="C136" s="1" t="s">
        <v>3982</v>
      </c>
      <c r="D136" s="1" t="s">
        <v>301</v>
      </c>
      <c r="E136" s="2">
        <v>45695</v>
      </c>
      <c r="F136" s="2">
        <v>45695</v>
      </c>
      <c r="G136" s="1" t="s">
        <v>3983</v>
      </c>
      <c r="H136" s="3" t="s">
        <v>32</v>
      </c>
      <c r="I136" s="1" t="s">
        <v>3984</v>
      </c>
      <c r="J136" s="1" t="s">
        <v>12</v>
      </c>
      <c r="K136" s="3" t="s">
        <v>3995</v>
      </c>
      <c r="L136" s="1" t="s">
        <v>3987</v>
      </c>
      <c r="M136" s="1" t="s">
        <v>3996</v>
      </c>
      <c r="N136" s="1" t="s">
        <v>13</v>
      </c>
      <c r="O136" s="1" t="s">
        <v>3996</v>
      </c>
      <c r="P136" s="1" t="s">
        <v>13</v>
      </c>
      <c r="Q136" s="1" t="s">
        <v>14</v>
      </c>
      <c r="R136" s="1" t="s">
        <v>54</v>
      </c>
      <c r="S136" s="1" t="s">
        <v>3989</v>
      </c>
      <c r="T136" s="4">
        <v>33</v>
      </c>
    </row>
    <row r="137" spans="1:20">
      <c r="A137" s="1" t="s">
        <v>3981</v>
      </c>
      <c r="B137" s="1" t="s">
        <v>312</v>
      </c>
      <c r="C137" s="1" t="s">
        <v>3982</v>
      </c>
      <c r="D137" s="1" t="s">
        <v>301</v>
      </c>
      <c r="E137" s="2">
        <v>45695</v>
      </c>
      <c r="F137" s="2">
        <v>45695</v>
      </c>
      <c r="G137" s="1" t="s">
        <v>3983</v>
      </c>
      <c r="H137" s="3" t="s">
        <v>32</v>
      </c>
      <c r="I137" s="1" t="s">
        <v>3984</v>
      </c>
      <c r="J137" s="1" t="s">
        <v>12</v>
      </c>
      <c r="K137" s="3" t="s">
        <v>3995</v>
      </c>
      <c r="L137" s="1" t="s">
        <v>3987</v>
      </c>
      <c r="M137" s="1" t="s">
        <v>3996</v>
      </c>
      <c r="N137" s="1" t="s">
        <v>13</v>
      </c>
      <c r="O137" s="1" t="s">
        <v>3996</v>
      </c>
      <c r="P137" s="1" t="s">
        <v>13</v>
      </c>
      <c r="Q137" s="1" t="s">
        <v>44</v>
      </c>
      <c r="R137" s="1" t="s">
        <v>47</v>
      </c>
      <c r="S137" s="1" t="s">
        <v>3989</v>
      </c>
      <c r="T137" s="4">
        <v>7</v>
      </c>
    </row>
    <row r="138" spans="1:20">
      <c r="A138" s="1" t="s">
        <v>3981</v>
      </c>
      <c r="B138" s="1" t="s">
        <v>312</v>
      </c>
      <c r="C138" s="1" t="s">
        <v>3982</v>
      </c>
      <c r="D138" s="1" t="s">
        <v>301</v>
      </c>
      <c r="E138" s="2">
        <v>45695</v>
      </c>
      <c r="F138" s="2">
        <v>45695</v>
      </c>
      <c r="G138" s="1" t="s">
        <v>3983</v>
      </c>
      <c r="H138" s="3" t="s">
        <v>32</v>
      </c>
      <c r="I138" s="1" t="s">
        <v>3984</v>
      </c>
      <c r="J138" s="1" t="s">
        <v>12</v>
      </c>
      <c r="K138" s="3" t="s">
        <v>3995</v>
      </c>
      <c r="L138" s="1" t="s">
        <v>3987</v>
      </c>
      <c r="M138" s="1" t="s">
        <v>3996</v>
      </c>
      <c r="N138" s="1" t="s">
        <v>13</v>
      </c>
      <c r="O138" s="1" t="s">
        <v>3996</v>
      </c>
      <c r="P138" s="1" t="s">
        <v>13</v>
      </c>
      <c r="Q138" s="1" t="s">
        <v>44</v>
      </c>
      <c r="R138" s="1" t="s">
        <v>48</v>
      </c>
      <c r="S138" s="1" t="s">
        <v>3989</v>
      </c>
      <c r="T138" s="4">
        <v>2</v>
      </c>
    </row>
    <row r="139" spans="1:20">
      <c r="A139" s="1" t="s">
        <v>3981</v>
      </c>
      <c r="B139" s="1" t="s">
        <v>312</v>
      </c>
      <c r="C139" s="1" t="s">
        <v>3982</v>
      </c>
      <c r="D139" s="1" t="s">
        <v>301</v>
      </c>
      <c r="E139" s="2">
        <v>45695</v>
      </c>
      <c r="F139" s="2">
        <v>45695</v>
      </c>
      <c r="G139" s="1" t="s">
        <v>3990</v>
      </c>
      <c r="H139" s="3" t="s">
        <v>11</v>
      </c>
      <c r="I139" s="1" t="s">
        <v>3984</v>
      </c>
      <c r="J139" s="1" t="s">
        <v>12</v>
      </c>
      <c r="K139" s="3" t="s">
        <v>3995</v>
      </c>
      <c r="L139" s="1" t="s">
        <v>3987</v>
      </c>
      <c r="M139" s="1" t="s">
        <v>3996</v>
      </c>
      <c r="N139" s="1" t="s">
        <v>13</v>
      </c>
      <c r="O139" s="1" t="s">
        <v>3996</v>
      </c>
      <c r="P139" s="1" t="s">
        <v>13</v>
      </c>
      <c r="Q139" s="1" t="s">
        <v>14</v>
      </c>
      <c r="R139" s="1" t="s">
        <v>56</v>
      </c>
      <c r="S139" s="1" t="s">
        <v>3994</v>
      </c>
      <c r="T139" s="4">
        <v>1.3</v>
      </c>
    </row>
    <row r="140" spans="1:20">
      <c r="A140" s="1" t="s">
        <v>3981</v>
      </c>
      <c r="B140" s="1" t="s">
        <v>312</v>
      </c>
      <c r="C140" s="1" t="s">
        <v>3982</v>
      </c>
      <c r="D140" s="1" t="s">
        <v>301</v>
      </c>
      <c r="E140" s="2">
        <v>45695</v>
      </c>
      <c r="F140" s="2">
        <v>45695</v>
      </c>
      <c r="G140" s="1" t="s">
        <v>3990</v>
      </c>
      <c r="H140" s="3" t="s">
        <v>11</v>
      </c>
      <c r="I140" s="1" t="s">
        <v>3984</v>
      </c>
      <c r="J140" s="1" t="s">
        <v>12</v>
      </c>
      <c r="K140" s="3" t="s">
        <v>3995</v>
      </c>
      <c r="L140" s="1" t="s">
        <v>3987</v>
      </c>
      <c r="M140" s="1" t="s">
        <v>3996</v>
      </c>
      <c r="N140" s="1" t="s">
        <v>13</v>
      </c>
      <c r="O140" s="1" t="s">
        <v>3996</v>
      </c>
      <c r="P140" s="1" t="s">
        <v>13</v>
      </c>
      <c r="Q140" s="1" t="s">
        <v>14</v>
      </c>
      <c r="R140" s="1" t="s">
        <v>37</v>
      </c>
      <c r="S140" s="1" t="s">
        <v>3994</v>
      </c>
      <c r="T140" s="4">
        <v>1</v>
      </c>
    </row>
    <row r="141" spans="1:20">
      <c r="A141" s="1" t="s">
        <v>3981</v>
      </c>
      <c r="B141" s="1" t="s">
        <v>312</v>
      </c>
      <c r="C141" s="1" t="s">
        <v>3982</v>
      </c>
      <c r="D141" s="1" t="s">
        <v>301</v>
      </c>
      <c r="E141" s="2">
        <v>45695</v>
      </c>
      <c r="F141" s="2">
        <v>45695</v>
      </c>
      <c r="G141" s="1" t="s">
        <v>3990</v>
      </c>
      <c r="H141" s="3" t="s">
        <v>11</v>
      </c>
      <c r="I141" s="1" t="s">
        <v>3984</v>
      </c>
      <c r="J141" s="1" t="s">
        <v>12</v>
      </c>
      <c r="K141" s="3" t="s">
        <v>3995</v>
      </c>
      <c r="L141" s="1" t="s">
        <v>3987</v>
      </c>
      <c r="M141" s="1" t="s">
        <v>3996</v>
      </c>
      <c r="N141" s="1" t="s">
        <v>13</v>
      </c>
      <c r="O141" s="1" t="s">
        <v>3996</v>
      </c>
      <c r="P141" s="1" t="s">
        <v>13</v>
      </c>
      <c r="Q141" s="1" t="s">
        <v>14</v>
      </c>
      <c r="R141" s="1" t="s">
        <v>15</v>
      </c>
      <c r="S141" s="1" t="s">
        <v>3994</v>
      </c>
      <c r="T141" s="4">
        <v>3.5</v>
      </c>
    </row>
    <row r="142" spans="1:20">
      <c r="A142" s="1" t="s">
        <v>3981</v>
      </c>
      <c r="B142" s="1" t="s">
        <v>312</v>
      </c>
      <c r="C142" s="1" t="s">
        <v>3982</v>
      </c>
      <c r="D142" s="1" t="s">
        <v>301</v>
      </c>
      <c r="E142" s="2">
        <v>45695</v>
      </c>
      <c r="F142" s="2">
        <v>45695</v>
      </c>
      <c r="G142" s="1" t="s">
        <v>3990</v>
      </c>
      <c r="H142" s="3" t="s">
        <v>11</v>
      </c>
      <c r="I142" s="1" t="s">
        <v>3984</v>
      </c>
      <c r="J142" s="1" t="s">
        <v>12</v>
      </c>
      <c r="K142" s="3" t="s">
        <v>3995</v>
      </c>
      <c r="L142" s="1" t="s">
        <v>3987</v>
      </c>
      <c r="M142" s="1" t="s">
        <v>3996</v>
      </c>
      <c r="N142" s="1" t="s">
        <v>13</v>
      </c>
      <c r="O142" s="1" t="s">
        <v>3996</v>
      </c>
      <c r="P142" s="1" t="s">
        <v>13</v>
      </c>
      <c r="Q142" s="1" t="s">
        <v>44</v>
      </c>
      <c r="R142" s="1" t="s">
        <v>45</v>
      </c>
      <c r="S142" s="1" t="s">
        <v>3994</v>
      </c>
      <c r="T142" s="4">
        <v>0.6</v>
      </c>
    </row>
    <row r="143" spans="1:20">
      <c r="A143" s="1" t="s">
        <v>3981</v>
      </c>
      <c r="B143" s="1" t="s">
        <v>312</v>
      </c>
      <c r="C143" s="1" t="s">
        <v>3982</v>
      </c>
      <c r="D143" s="1" t="s">
        <v>301</v>
      </c>
      <c r="E143" s="2">
        <v>45695</v>
      </c>
      <c r="F143" s="2">
        <v>45695</v>
      </c>
      <c r="G143" s="1" t="s">
        <v>3990</v>
      </c>
      <c r="H143" s="3" t="s">
        <v>11</v>
      </c>
      <c r="I143" s="1" t="s">
        <v>3984</v>
      </c>
      <c r="J143" s="1" t="s">
        <v>12</v>
      </c>
      <c r="K143" s="3" t="s">
        <v>3995</v>
      </c>
      <c r="L143" s="1" t="s">
        <v>3987</v>
      </c>
      <c r="M143" s="1" t="s">
        <v>3996</v>
      </c>
      <c r="N143" s="1" t="s">
        <v>13</v>
      </c>
      <c r="O143" s="1" t="s">
        <v>3996</v>
      </c>
      <c r="P143" s="1" t="s">
        <v>13</v>
      </c>
      <c r="Q143" s="1" t="s">
        <v>16</v>
      </c>
      <c r="R143" s="1" t="s">
        <v>17</v>
      </c>
      <c r="S143" s="1" t="s">
        <v>3994</v>
      </c>
      <c r="T143" s="4">
        <v>34.200000000000003</v>
      </c>
    </row>
    <row r="144" spans="1:20">
      <c r="A144" s="1" t="s">
        <v>3981</v>
      </c>
      <c r="B144" s="1" t="s">
        <v>312</v>
      </c>
      <c r="C144" s="1" t="s">
        <v>3982</v>
      </c>
      <c r="D144" s="1" t="s">
        <v>301</v>
      </c>
      <c r="E144" s="2">
        <v>45695</v>
      </c>
      <c r="F144" s="2">
        <v>45695</v>
      </c>
      <c r="G144" s="1" t="s">
        <v>3990</v>
      </c>
      <c r="H144" s="3" t="s">
        <v>11</v>
      </c>
      <c r="I144" s="1" t="s">
        <v>3984</v>
      </c>
      <c r="J144" s="1" t="s">
        <v>12</v>
      </c>
      <c r="K144" s="3" t="s">
        <v>3995</v>
      </c>
      <c r="L144" s="1" t="s">
        <v>3987</v>
      </c>
      <c r="M144" s="1" t="s">
        <v>4017</v>
      </c>
      <c r="N144" s="1" t="s">
        <v>4018</v>
      </c>
      <c r="O144" s="1" t="s">
        <v>13</v>
      </c>
      <c r="P144" s="1" t="s">
        <v>13</v>
      </c>
      <c r="Q144" s="1" t="s">
        <v>4019</v>
      </c>
      <c r="R144" s="1" t="s">
        <v>4019</v>
      </c>
      <c r="S144" s="1" t="s">
        <v>3994</v>
      </c>
      <c r="T144" s="4">
        <v>0.3</v>
      </c>
    </row>
    <row r="145" spans="1:20">
      <c r="A145" s="1" t="s">
        <v>3981</v>
      </c>
      <c r="B145" s="1" t="s">
        <v>312</v>
      </c>
      <c r="C145" s="1" t="s">
        <v>3982</v>
      </c>
      <c r="D145" s="1" t="s">
        <v>301</v>
      </c>
      <c r="E145" s="2">
        <v>45695</v>
      </c>
      <c r="F145" s="2">
        <v>45695</v>
      </c>
      <c r="G145" s="1" t="s">
        <v>3990</v>
      </c>
      <c r="H145" s="3" t="s">
        <v>11</v>
      </c>
      <c r="I145" s="1" t="s">
        <v>3984</v>
      </c>
      <c r="J145" s="1" t="s">
        <v>12</v>
      </c>
      <c r="K145" s="3" t="s">
        <v>3995</v>
      </c>
      <c r="L145" s="1" t="s">
        <v>3987</v>
      </c>
      <c r="M145" s="1" t="s">
        <v>4010</v>
      </c>
      <c r="N145" s="1" t="s">
        <v>4011</v>
      </c>
      <c r="O145" s="1" t="s">
        <v>13</v>
      </c>
      <c r="P145" s="1" t="s">
        <v>13</v>
      </c>
      <c r="Q145" s="1" t="s">
        <v>4001</v>
      </c>
      <c r="R145" s="1" t="s">
        <v>4012</v>
      </c>
      <c r="S145" s="1" t="s">
        <v>3994</v>
      </c>
      <c r="T145" s="4">
        <v>2.2000000000000002</v>
      </c>
    </row>
    <row r="146" spans="1:20">
      <c r="A146" s="1" t="s">
        <v>3981</v>
      </c>
      <c r="B146" s="1" t="s">
        <v>312</v>
      </c>
      <c r="C146" s="1" t="s">
        <v>3982</v>
      </c>
      <c r="D146" s="1" t="s">
        <v>301</v>
      </c>
      <c r="E146" s="2">
        <v>45695</v>
      </c>
      <c r="F146" s="2">
        <v>45695</v>
      </c>
      <c r="G146" s="1" t="s">
        <v>3997</v>
      </c>
      <c r="H146" s="3" t="s">
        <v>41</v>
      </c>
      <c r="I146" s="1" t="s">
        <v>3984</v>
      </c>
      <c r="J146" s="1" t="s">
        <v>12</v>
      </c>
      <c r="K146" s="3" t="s">
        <v>3995</v>
      </c>
      <c r="L146" s="1" t="s">
        <v>3987</v>
      </c>
      <c r="M146" s="1" t="s">
        <v>3999</v>
      </c>
      <c r="N146" s="1" t="s">
        <v>13</v>
      </c>
      <c r="O146" s="1" t="s">
        <v>3999</v>
      </c>
      <c r="P146" s="1" t="s">
        <v>13</v>
      </c>
      <c r="Q146" s="1" t="s">
        <v>4000</v>
      </c>
      <c r="R146" s="1" t="s">
        <v>4001</v>
      </c>
      <c r="S146" s="1" t="s">
        <v>3998</v>
      </c>
      <c r="T146" s="4">
        <v>22</v>
      </c>
    </row>
    <row r="147" spans="1:20">
      <c r="A147" s="1" t="s">
        <v>3981</v>
      </c>
      <c r="B147" s="1" t="s">
        <v>312</v>
      </c>
      <c r="C147" s="1" t="s">
        <v>3982</v>
      </c>
      <c r="D147" s="1" t="s">
        <v>301</v>
      </c>
      <c r="E147" s="2">
        <v>45695</v>
      </c>
      <c r="F147" s="2">
        <v>45695</v>
      </c>
      <c r="G147" s="1" t="s">
        <v>3997</v>
      </c>
      <c r="H147" s="3" t="s">
        <v>41</v>
      </c>
      <c r="I147" s="1" t="s">
        <v>3984</v>
      </c>
      <c r="J147" s="1" t="s">
        <v>12</v>
      </c>
      <c r="K147" s="3" t="s">
        <v>3995</v>
      </c>
      <c r="L147" s="1" t="s">
        <v>4002</v>
      </c>
      <c r="M147" s="1" t="s">
        <v>4003</v>
      </c>
      <c r="N147" s="1" t="s">
        <v>13</v>
      </c>
      <c r="O147" s="1" t="s">
        <v>4003</v>
      </c>
      <c r="P147" s="1" t="s">
        <v>13</v>
      </c>
      <c r="Q147" s="1" t="s">
        <v>4004</v>
      </c>
      <c r="R147" s="1" t="s">
        <v>4001</v>
      </c>
      <c r="S147" s="1" t="s">
        <v>3998</v>
      </c>
      <c r="T147" s="4">
        <v>21</v>
      </c>
    </row>
    <row r="148" spans="1:20">
      <c r="A148" s="1" t="s">
        <v>3981</v>
      </c>
      <c r="B148" s="1" t="s">
        <v>312</v>
      </c>
      <c r="C148" s="1" t="s">
        <v>3982</v>
      </c>
      <c r="D148" s="1" t="s">
        <v>301</v>
      </c>
      <c r="E148" s="2">
        <v>45695</v>
      </c>
      <c r="F148" s="2">
        <v>45695</v>
      </c>
      <c r="G148" s="1" t="s">
        <v>4005</v>
      </c>
      <c r="H148" s="3" t="s">
        <v>21</v>
      </c>
      <c r="I148" s="1" t="s">
        <v>3984</v>
      </c>
      <c r="J148" s="1" t="s">
        <v>12</v>
      </c>
      <c r="K148" s="3" t="s">
        <v>3995</v>
      </c>
      <c r="L148" s="1" t="s">
        <v>3987</v>
      </c>
      <c r="M148" s="1" t="s">
        <v>3996</v>
      </c>
      <c r="N148" s="1" t="s">
        <v>13</v>
      </c>
      <c r="O148" s="1" t="s">
        <v>3996</v>
      </c>
      <c r="P148" s="1" t="s">
        <v>13</v>
      </c>
      <c r="Q148" s="1" t="s">
        <v>14</v>
      </c>
      <c r="R148" s="1" t="s">
        <v>24</v>
      </c>
      <c r="S148" s="1" t="s">
        <v>4007</v>
      </c>
      <c r="T148" s="4">
        <v>16.7</v>
      </c>
    </row>
    <row r="149" spans="1:20">
      <c r="A149" s="1" t="s">
        <v>3981</v>
      </c>
      <c r="B149" s="1" t="s">
        <v>312</v>
      </c>
      <c r="C149" s="1" t="s">
        <v>3982</v>
      </c>
      <c r="D149" s="1" t="s">
        <v>301</v>
      </c>
      <c r="E149" s="2">
        <v>45695</v>
      </c>
      <c r="F149" s="2">
        <v>45695</v>
      </c>
      <c r="G149" s="1" t="s">
        <v>4005</v>
      </c>
      <c r="H149" s="3" t="s">
        <v>21</v>
      </c>
      <c r="I149" s="1" t="s">
        <v>3984</v>
      </c>
      <c r="J149" s="1" t="s">
        <v>12</v>
      </c>
      <c r="K149" s="3" t="s">
        <v>3995</v>
      </c>
      <c r="L149" s="1" t="s">
        <v>3987</v>
      </c>
      <c r="M149" s="1" t="s">
        <v>3996</v>
      </c>
      <c r="N149" s="1" t="s">
        <v>13</v>
      </c>
      <c r="O149" s="1" t="s">
        <v>3996</v>
      </c>
      <c r="P149" s="1" t="s">
        <v>13</v>
      </c>
      <c r="Q149" s="1" t="s">
        <v>14</v>
      </c>
      <c r="R149" s="1" t="s">
        <v>57</v>
      </c>
      <c r="S149" s="1" t="s">
        <v>4007</v>
      </c>
      <c r="T149" s="4">
        <v>1.5</v>
      </c>
    </row>
    <row r="150" spans="1:20">
      <c r="A150" s="1" t="s">
        <v>3981</v>
      </c>
      <c r="B150" s="1" t="s">
        <v>312</v>
      </c>
      <c r="C150" s="1" t="s">
        <v>3982</v>
      </c>
      <c r="D150" s="1" t="s">
        <v>301</v>
      </c>
      <c r="E150" s="2">
        <v>45695</v>
      </c>
      <c r="F150" s="2">
        <v>45695</v>
      </c>
      <c r="G150" s="1" t="s">
        <v>4005</v>
      </c>
      <c r="H150" s="3" t="s">
        <v>21</v>
      </c>
      <c r="I150" s="1" t="s">
        <v>3984</v>
      </c>
      <c r="J150" s="1" t="s">
        <v>12</v>
      </c>
      <c r="K150" s="3" t="s">
        <v>3995</v>
      </c>
      <c r="L150" s="1" t="s">
        <v>3987</v>
      </c>
      <c r="M150" s="1" t="s">
        <v>3996</v>
      </c>
      <c r="N150" s="1" t="s">
        <v>13</v>
      </c>
      <c r="O150" s="1" t="s">
        <v>3996</v>
      </c>
      <c r="P150" s="1" t="s">
        <v>13</v>
      </c>
      <c r="Q150" s="1" t="s">
        <v>14</v>
      </c>
      <c r="R150" s="1" t="s">
        <v>42</v>
      </c>
      <c r="S150" s="1" t="s">
        <v>4007</v>
      </c>
      <c r="T150" s="4">
        <v>11.8</v>
      </c>
    </row>
    <row r="151" spans="1:20">
      <c r="A151" s="1" t="s">
        <v>3981</v>
      </c>
      <c r="B151" s="1" t="s">
        <v>312</v>
      </c>
      <c r="C151" s="1" t="s">
        <v>3982</v>
      </c>
      <c r="D151" s="1" t="s">
        <v>301</v>
      </c>
      <c r="E151" s="2">
        <v>45695</v>
      </c>
      <c r="F151" s="2">
        <v>45695</v>
      </c>
      <c r="G151" s="1" t="s">
        <v>4005</v>
      </c>
      <c r="H151" s="3" t="s">
        <v>21</v>
      </c>
      <c r="I151" s="1" t="s">
        <v>3984</v>
      </c>
      <c r="J151" s="1" t="s">
        <v>12</v>
      </c>
      <c r="K151" s="3" t="s">
        <v>3995</v>
      </c>
      <c r="L151" s="1" t="s">
        <v>3987</v>
      </c>
      <c r="M151" s="1" t="s">
        <v>3996</v>
      </c>
      <c r="N151" s="1" t="s">
        <v>13</v>
      </c>
      <c r="O151" s="1" t="s">
        <v>3996</v>
      </c>
      <c r="P151" s="1" t="s">
        <v>13</v>
      </c>
      <c r="Q151" s="1" t="s">
        <v>28</v>
      </c>
      <c r="R151" s="1" t="s">
        <v>58</v>
      </c>
      <c r="S151" s="1" t="s">
        <v>4007</v>
      </c>
      <c r="T151" s="4">
        <v>3.8</v>
      </c>
    </row>
    <row r="152" spans="1:20">
      <c r="A152" s="1" t="s">
        <v>3981</v>
      </c>
      <c r="B152" s="1" t="s">
        <v>312</v>
      </c>
      <c r="C152" s="1" t="s">
        <v>3982</v>
      </c>
      <c r="D152" s="1" t="s">
        <v>301</v>
      </c>
      <c r="E152" s="2">
        <v>45695</v>
      </c>
      <c r="F152" s="2">
        <v>45695</v>
      </c>
      <c r="G152" s="1" t="s">
        <v>4005</v>
      </c>
      <c r="H152" s="3" t="s">
        <v>21</v>
      </c>
      <c r="I152" s="1" t="s">
        <v>3984</v>
      </c>
      <c r="J152" s="1" t="s">
        <v>12</v>
      </c>
      <c r="K152" s="3" t="s">
        <v>3995</v>
      </c>
      <c r="L152" s="1" t="s">
        <v>3987</v>
      </c>
      <c r="M152" s="1" t="s">
        <v>3996</v>
      </c>
      <c r="N152" s="1" t="s">
        <v>13</v>
      </c>
      <c r="O152" s="1" t="s">
        <v>3996</v>
      </c>
      <c r="P152" s="1" t="s">
        <v>13</v>
      </c>
      <c r="Q152" s="1" t="s">
        <v>28</v>
      </c>
      <c r="R152" s="1" t="s">
        <v>29</v>
      </c>
      <c r="S152" s="1" t="s">
        <v>4007</v>
      </c>
      <c r="T152" s="4">
        <v>5.4</v>
      </c>
    </row>
    <row r="153" spans="1:20">
      <c r="A153" s="1" t="s">
        <v>3981</v>
      </c>
      <c r="B153" s="1" t="s">
        <v>312</v>
      </c>
      <c r="C153" s="1" t="s">
        <v>3982</v>
      </c>
      <c r="D153" s="1" t="s">
        <v>301</v>
      </c>
      <c r="E153" s="2">
        <v>45695</v>
      </c>
      <c r="F153" s="2">
        <v>45695</v>
      </c>
      <c r="G153" s="1" t="s">
        <v>4008</v>
      </c>
      <c r="H153" s="3" t="s">
        <v>25</v>
      </c>
      <c r="I153" s="1" t="s">
        <v>3984</v>
      </c>
      <c r="J153" s="1" t="s">
        <v>12</v>
      </c>
      <c r="K153" s="3" t="s">
        <v>3995</v>
      </c>
      <c r="L153" s="1" t="s">
        <v>4013</v>
      </c>
      <c r="M153" s="1" t="s">
        <v>4014</v>
      </c>
      <c r="N153" s="1" t="s">
        <v>13</v>
      </c>
      <c r="O153" s="1" t="s">
        <v>4014</v>
      </c>
      <c r="P153" s="1" t="s">
        <v>13</v>
      </c>
      <c r="Q153" s="1" t="s">
        <v>13</v>
      </c>
      <c r="R153" s="1" t="s">
        <v>13</v>
      </c>
      <c r="S153" s="1" t="s">
        <v>4009</v>
      </c>
      <c r="T153" s="4">
        <v>3.3</v>
      </c>
    </row>
    <row r="154" spans="1:20">
      <c r="A154" s="1" t="s">
        <v>3981</v>
      </c>
      <c r="B154" s="1" t="s">
        <v>312</v>
      </c>
      <c r="C154" s="1" t="s">
        <v>3982</v>
      </c>
      <c r="D154" s="1" t="s">
        <v>301</v>
      </c>
      <c r="E154" s="2">
        <v>45695</v>
      </c>
      <c r="F154" s="2">
        <v>45695</v>
      </c>
      <c r="G154" s="1" t="s">
        <v>4008</v>
      </c>
      <c r="H154" s="3" t="s">
        <v>25</v>
      </c>
      <c r="I154" s="1" t="s">
        <v>3984</v>
      </c>
      <c r="J154" s="1" t="s">
        <v>12</v>
      </c>
      <c r="K154" s="3" t="s">
        <v>3995</v>
      </c>
      <c r="L154" s="1" t="s">
        <v>4013</v>
      </c>
      <c r="M154" s="1" t="s">
        <v>4025</v>
      </c>
      <c r="N154" s="1" t="s">
        <v>4026</v>
      </c>
      <c r="O154" s="1" t="s">
        <v>13</v>
      </c>
      <c r="P154" s="1" t="s">
        <v>13</v>
      </c>
      <c r="Q154" s="1" t="s">
        <v>13</v>
      </c>
      <c r="R154" s="1" t="s">
        <v>13</v>
      </c>
      <c r="S154" s="1" t="s">
        <v>4009</v>
      </c>
      <c r="T154" s="4">
        <v>0.5</v>
      </c>
    </row>
    <row r="155" spans="1:20">
      <c r="A155" s="1" t="s">
        <v>3981</v>
      </c>
      <c r="B155" s="1" t="s">
        <v>312</v>
      </c>
      <c r="C155" s="1" t="s">
        <v>3982</v>
      </c>
      <c r="D155" s="1" t="s">
        <v>301</v>
      </c>
      <c r="E155" s="2">
        <v>45695</v>
      </c>
      <c r="F155" s="2">
        <v>45695</v>
      </c>
      <c r="G155" s="1" t="s">
        <v>4008</v>
      </c>
      <c r="H155" s="3" t="s">
        <v>25</v>
      </c>
      <c r="I155" s="1" t="s">
        <v>3984</v>
      </c>
      <c r="J155" s="1" t="s">
        <v>12</v>
      </c>
      <c r="K155" s="3" t="s">
        <v>3995</v>
      </c>
      <c r="L155" s="1" t="s">
        <v>4013</v>
      </c>
      <c r="M155" s="1" t="s">
        <v>4027</v>
      </c>
      <c r="N155" s="1" t="s">
        <v>4028</v>
      </c>
      <c r="O155" s="1" t="s">
        <v>13</v>
      </c>
      <c r="P155" s="1" t="s">
        <v>13</v>
      </c>
      <c r="Q155" s="1" t="s">
        <v>13</v>
      </c>
      <c r="R155" s="1" t="s">
        <v>13</v>
      </c>
      <c r="S155" s="1" t="s">
        <v>4009</v>
      </c>
      <c r="T155" s="4">
        <v>0.7</v>
      </c>
    </row>
    <row r="156" spans="1:20">
      <c r="A156" s="1" t="s">
        <v>3981</v>
      </c>
      <c r="B156" s="1" t="s">
        <v>312</v>
      </c>
      <c r="C156" s="1" t="s">
        <v>3982</v>
      </c>
      <c r="D156" s="1" t="s">
        <v>301</v>
      </c>
      <c r="E156" s="2">
        <v>45695</v>
      </c>
      <c r="F156" s="2">
        <v>45695</v>
      </c>
      <c r="G156" s="1" t="s">
        <v>4008</v>
      </c>
      <c r="H156" s="3" t="s">
        <v>25</v>
      </c>
      <c r="I156" s="1" t="s">
        <v>3984</v>
      </c>
      <c r="J156" s="1" t="s">
        <v>12</v>
      </c>
      <c r="K156" s="3" t="s">
        <v>3995</v>
      </c>
      <c r="L156" s="1" t="s">
        <v>3987</v>
      </c>
      <c r="M156" s="1" t="s">
        <v>3996</v>
      </c>
      <c r="N156" s="1" t="s">
        <v>13</v>
      </c>
      <c r="O156" s="1" t="s">
        <v>3996</v>
      </c>
      <c r="P156" s="1" t="s">
        <v>13</v>
      </c>
      <c r="Q156" s="1" t="s">
        <v>14</v>
      </c>
      <c r="R156" s="1" t="s">
        <v>37</v>
      </c>
      <c r="S156" s="1" t="s">
        <v>4009</v>
      </c>
      <c r="T156" s="4">
        <v>0.4</v>
      </c>
    </row>
    <row r="157" spans="1:20">
      <c r="A157" s="1" t="s">
        <v>3981</v>
      </c>
      <c r="B157" s="1" t="s">
        <v>312</v>
      </c>
      <c r="C157" s="1" t="s">
        <v>3982</v>
      </c>
      <c r="D157" s="1" t="s">
        <v>301</v>
      </c>
      <c r="E157" s="2">
        <v>45695</v>
      </c>
      <c r="F157" s="2">
        <v>45695</v>
      </c>
      <c r="G157" s="1" t="s">
        <v>4008</v>
      </c>
      <c r="H157" s="3" t="s">
        <v>25</v>
      </c>
      <c r="I157" s="1" t="s">
        <v>3984</v>
      </c>
      <c r="J157" s="1" t="s">
        <v>12</v>
      </c>
      <c r="K157" s="3" t="s">
        <v>3995</v>
      </c>
      <c r="L157" s="1" t="s">
        <v>3987</v>
      </c>
      <c r="M157" s="1" t="s">
        <v>3996</v>
      </c>
      <c r="N157" s="1" t="s">
        <v>13</v>
      </c>
      <c r="O157" s="1" t="s">
        <v>3996</v>
      </c>
      <c r="P157" s="1" t="s">
        <v>13</v>
      </c>
      <c r="Q157" s="1" t="s">
        <v>28</v>
      </c>
      <c r="R157" s="1" t="s">
        <v>29</v>
      </c>
      <c r="S157" s="1" t="s">
        <v>4009</v>
      </c>
      <c r="T157" s="4">
        <v>1.5</v>
      </c>
    </row>
    <row r="158" spans="1:20">
      <c r="A158" s="1" t="s">
        <v>3981</v>
      </c>
      <c r="B158" s="1" t="s">
        <v>312</v>
      </c>
      <c r="C158" s="1" t="s">
        <v>3982</v>
      </c>
      <c r="D158" s="1" t="s">
        <v>301</v>
      </c>
      <c r="E158" s="2">
        <v>45695</v>
      </c>
      <c r="F158" s="2">
        <v>45695</v>
      </c>
      <c r="G158" s="1" t="s">
        <v>4008</v>
      </c>
      <c r="H158" s="3" t="s">
        <v>25</v>
      </c>
      <c r="I158" s="1" t="s">
        <v>3984</v>
      </c>
      <c r="J158" s="1" t="s">
        <v>12</v>
      </c>
      <c r="K158" s="3" t="s">
        <v>3995</v>
      </c>
      <c r="L158" s="1" t="s">
        <v>3987</v>
      </c>
      <c r="M158" s="1" t="s">
        <v>3996</v>
      </c>
      <c r="N158" s="1" t="s">
        <v>13</v>
      </c>
      <c r="O158" s="1" t="s">
        <v>3996</v>
      </c>
      <c r="P158" s="1" t="s">
        <v>13</v>
      </c>
      <c r="Q158" s="1" t="s">
        <v>44</v>
      </c>
      <c r="R158" s="1" t="s">
        <v>45</v>
      </c>
      <c r="S158" s="1" t="s">
        <v>4009</v>
      </c>
      <c r="T158" s="4">
        <v>16.7</v>
      </c>
    </row>
    <row r="159" spans="1:20">
      <c r="A159" s="1" t="s">
        <v>3981</v>
      </c>
      <c r="B159" s="1" t="s">
        <v>312</v>
      </c>
      <c r="C159" s="1" t="s">
        <v>3982</v>
      </c>
      <c r="D159" s="1" t="s">
        <v>301</v>
      </c>
      <c r="E159" s="2">
        <v>45695</v>
      </c>
      <c r="F159" s="2">
        <v>45695</v>
      </c>
      <c r="G159" s="1" t="s">
        <v>4008</v>
      </c>
      <c r="H159" s="3" t="s">
        <v>25</v>
      </c>
      <c r="I159" s="1" t="s">
        <v>3984</v>
      </c>
      <c r="J159" s="1" t="s">
        <v>12</v>
      </c>
      <c r="K159" s="3" t="s">
        <v>3995</v>
      </c>
      <c r="L159" s="1" t="s">
        <v>3987</v>
      </c>
      <c r="M159" s="1" t="s">
        <v>3996</v>
      </c>
      <c r="N159" s="1" t="s">
        <v>13</v>
      </c>
      <c r="O159" s="1" t="s">
        <v>3996</v>
      </c>
      <c r="P159" s="1" t="s">
        <v>13</v>
      </c>
      <c r="Q159" s="1" t="s">
        <v>38</v>
      </c>
      <c r="R159" s="1" t="s">
        <v>46</v>
      </c>
      <c r="S159" s="1" t="s">
        <v>4009</v>
      </c>
      <c r="T159" s="4">
        <v>7.6</v>
      </c>
    </row>
    <row r="160" spans="1:20">
      <c r="A160" s="1" t="s">
        <v>3981</v>
      </c>
      <c r="B160" s="1" t="s">
        <v>312</v>
      </c>
      <c r="C160" s="1" t="s">
        <v>3982</v>
      </c>
      <c r="D160" s="1" t="s">
        <v>301</v>
      </c>
      <c r="E160" s="2">
        <v>45695</v>
      </c>
      <c r="F160" s="2">
        <v>45695</v>
      </c>
      <c r="G160" s="1" t="s">
        <v>4008</v>
      </c>
      <c r="H160" s="3" t="s">
        <v>25</v>
      </c>
      <c r="I160" s="1" t="s">
        <v>3984</v>
      </c>
      <c r="J160" s="1" t="s">
        <v>12</v>
      </c>
      <c r="K160" s="3" t="s">
        <v>3995</v>
      </c>
      <c r="L160" s="1" t="s">
        <v>3987</v>
      </c>
      <c r="M160" s="1" t="s">
        <v>3996</v>
      </c>
      <c r="N160" s="1" t="s">
        <v>13</v>
      </c>
      <c r="O160" s="1" t="s">
        <v>3996</v>
      </c>
      <c r="P160" s="1" t="s">
        <v>13</v>
      </c>
      <c r="Q160" s="1" t="s">
        <v>38</v>
      </c>
      <c r="R160" s="1" t="s">
        <v>51</v>
      </c>
      <c r="S160" s="1" t="s">
        <v>4009</v>
      </c>
      <c r="T160" s="4">
        <v>0.8</v>
      </c>
    </row>
    <row r="161" spans="1:20">
      <c r="A161" s="1" t="s">
        <v>3981</v>
      </c>
      <c r="B161" s="1" t="s">
        <v>312</v>
      </c>
      <c r="C161" s="1" t="s">
        <v>3982</v>
      </c>
      <c r="D161" s="1" t="s">
        <v>301</v>
      </c>
      <c r="E161" s="2">
        <v>45695</v>
      </c>
      <c r="F161" s="2">
        <v>45695</v>
      </c>
      <c r="G161" s="1" t="s">
        <v>4008</v>
      </c>
      <c r="H161" s="3" t="s">
        <v>25</v>
      </c>
      <c r="I161" s="1" t="s">
        <v>3984</v>
      </c>
      <c r="J161" s="1" t="s">
        <v>12</v>
      </c>
      <c r="K161" s="3" t="s">
        <v>3995</v>
      </c>
      <c r="L161" s="1" t="s">
        <v>3987</v>
      </c>
      <c r="M161" s="1" t="s">
        <v>3996</v>
      </c>
      <c r="N161" s="1" t="s">
        <v>13</v>
      </c>
      <c r="O161" s="1" t="s">
        <v>3996</v>
      </c>
      <c r="P161" s="1" t="s">
        <v>13</v>
      </c>
      <c r="Q161" s="1" t="s">
        <v>38</v>
      </c>
      <c r="R161" s="1" t="s">
        <v>52</v>
      </c>
      <c r="S161" s="1" t="s">
        <v>4009</v>
      </c>
      <c r="T161" s="4">
        <v>3.4</v>
      </c>
    </row>
    <row r="162" spans="1:20">
      <c r="A162" s="1" t="s">
        <v>3981</v>
      </c>
      <c r="B162" s="1" t="s">
        <v>312</v>
      </c>
      <c r="C162" s="1" t="s">
        <v>3982</v>
      </c>
      <c r="D162" s="1" t="s">
        <v>301</v>
      </c>
      <c r="E162" s="2">
        <v>45695</v>
      </c>
      <c r="F162" s="2">
        <v>45695</v>
      </c>
      <c r="G162" s="1" t="s">
        <v>4008</v>
      </c>
      <c r="H162" s="3" t="s">
        <v>25</v>
      </c>
      <c r="I162" s="1" t="s">
        <v>3984</v>
      </c>
      <c r="J162" s="1" t="s">
        <v>12</v>
      </c>
      <c r="K162" s="3" t="s">
        <v>3995</v>
      </c>
      <c r="L162" s="1" t="s">
        <v>3987</v>
      </c>
      <c r="M162" s="1" t="s">
        <v>3996</v>
      </c>
      <c r="N162" s="1" t="s">
        <v>13</v>
      </c>
      <c r="O162" s="1" t="s">
        <v>3996</v>
      </c>
      <c r="P162" s="1" t="s">
        <v>13</v>
      </c>
      <c r="Q162" s="1" t="s">
        <v>30</v>
      </c>
      <c r="R162" s="1" t="s">
        <v>31</v>
      </c>
      <c r="S162" s="1" t="s">
        <v>4009</v>
      </c>
      <c r="T162" s="4">
        <v>21.1</v>
      </c>
    </row>
    <row r="163" spans="1:20">
      <c r="A163" s="1" t="s">
        <v>3981</v>
      </c>
      <c r="B163" s="1" t="s">
        <v>312</v>
      </c>
      <c r="C163" s="1" t="s">
        <v>3982</v>
      </c>
      <c r="D163" s="1" t="s">
        <v>301</v>
      </c>
      <c r="E163" s="2">
        <v>45695</v>
      </c>
      <c r="F163" s="2">
        <v>45695</v>
      </c>
      <c r="G163" s="1" t="s">
        <v>4008</v>
      </c>
      <c r="H163" s="3" t="s">
        <v>25</v>
      </c>
      <c r="I163" s="1" t="s">
        <v>3984</v>
      </c>
      <c r="J163" s="1" t="s">
        <v>12</v>
      </c>
      <c r="K163" s="3" t="s">
        <v>3995</v>
      </c>
      <c r="L163" s="1" t="s">
        <v>3987</v>
      </c>
      <c r="M163" s="1" t="s">
        <v>3996</v>
      </c>
      <c r="N163" s="1" t="s">
        <v>13</v>
      </c>
      <c r="O163" s="1" t="s">
        <v>3996</v>
      </c>
      <c r="P163" s="1" t="s">
        <v>13</v>
      </c>
      <c r="Q163" s="1" t="s">
        <v>30</v>
      </c>
      <c r="R163" s="1" t="s">
        <v>62</v>
      </c>
      <c r="S163" s="1" t="s">
        <v>4009</v>
      </c>
      <c r="T163" s="4">
        <v>2</v>
      </c>
    </row>
    <row r="164" spans="1:20">
      <c r="A164" s="1" t="s">
        <v>3981</v>
      </c>
      <c r="B164" s="1" t="s">
        <v>312</v>
      </c>
      <c r="C164" s="1" t="s">
        <v>3982</v>
      </c>
      <c r="D164" s="1" t="s">
        <v>301</v>
      </c>
      <c r="E164" s="2">
        <v>45709</v>
      </c>
      <c r="F164" s="2">
        <v>45702</v>
      </c>
      <c r="G164" s="1" t="s">
        <v>3983</v>
      </c>
      <c r="H164" s="3" t="s">
        <v>32</v>
      </c>
      <c r="I164" s="1" t="s">
        <v>3984</v>
      </c>
      <c r="J164" s="1" t="s">
        <v>3985</v>
      </c>
      <c r="K164" s="3" t="s">
        <v>3986</v>
      </c>
      <c r="L164" s="1" t="s">
        <v>3987</v>
      </c>
      <c r="M164" s="1" t="s">
        <v>13</v>
      </c>
      <c r="N164" s="1" t="s">
        <v>13</v>
      </c>
      <c r="O164" s="1" t="s">
        <v>3988</v>
      </c>
      <c r="P164" s="1" t="s">
        <v>13</v>
      </c>
      <c r="Q164" s="1" t="s">
        <v>13</v>
      </c>
      <c r="R164" s="1" t="s">
        <v>13</v>
      </c>
      <c r="S164" s="1" t="s">
        <v>3989</v>
      </c>
      <c r="T164" s="4">
        <v>21</v>
      </c>
    </row>
    <row r="165" spans="1:20">
      <c r="A165" s="1" t="s">
        <v>3981</v>
      </c>
      <c r="B165" s="1" t="s">
        <v>312</v>
      </c>
      <c r="C165" s="1" t="s">
        <v>3982</v>
      </c>
      <c r="D165" s="1" t="s">
        <v>301</v>
      </c>
      <c r="E165" s="2">
        <v>45709</v>
      </c>
      <c r="F165" s="2">
        <v>45702</v>
      </c>
      <c r="G165" s="1" t="s">
        <v>3983</v>
      </c>
      <c r="H165" s="3" t="s">
        <v>32</v>
      </c>
      <c r="I165" s="1" t="s">
        <v>3984</v>
      </c>
      <c r="J165" s="1" t="s">
        <v>12</v>
      </c>
      <c r="K165" s="3" t="s">
        <v>3995</v>
      </c>
      <c r="L165" s="1" t="s">
        <v>3987</v>
      </c>
      <c r="M165" s="1" t="s">
        <v>3996</v>
      </c>
      <c r="N165" s="1" t="s">
        <v>13</v>
      </c>
      <c r="O165" s="1" t="s">
        <v>3996</v>
      </c>
      <c r="P165" s="1" t="s">
        <v>13</v>
      </c>
      <c r="Q165" s="1" t="s">
        <v>14</v>
      </c>
      <c r="R165" s="1" t="s">
        <v>33</v>
      </c>
      <c r="S165" s="1" t="s">
        <v>3989</v>
      </c>
      <c r="T165" s="4">
        <v>1</v>
      </c>
    </row>
    <row r="166" spans="1:20">
      <c r="A166" s="1" t="s">
        <v>3981</v>
      </c>
      <c r="B166" s="1" t="s">
        <v>312</v>
      </c>
      <c r="C166" s="1" t="s">
        <v>3982</v>
      </c>
      <c r="D166" s="1" t="s">
        <v>301</v>
      </c>
      <c r="E166" s="2">
        <v>45709</v>
      </c>
      <c r="F166" s="2">
        <v>45702</v>
      </c>
      <c r="G166" s="1" t="s">
        <v>3983</v>
      </c>
      <c r="H166" s="3" t="s">
        <v>32</v>
      </c>
      <c r="I166" s="1" t="s">
        <v>3984</v>
      </c>
      <c r="J166" s="1" t="s">
        <v>12</v>
      </c>
      <c r="K166" s="3" t="s">
        <v>3995</v>
      </c>
      <c r="L166" s="1" t="s">
        <v>3987</v>
      </c>
      <c r="M166" s="1" t="s">
        <v>3996</v>
      </c>
      <c r="N166" s="1" t="s">
        <v>13</v>
      </c>
      <c r="O166" s="1" t="s">
        <v>3996</v>
      </c>
      <c r="P166" s="1" t="s">
        <v>13</v>
      </c>
      <c r="Q166" s="1" t="s">
        <v>14</v>
      </c>
      <c r="R166" s="1" t="s">
        <v>54</v>
      </c>
      <c r="S166" s="1" t="s">
        <v>3989</v>
      </c>
      <c r="T166" s="4">
        <v>9</v>
      </c>
    </row>
    <row r="167" spans="1:20">
      <c r="A167" s="1" t="s">
        <v>3981</v>
      </c>
      <c r="B167" s="1" t="s">
        <v>312</v>
      </c>
      <c r="C167" s="1" t="s">
        <v>3982</v>
      </c>
      <c r="D167" s="1" t="s">
        <v>301</v>
      </c>
      <c r="E167" s="2">
        <v>45709</v>
      </c>
      <c r="F167" s="2">
        <v>45702</v>
      </c>
      <c r="G167" s="1" t="s">
        <v>3983</v>
      </c>
      <c r="H167" s="3" t="s">
        <v>32</v>
      </c>
      <c r="I167" s="1" t="s">
        <v>3984</v>
      </c>
      <c r="J167" s="1" t="s">
        <v>12</v>
      </c>
      <c r="K167" s="3" t="s">
        <v>3995</v>
      </c>
      <c r="L167" s="1" t="s">
        <v>3987</v>
      </c>
      <c r="M167" s="1" t="s">
        <v>3996</v>
      </c>
      <c r="N167" s="1" t="s">
        <v>13</v>
      </c>
      <c r="O167" s="1" t="s">
        <v>3996</v>
      </c>
      <c r="P167" s="1" t="s">
        <v>13</v>
      </c>
      <c r="Q167" s="1" t="s">
        <v>44</v>
      </c>
      <c r="R167" s="1" t="s">
        <v>47</v>
      </c>
      <c r="S167" s="1" t="s">
        <v>3989</v>
      </c>
      <c r="T167" s="4">
        <v>1</v>
      </c>
    </row>
    <row r="168" spans="1:20">
      <c r="A168" s="1" t="s">
        <v>3981</v>
      </c>
      <c r="B168" s="1" t="s">
        <v>312</v>
      </c>
      <c r="C168" s="1" t="s">
        <v>3982</v>
      </c>
      <c r="D168" s="1" t="s">
        <v>301</v>
      </c>
      <c r="E168" s="2">
        <v>45709</v>
      </c>
      <c r="F168" s="2">
        <v>45702</v>
      </c>
      <c r="G168" s="1" t="s">
        <v>3990</v>
      </c>
      <c r="H168" s="3" t="s">
        <v>11</v>
      </c>
      <c r="I168" s="1" t="s">
        <v>3984</v>
      </c>
      <c r="J168" s="1" t="s">
        <v>12</v>
      </c>
      <c r="K168" s="3" t="s">
        <v>3995</v>
      </c>
      <c r="L168" s="1" t="s">
        <v>3987</v>
      </c>
      <c r="M168" s="1" t="s">
        <v>3996</v>
      </c>
      <c r="N168" s="1" t="s">
        <v>13</v>
      </c>
      <c r="O168" s="1" t="s">
        <v>3996</v>
      </c>
      <c r="P168" s="1" t="s">
        <v>13</v>
      </c>
      <c r="Q168" s="1" t="s">
        <v>14</v>
      </c>
      <c r="R168" s="1" t="s">
        <v>37</v>
      </c>
      <c r="S168" s="1" t="s">
        <v>3994</v>
      </c>
      <c r="T168" s="4">
        <v>0.6</v>
      </c>
    </row>
    <row r="169" spans="1:20">
      <c r="A169" s="1" t="s">
        <v>3981</v>
      </c>
      <c r="B169" s="1" t="s">
        <v>312</v>
      </c>
      <c r="C169" s="1" t="s">
        <v>3982</v>
      </c>
      <c r="D169" s="1" t="s">
        <v>301</v>
      </c>
      <c r="E169" s="2">
        <v>45709</v>
      </c>
      <c r="F169" s="2">
        <v>45702</v>
      </c>
      <c r="G169" s="1" t="s">
        <v>3990</v>
      </c>
      <c r="H169" s="3" t="s">
        <v>11</v>
      </c>
      <c r="I169" s="1" t="s">
        <v>3984</v>
      </c>
      <c r="J169" s="1" t="s">
        <v>12</v>
      </c>
      <c r="K169" s="3" t="s">
        <v>3995</v>
      </c>
      <c r="L169" s="1" t="s">
        <v>3987</v>
      </c>
      <c r="M169" s="1" t="s">
        <v>3996</v>
      </c>
      <c r="N169" s="1" t="s">
        <v>13</v>
      </c>
      <c r="O169" s="1" t="s">
        <v>3996</v>
      </c>
      <c r="P169" s="1" t="s">
        <v>13</v>
      </c>
      <c r="Q169" s="1" t="s">
        <v>14</v>
      </c>
      <c r="R169" s="1" t="s">
        <v>15</v>
      </c>
      <c r="S169" s="1" t="s">
        <v>3994</v>
      </c>
      <c r="T169" s="4">
        <v>7.7</v>
      </c>
    </row>
    <row r="170" spans="1:20">
      <c r="A170" s="1" t="s">
        <v>3981</v>
      </c>
      <c r="B170" s="1" t="s">
        <v>312</v>
      </c>
      <c r="C170" s="1" t="s">
        <v>3982</v>
      </c>
      <c r="D170" s="1" t="s">
        <v>301</v>
      </c>
      <c r="E170" s="2">
        <v>45709</v>
      </c>
      <c r="F170" s="2">
        <v>45702</v>
      </c>
      <c r="G170" s="1" t="s">
        <v>3990</v>
      </c>
      <c r="H170" s="3" t="s">
        <v>11</v>
      </c>
      <c r="I170" s="1" t="s">
        <v>3984</v>
      </c>
      <c r="J170" s="1" t="s">
        <v>12</v>
      </c>
      <c r="K170" s="3" t="s">
        <v>3995</v>
      </c>
      <c r="L170" s="1" t="s">
        <v>3987</v>
      </c>
      <c r="M170" s="1" t="s">
        <v>3996</v>
      </c>
      <c r="N170" s="1" t="s">
        <v>13</v>
      </c>
      <c r="O170" s="1" t="s">
        <v>3996</v>
      </c>
      <c r="P170" s="1" t="s">
        <v>13</v>
      </c>
      <c r="Q170" s="1" t="s">
        <v>28</v>
      </c>
      <c r="R170" s="1" t="s">
        <v>63</v>
      </c>
      <c r="S170" s="1" t="s">
        <v>3994</v>
      </c>
      <c r="T170" s="4">
        <v>3</v>
      </c>
    </row>
    <row r="171" spans="1:20">
      <c r="A171" s="1" t="s">
        <v>3981</v>
      </c>
      <c r="B171" s="1" t="s">
        <v>312</v>
      </c>
      <c r="C171" s="1" t="s">
        <v>3982</v>
      </c>
      <c r="D171" s="1" t="s">
        <v>301</v>
      </c>
      <c r="E171" s="2">
        <v>45709</v>
      </c>
      <c r="F171" s="2">
        <v>45702</v>
      </c>
      <c r="G171" s="1" t="s">
        <v>3990</v>
      </c>
      <c r="H171" s="3" t="s">
        <v>11</v>
      </c>
      <c r="I171" s="1" t="s">
        <v>3984</v>
      </c>
      <c r="J171" s="1" t="s">
        <v>12</v>
      </c>
      <c r="K171" s="3" t="s">
        <v>3995</v>
      </c>
      <c r="L171" s="1" t="s">
        <v>3987</v>
      </c>
      <c r="M171" s="1" t="s">
        <v>3996</v>
      </c>
      <c r="N171" s="1" t="s">
        <v>13</v>
      </c>
      <c r="O171" s="1" t="s">
        <v>3996</v>
      </c>
      <c r="P171" s="1" t="s">
        <v>13</v>
      </c>
      <c r="Q171" s="1" t="s">
        <v>44</v>
      </c>
      <c r="R171" s="1" t="s">
        <v>64</v>
      </c>
      <c r="S171" s="1" t="s">
        <v>3994</v>
      </c>
      <c r="T171" s="4">
        <v>1.4</v>
      </c>
    </row>
    <row r="172" spans="1:20">
      <c r="A172" s="1" t="s">
        <v>3981</v>
      </c>
      <c r="B172" s="1" t="s">
        <v>312</v>
      </c>
      <c r="C172" s="1" t="s">
        <v>3982</v>
      </c>
      <c r="D172" s="1" t="s">
        <v>301</v>
      </c>
      <c r="E172" s="2">
        <v>45709</v>
      </c>
      <c r="F172" s="2">
        <v>45702</v>
      </c>
      <c r="G172" s="1" t="s">
        <v>3990</v>
      </c>
      <c r="H172" s="3" t="s">
        <v>11</v>
      </c>
      <c r="I172" s="1" t="s">
        <v>3984</v>
      </c>
      <c r="J172" s="1" t="s">
        <v>12</v>
      </c>
      <c r="K172" s="3" t="s">
        <v>3995</v>
      </c>
      <c r="L172" s="1" t="s">
        <v>3987</v>
      </c>
      <c r="M172" s="1" t="s">
        <v>3996</v>
      </c>
      <c r="N172" s="1" t="s">
        <v>13</v>
      </c>
      <c r="O172" s="1" t="s">
        <v>3996</v>
      </c>
      <c r="P172" s="1" t="s">
        <v>13</v>
      </c>
      <c r="Q172" s="1" t="s">
        <v>16</v>
      </c>
      <c r="R172" s="1" t="s">
        <v>17</v>
      </c>
      <c r="S172" s="1" t="s">
        <v>3994</v>
      </c>
      <c r="T172" s="4">
        <v>16.5</v>
      </c>
    </row>
    <row r="173" spans="1:20">
      <c r="A173" s="1" t="s">
        <v>3981</v>
      </c>
      <c r="B173" s="1" t="s">
        <v>312</v>
      </c>
      <c r="C173" s="1" t="s">
        <v>3982</v>
      </c>
      <c r="D173" s="1" t="s">
        <v>301</v>
      </c>
      <c r="E173" s="2">
        <v>45709</v>
      </c>
      <c r="F173" s="2">
        <v>45702</v>
      </c>
      <c r="G173" s="1" t="s">
        <v>3990</v>
      </c>
      <c r="H173" s="3" t="s">
        <v>11</v>
      </c>
      <c r="I173" s="1" t="s">
        <v>3984</v>
      </c>
      <c r="J173" s="1" t="s">
        <v>12</v>
      </c>
      <c r="K173" s="3" t="s">
        <v>3995</v>
      </c>
      <c r="L173" s="1" t="s">
        <v>3987</v>
      </c>
      <c r="M173" s="1" t="s">
        <v>4029</v>
      </c>
      <c r="N173" s="1" t="s">
        <v>13</v>
      </c>
      <c r="O173" s="1" t="s">
        <v>4029</v>
      </c>
      <c r="P173" s="1" t="s">
        <v>13</v>
      </c>
      <c r="Q173" s="1" t="s">
        <v>4030</v>
      </c>
      <c r="R173" s="1" t="s">
        <v>4031</v>
      </c>
      <c r="S173" s="1" t="s">
        <v>3994</v>
      </c>
      <c r="T173" s="4">
        <v>3.9</v>
      </c>
    </row>
    <row r="174" spans="1:20">
      <c r="A174" s="1" t="s">
        <v>3981</v>
      </c>
      <c r="B174" s="1" t="s">
        <v>312</v>
      </c>
      <c r="C174" s="1" t="s">
        <v>3982</v>
      </c>
      <c r="D174" s="1" t="s">
        <v>301</v>
      </c>
      <c r="E174" s="2">
        <v>45709</v>
      </c>
      <c r="F174" s="2">
        <v>45702</v>
      </c>
      <c r="G174" s="1" t="s">
        <v>3990</v>
      </c>
      <c r="H174" s="3" t="s">
        <v>11</v>
      </c>
      <c r="I174" s="1" t="s">
        <v>3984</v>
      </c>
      <c r="J174" s="1" t="s">
        <v>12</v>
      </c>
      <c r="K174" s="3" t="s">
        <v>3995</v>
      </c>
      <c r="L174" s="1" t="s">
        <v>3987</v>
      </c>
      <c r="M174" s="1" t="s">
        <v>4017</v>
      </c>
      <c r="N174" s="1" t="s">
        <v>4018</v>
      </c>
      <c r="O174" s="1" t="s">
        <v>13</v>
      </c>
      <c r="P174" s="1" t="s">
        <v>13</v>
      </c>
      <c r="Q174" s="1" t="s">
        <v>4019</v>
      </c>
      <c r="R174" s="1" t="s">
        <v>4019</v>
      </c>
      <c r="S174" s="1" t="s">
        <v>3994</v>
      </c>
      <c r="T174" s="4">
        <v>0.7</v>
      </c>
    </row>
    <row r="175" spans="1:20">
      <c r="A175" s="1" t="s">
        <v>3981</v>
      </c>
      <c r="B175" s="1" t="s">
        <v>312</v>
      </c>
      <c r="C175" s="1" t="s">
        <v>3982</v>
      </c>
      <c r="D175" s="1" t="s">
        <v>301</v>
      </c>
      <c r="E175" s="2">
        <v>45709</v>
      </c>
      <c r="F175" s="2">
        <v>45702</v>
      </c>
      <c r="G175" s="1" t="s">
        <v>3990</v>
      </c>
      <c r="H175" s="3" t="s">
        <v>11</v>
      </c>
      <c r="I175" s="1" t="s">
        <v>3984</v>
      </c>
      <c r="J175" s="1" t="s">
        <v>12</v>
      </c>
      <c r="K175" s="3" t="s">
        <v>3995</v>
      </c>
      <c r="L175" s="1" t="s">
        <v>4032</v>
      </c>
      <c r="M175" s="1" t="s">
        <v>4033</v>
      </c>
      <c r="N175" s="1" t="s">
        <v>13</v>
      </c>
      <c r="O175" s="1" t="s">
        <v>4033</v>
      </c>
      <c r="P175" s="1" t="s">
        <v>13</v>
      </c>
      <c r="Q175" s="1" t="s">
        <v>4034</v>
      </c>
      <c r="R175" s="1" t="s">
        <v>4001</v>
      </c>
      <c r="S175" s="1" t="s">
        <v>3994</v>
      </c>
      <c r="T175" s="4">
        <v>2.2999999999999998</v>
      </c>
    </row>
    <row r="176" spans="1:20">
      <c r="A176" s="1" t="s">
        <v>3981</v>
      </c>
      <c r="B176" s="1" t="s">
        <v>312</v>
      </c>
      <c r="C176" s="1" t="s">
        <v>3982</v>
      </c>
      <c r="D176" s="1" t="s">
        <v>301</v>
      </c>
      <c r="E176" s="2">
        <v>45709</v>
      </c>
      <c r="F176" s="2">
        <v>45702</v>
      </c>
      <c r="G176" s="1" t="s">
        <v>3997</v>
      </c>
      <c r="H176" s="3" t="s">
        <v>41</v>
      </c>
      <c r="I176" s="1" t="s">
        <v>3984</v>
      </c>
      <c r="J176" s="1" t="s">
        <v>12</v>
      </c>
      <c r="K176" s="3" t="s">
        <v>3995</v>
      </c>
      <c r="L176" s="1" t="s">
        <v>3987</v>
      </c>
      <c r="M176" s="1" t="s">
        <v>3999</v>
      </c>
      <c r="N176" s="1" t="s">
        <v>13</v>
      </c>
      <c r="O176" s="1" t="s">
        <v>3999</v>
      </c>
      <c r="P176" s="1" t="s">
        <v>13</v>
      </c>
      <c r="Q176" s="1" t="s">
        <v>4000</v>
      </c>
      <c r="R176" s="1" t="s">
        <v>4001</v>
      </c>
      <c r="S176" s="1" t="s">
        <v>3998</v>
      </c>
      <c r="T176" s="4">
        <v>20</v>
      </c>
    </row>
    <row r="177" spans="1:20">
      <c r="A177" s="1" t="s">
        <v>3981</v>
      </c>
      <c r="B177" s="1" t="s">
        <v>312</v>
      </c>
      <c r="C177" s="1" t="s">
        <v>3982</v>
      </c>
      <c r="D177" s="1" t="s">
        <v>301</v>
      </c>
      <c r="E177" s="2">
        <v>45709</v>
      </c>
      <c r="F177" s="2">
        <v>45702</v>
      </c>
      <c r="G177" s="1" t="s">
        <v>3997</v>
      </c>
      <c r="H177" s="3" t="s">
        <v>41</v>
      </c>
      <c r="I177" s="1" t="s">
        <v>3984</v>
      </c>
      <c r="J177" s="1" t="s">
        <v>12</v>
      </c>
      <c r="K177" s="3" t="s">
        <v>3995</v>
      </c>
      <c r="L177" s="1" t="s">
        <v>3987</v>
      </c>
      <c r="M177" s="1" t="s">
        <v>3996</v>
      </c>
      <c r="N177" s="1" t="s">
        <v>13</v>
      </c>
      <c r="O177" s="1" t="s">
        <v>3996</v>
      </c>
      <c r="P177" s="1" t="s">
        <v>13</v>
      </c>
      <c r="Q177" s="1" t="s">
        <v>16</v>
      </c>
      <c r="R177" s="1" t="s">
        <v>17</v>
      </c>
      <c r="S177" s="1" t="s">
        <v>3998</v>
      </c>
      <c r="T177" s="4">
        <v>3</v>
      </c>
    </row>
    <row r="178" spans="1:20">
      <c r="A178" s="1" t="s">
        <v>3981</v>
      </c>
      <c r="B178" s="1" t="s">
        <v>312</v>
      </c>
      <c r="C178" s="1" t="s">
        <v>3982</v>
      </c>
      <c r="D178" s="1" t="s">
        <v>301</v>
      </c>
      <c r="E178" s="2">
        <v>45709</v>
      </c>
      <c r="F178" s="2">
        <v>45702</v>
      </c>
      <c r="G178" s="1" t="s">
        <v>3997</v>
      </c>
      <c r="H178" s="3" t="s">
        <v>41</v>
      </c>
      <c r="I178" s="1" t="s">
        <v>3984</v>
      </c>
      <c r="J178" s="1" t="s">
        <v>12</v>
      </c>
      <c r="K178" s="3" t="s">
        <v>3995</v>
      </c>
      <c r="L178" s="1" t="s">
        <v>4002</v>
      </c>
      <c r="M178" s="1" t="s">
        <v>4003</v>
      </c>
      <c r="N178" s="1" t="s">
        <v>13</v>
      </c>
      <c r="O178" s="1" t="s">
        <v>4003</v>
      </c>
      <c r="P178" s="1" t="s">
        <v>13</v>
      </c>
      <c r="Q178" s="1" t="s">
        <v>4004</v>
      </c>
      <c r="R178" s="1" t="s">
        <v>4001</v>
      </c>
      <c r="S178" s="1" t="s">
        <v>3998</v>
      </c>
      <c r="T178" s="4">
        <v>23</v>
      </c>
    </row>
    <row r="179" spans="1:20">
      <c r="A179" s="1" t="s">
        <v>3981</v>
      </c>
      <c r="B179" s="1" t="s">
        <v>312</v>
      </c>
      <c r="C179" s="1" t="s">
        <v>3982</v>
      </c>
      <c r="D179" s="1" t="s">
        <v>301</v>
      </c>
      <c r="E179" s="2">
        <v>45709</v>
      </c>
      <c r="F179" s="2">
        <v>45702</v>
      </c>
      <c r="G179" s="1" t="s">
        <v>4005</v>
      </c>
      <c r="H179" s="3" t="s">
        <v>21</v>
      </c>
      <c r="I179" s="1" t="s">
        <v>3984</v>
      </c>
      <c r="J179" s="1" t="s">
        <v>12</v>
      </c>
      <c r="K179" s="3" t="s">
        <v>3995</v>
      </c>
      <c r="L179" s="1" t="s">
        <v>3987</v>
      </c>
      <c r="M179" s="1" t="s">
        <v>3996</v>
      </c>
      <c r="N179" s="1" t="s">
        <v>13</v>
      </c>
      <c r="O179" s="1" t="s">
        <v>3996</v>
      </c>
      <c r="P179" s="1" t="s">
        <v>13</v>
      </c>
      <c r="Q179" s="1" t="s">
        <v>14</v>
      </c>
      <c r="R179" s="1" t="s">
        <v>24</v>
      </c>
      <c r="S179" s="1" t="s">
        <v>4007</v>
      </c>
      <c r="T179" s="4">
        <v>10.5</v>
      </c>
    </row>
    <row r="180" spans="1:20">
      <c r="A180" s="1" t="s">
        <v>3981</v>
      </c>
      <c r="B180" s="1" t="s">
        <v>312</v>
      </c>
      <c r="C180" s="1" t="s">
        <v>3982</v>
      </c>
      <c r="D180" s="1" t="s">
        <v>301</v>
      </c>
      <c r="E180" s="2">
        <v>45709</v>
      </c>
      <c r="F180" s="2">
        <v>45702</v>
      </c>
      <c r="G180" s="1" t="s">
        <v>4005</v>
      </c>
      <c r="H180" s="3" t="s">
        <v>21</v>
      </c>
      <c r="I180" s="1" t="s">
        <v>3984</v>
      </c>
      <c r="J180" s="1" t="s">
        <v>12</v>
      </c>
      <c r="K180" s="3" t="s">
        <v>3995</v>
      </c>
      <c r="L180" s="1" t="s">
        <v>3987</v>
      </c>
      <c r="M180" s="1" t="s">
        <v>3996</v>
      </c>
      <c r="N180" s="1" t="s">
        <v>13</v>
      </c>
      <c r="O180" s="1" t="s">
        <v>3996</v>
      </c>
      <c r="P180" s="1" t="s">
        <v>13</v>
      </c>
      <c r="Q180" s="1" t="s">
        <v>14</v>
      </c>
      <c r="R180" s="1" t="s">
        <v>42</v>
      </c>
      <c r="S180" s="1" t="s">
        <v>4007</v>
      </c>
      <c r="T180" s="4">
        <v>18.100000000000001</v>
      </c>
    </row>
    <row r="181" spans="1:20">
      <c r="A181" s="1" t="s">
        <v>3981</v>
      </c>
      <c r="B181" s="1" t="s">
        <v>312</v>
      </c>
      <c r="C181" s="1" t="s">
        <v>3982</v>
      </c>
      <c r="D181" s="1" t="s">
        <v>301</v>
      </c>
      <c r="E181" s="2">
        <v>45709</v>
      </c>
      <c r="F181" s="2">
        <v>45702</v>
      </c>
      <c r="G181" s="1" t="s">
        <v>4005</v>
      </c>
      <c r="H181" s="3" t="s">
        <v>21</v>
      </c>
      <c r="I181" s="1" t="s">
        <v>3984</v>
      </c>
      <c r="J181" s="1" t="s">
        <v>12</v>
      </c>
      <c r="K181" s="3" t="s">
        <v>3995</v>
      </c>
      <c r="L181" s="1" t="s">
        <v>3987</v>
      </c>
      <c r="M181" s="1" t="s">
        <v>3996</v>
      </c>
      <c r="N181" s="1" t="s">
        <v>13</v>
      </c>
      <c r="O181" s="1" t="s">
        <v>3996</v>
      </c>
      <c r="P181" s="1" t="s">
        <v>13</v>
      </c>
      <c r="Q181" s="1" t="s">
        <v>28</v>
      </c>
      <c r="R181" s="1" t="s">
        <v>58</v>
      </c>
      <c r="S181" s="1" t="s">
        <v>4007</v>
      </c>
      <c r="T181" s="4">
        <v>12.6</v>
      </c>
    </row>
    <row r="182" spans="1:20">
      <c r="A182" s="1" t="s">
        <v>3981</v>
      </c>
      <c r="B182" s="1" t="s">
        <v>312</v>
      </c>
      <c r="C182" s="1" t="s">
        <v>3982</v>
      </c>
      <c r="D182" s="1" t="s">
        <v>301</v>
      </c>
      <c r="E182" s="2">
        <v>45709</v>
      </c>
      <c r="F182" s="2">
        <v>45702</v>
      </c>
      <c r="G182" s="1" t="s">
        <v>4008</v>
      </c>
      <c r="H182" s="3" t="s">
        <v>25</v>
      </c>
      <c r="I182" s="1" t="s">
        <v>3984</v>
      </c>
      <c r="J182" s="1" t="s">
        <v>12</v>
      </c>
      <c r="K182" s="3" t="s">
        <v>3995</v>
      </c>
      <c r="L182" s="1" t="s">
        <v>4013</v>
      </c>
      <c r="M182" s="1" t="s">
        <v>4014</v>
      </c>
      <c r="N182" s="1" t="s">
        <v>13</v>
      </c>
      <c r="O182" s="1" t="s">
        <v>4014</v>
      </c>
      <c r="P182" s="1" t="s">
        <v>13</v>
      </c>
      <c r="Q182" s="1" t="s">
        <v>13</v>
      </c>
      <c r="R182" s="1" t="s">
        <v>13</v>
      </c>
      <c r="S182" s="1" t="s">
        <v>4009</v>
      </c>
      <c r="T182" s="4">
        <v>1.8</v>
      </c>
    </row>
    <row r="183" spans="1:20">
      <c r="A183" s="1" t="s">
        <v>3981</v>
      </c>
      <c r="B183" s="1" t="s">
        <v>312</v>
      </c>
      <c r="C183" s="1" t="s">
        <v>3982</v>
      </c>
      <c r="D183" s="1" t="s">
        <v>301</v>
      </c>
      <c r="E183" s="2">
        <v>45709</v>
      </c>
      <c r="F183" s="2">
        <v>45702</v>
      </c>
      <c r="G183" s="1" t="s">
        <v>4008</v>
      </c>
      <c r="H183" s="3" t="s">
        <v>25</v>
      </c>
      <c r="I183" s="1" t="s">
        <v>3984</v>
      </c>
      <c r="J183" s="1" t="s">
        <v>12</v>
      </c>
      <c r="K183" s="3" t="s">
        <v>3995</v>
      </c>
      <c r="L183" s="1" t="s">
        <v>4013</v>
      </c>
      <c r="M183" s="1" t="s">
        <v>4035</v>
      </c>
      <c r="N183" s="1" t="s">
        <v>4036</v>
      </c>
      <c r="O183" s="1" t="s">
        <v>13</v>
      </c>
      <c r="P183" s="1" t="s">
        <v>13</v>
      </c>
      <c r="Q183" s="1" t="s">
        <v>13</v>
      </c>
      <c r="R183" s="1" t="s">
        <v>13</v>
      </c>
      <c r="S183" s="1" t="s">
        <v>4009</v>
      </c>
      <c r="T183" s="4">
        <v>0.4</v>
      </c>
    </row>
    <row r="184" spans="1:20">
      <c r="A184" s="1" t="s">
        <v>3981</v>
      </c>
      <c r="B184" s="1" t="s">
        <v>312</v>
      </c>
      <c r="C184" s="1" t="s">
        <v>3982</v>
      </c>
      <c r="D184" s="1" t="s">
        <v>301</v>
      </c>
      <c r="E184" s="2">
        <v>45709</v>
      </c>
      <c r="F184" s="2">
        <v>45702</v>
      </c>
      <c r="G184" s="1" t="s">
        <v>4008</v>
      </c>
      <c r="H184" s="3" t="s">
        <v>25</v>
      </c>
      <c r="I184" s="1" t="s">
        <v>3984</v>
      </c>
      <c r="J184" s="1" t="s">
        <v>12</v>
      </c>
      <c r="K184" s="3" t="s">
        <v>3995</v>
      </c>
      <c r="L184" s="1" t="s">
        <v>3987</v>
      </c>
      <c r="M184" s="1" t="s">
        <v>3996</v>
      </c>
      <c r="N184" s="1" t="s">
        <v>13</v>
      </c>
      <c r="O184" s="1" t="s">
        <v>3996</v>
      </c>
      <c r="P184" s="1" t="s">
        <v>13</v>
      </c>
      <c r="Q184" s="1" t="s">
        <v>14</v>
      </c>
      <c r="R184" s="1" t="s">
        <v>37</v>
      </c>
      <c r="S184" s="1" t="s">
        <v>4009</v>
      </c>
      <c r="T184" s="4">
        <v>0.4</v>
      </c>
    </row>
    <row r="185" spans="1:20">
      <c r="A185" s="1" t="s">
        <v>3981</v>
      </c>
      <c r="B185" s="1" t="s">
        <v>312</v>
      </c>
      <c r="C185" s="1" t="s">
        <v>3982</v>
      </c>
      <c r="D185" s="1" t="s">
        <v>301</v>
      </c>
      <c r="E185" s="2">
        <v>45709</v>
      </c>
      <c r="F185" s="2">
        <v>45702</v>
      </c>
      <c r="G185" s="1" t="s">
        <v>4008</v>
      </c>
      <c r="H185" s="3" t="s">
        <v>25</v>
      </c>
      <c r="I185" s="1" t="s">
        <v>3984</v>
      </c>
      <c r="J185" s="1" t="s">
        <v>12</v>
      </c>
      <c r="K185" s="3" t="s">
        <v>3995</v>
      </c>
      <c r="L185" s="1" t="s">
        <v>3987</v>
      </c>
      <c r="M185" s="1" t="s">
        <v>3996</v>
      </c>
      <c r="N185" s="1" t="s">
        <v>13</v>
      </c>
      <c r="O185" s="1" t="s">
        <v>3996</v>
      </c>
      <c r="P185" s="1" t="s">
        <v>13</v>
      </c>
      <c r="Q185" s="1" t="s">
        <v>28</v>
      </c>
      <c r="R185" s="1" t="s">
        <v>29</v>
      </c>
      <c r="S185" s="1" t="s">
        <v>4009</v>
      </c>
      <c r="T185" s="4">
        <v>0.5</v>
      </c>
    </row>
    <row r="186" spans="1:20">
      <c r="A186" s="1" t="s">
        <v>3981</v>
      </c>
      <c r="B186" s="1" t="s">
        <v>312</v>
      </c>
      <c r="C186" s="1" t="s">
        <v>3982</v>
      </c>
      <c r="D186" s="1" t="s">
        <v>301</v>
      </c>
      <c r="E186" s="2">
        <v>45709</v>
      </c>
      <c r="F186" s="2">
        <v>45702</v>
      </c>
      <c r="G186" s="1" t="s">
        <v>4008</v>
      </c>
      <c r="H186" s="3" t="s">
        <v>25</v>
      </c>
      <c r="I186" s="1" t="s">
        <v>3984</v>
      </c>
      <c r="J186" s="1" t="s">
        <v>12</v>
      </c>
      <c r="K186" s="3" t="s">
        <v>3995</v>
      </c>
      <c r="L186" s="1" t="s">
        <v>3987</v>
      </c>
      <c r="M186" s="1" t="s">
        <v>3996</v>
      </c>
      <c r="N186" s="1" t="s">
        <v>13</v>
      </c>
      <c r="O186" s="1" t="s">
        <v>3996</v>
      </c>
      <c r="P186" s="1" t="s">
        <v>13</v>
      </c>
      <c r="Q186" s="1" t="s">
        <v>44</v>
      </c>
      <c r="R186" s="1" t="s">
        <v>45</v>
      </c>
      <c r="S186" s="1" t="s">
        <v>4009</v>
      </c>
      <c r="T186" s="4">
        <v>4.4000000000000004</v>
      </c>
    </row>
    <row r="187" spans="1:20">
      <c r="A187" s="1" t="s">
        <v>3981</v>
      </c>
      <c r="B187" s="1" t="s">
        <v>312</v>
      </c>
      <c r="C187" s="1" t="s">
        <v>3982</v>
      </c>
      <c r="D187" s="1" t="s">
        <v>301</v>
      </c>
      <c r="E187" s="2">
        <v>45709</v>
      </c>
      <c r="F187" s="2">
        <v>45702</v>
      </c>
      <c r="G187" s="1" t="s">
        <v>4008</v>
      </c>
      <c r="H187" s="3" t="s">
        <v>25</v>
      </c>
      <c r="I187" s="1" t="s">
        <v>3984</v>
      </c>
      <c r="J187" s="1" t="s">
        <v>12</v>
      </c>
      <c r="K187" s="3" t="s">
        <v>3995</v>
      </c>
      <c r="L187" s="1" t="s">
        <v>3987</v>
      </c>
      <c r="M187" s="1" t="s">
        <v>3996</v>
      </c>
      <c r="N187" s="1" t="s">
        <v>13</v>
      </c>
      <c r="O187" s="1" t="s">
        <v>3996</v>
      </c>
      <c r="P187" s="1" t="s">
        <v>13</v>
      </c>
      <c r="Q187" s="1" t="s">
        <v>38</v>
      </c>
      <c r="R187" s="1" t="s">
        <v>46</v>
      </c>
      <c r="S187" s="1" t="s">
        <v>4009</v>
      </c>
      <c r="T187" s="4">
        <v>2.5</v>
      </c>
    </row>
    <row r="188" spans="1:20">
      <c r="A188" s="1" t="s">
        <v>3981</v>
      </c>
      <c r="B188" s="1" t="s">
        <v>312</v>
      </c>
      <c r="C188" s="1" t="s">
        <v>3982</v>
      </c>
      <c r="D188" s="1" t="s">
        <v>301</v>
      </c>
      <c r="E188" s="2">
        <v>45709</v>
      </c>
      <c r="F188" s="2">
        <v>45702</v>
      </c>
      <c r="G188" s="1" t="s">
        <v>4008</v>
      </c>
      <c r="H188" s="3" t="s">
        <v>25</v>
      </c>
      <c r="I188" s="1" t="s">
        <v>3984</v>
      </c>
      <c r="J188" s="1" t="s">
        <v>12</v>
      </c>
      <c r="K188" s="3" t="s">
        <v>3995</v>
      </c>
      <c r="L188" s="1" t="s">
        <v>3987</v>
      </c>
      <c r="M188" s="1" t="s">
        <v>3996</v>
      </c>
      <c r="N188" s="1" t="s">
        <v>13</v>
      </c>
      <c r="O188" s="1" t="s">
        <v>3996</v>
      </c>
      <c r="P188" s="1" t="s">
        <v>13</v>
      </c>
      <c r="Q188" s="1" t="s">
        <v>38</v>
      </c>
      <c r="R188" s="1" t="s">
        <v>51</v>
      </c>
      <c r="S188" s="1" t="s">
        <v>4009</v>
      </c>
      <c r="T188" s="4">
        <v>0.8</v>
      </c>
    </row>
    <row r="189" spans="1:20">
      <c r="A189" s="1" t="s">
        <v>3981</v>
      </c>
      <c r="B189" s="1" t="s">
        <v>312</v>
      </c>
      <c r="C189" s="1" t="s">
        <v>3982</v>
      </c>
      <c r="D189" s="1" t="s">
        <v>301</v>
      </c>
      <c r="E189" s="2">
        <v>45709</v>
      </c>
      <c r="F189" s="2">
        <v>45702</v>
      </c>
      <c r="G189" s="1" t="s">
        <v>4008</v>
      </c>
      <c r="H189" s="3" t="s">
        <v>25</v>
      </c>
      <c r="I189" s="1" t="s">
        <v>3984</v>
      </c>
      <c r="J189" s="1" t="s">
        <v>12</v>
      </c>
      <c r="K189" s="3" t="s">
        <v>3995</v>
      </c>
      <c r="L189" s="1" t="s">
        <v>3987</v>
      </c>
      <c r="M189" s="1" t="s">
        <v>3996</v>
      </c>
      <c r="N189" s="1" t="s">
        <v>13</v>
      </c>
      <c r="O189" s="1" t="s">
        <v>3996</v>
      </c>
      <c r="P189" s="1" t="s">
        <v>13</v>
      </c>
      <c r="Q189" s="1" t="s">
        <v>38</v>
      </c>
      <c r="R189" s="1" t="s">
        <v>52</v>
      </c>
      <c r="S189" s="1" t="s">
        <v>4009</v>
      </c>
      <c r="T189" s="4">
        <v>2.7</v>
      </c>
    </row>
    <row r="190" spans="1:20">
      <c r="A190" s="1" t="s">
        <v>3981</v>
      </c>
      <c r="B190" s="1" t="s">
        <v>312</v>
      </c>
      <c r="C190" s="1" t="s">
        <v>3982</v>
      </c>
      <c r="D190" s="1" t="s">
        <v>301</v>
      </c>
      <c r="E190" s="2">
        <v>45709</v>
      </c>
      <c r="F190" s="2">
        <v>45702</v>
      </c>
      <c r="G190" s="1" t="s">
        <v>4008</v>
      </c>
      <c r="H190" s="3" t="s">
        <v>25</v>
      </c>
      <c r="I190" s="1" t="s">
        <v>3984</v>
      </c>
      <c r="J190" s="1" t="s">
        <v>12</v>
      </c>
      <c r="K190" s="3" t="s">
        <v>3995</v>
      </c>
      <c r="L190" s="1" t="s">
        <v>3987</v>
      </c>
      <c r="M190" s="1" t="s">
        <v>3996</v>
      </c>
      <c r="N190" s="1" t="s">
        <v>13</v>
      </c>
      <c r="O190" s="1" t="s">
        <v>3996</v>
      </c>
      <c r="P190" s="1" t="s">
        <v>13</v>
      </c>
      <c r="Q190" s="1" t="s">
        <v>30</v>
      </c>
      <c r="R190" s="1" t="s">
        <v>31</v>
      </c>
      <c r="S190" s="1" t="s">
        <v>4009</v>
      </c>
      <c r="T190" s="4">
        <v>4</v>
      </c>
    </row>
    <row r="191" spans="1:20">
      <c r="A191" s="1" t="s">
        <v>3981</v>
      </c>
      <c r="B191" s="1" t="s">
        <v>312</v>
      </c>
      <c r="C191" s="1" t="s">
        <v>3982</v>
      </c>
      <c r="D191" s="1" t="s">
        <v>301</v>
      </c>
      <c r="E191" s="2">
        <v>45709</v>
      </c>
      <c r="F191" s="2">
        <v>45702</v>
      </c>
      <c r="G191" s="1" t="s">
        <v>4008</v>
      </c>
      <c r="H191" s="3" t="s">
        <v>25</v>
      </c>
      <c r="I191" s="1" t="s">
        <v>3984</v>
      </c>
      <c r="J191" s="1" t="s">
        <v>12</v>
      </c>
      <c r="K191" s="3" t="s">
        <v>3995</v>
      </c>
      <c r="L191" s="1" t="s">
        <v>3987</v>
      </c>
      <c r="M191" s="1" t="s">
        <v>3996</v>
      </c>
      <c r="N191" s="1" t="s">
        <v>13</v>
      </c>
      <c r="O191" s="1" t="s">
        <v>3996</v>
      </c>
      <c r="P191" s="1" t="s">
        <v>13</v>
      </c>
      <c r="Q191" s="1" t="s">
        <v>30</v>
      </c>
      <c r="R191" s="1" t="s">
        <v>62</v>
      </c>
      <c r="S191" s="1" t="s">
        <v>4009</v>
      </c>
      <c r="T191" s="4">
        <v>2.5</v>
      </c>
    </row>
    <row r="192" spans="1:20">
      <c r="A192" s="1" t="s">
        <v>3981</v>
      </c>
      <c r="B192" s="1" t="s">
        <v>312</v>
      </c>
      <c r="C192" s="1" t="s">
        <v>3982</v>
      </c>
      <c r="D192" s="1" t="s">
        <v>301</v>
      </c>
      <c r="E192" s="2">
        <v>45709</v>
      </c>
      <c r="F192" s="2">
        <v>45709</v>
      </c>
      <c r="G192" s="1" t="s">
        <v>3983</v>
      </c>
      <c r="H192" s="3" t="s">
        <v>32</v>
      </c>
      <c r="I192" s="1" t="s">
        <v>3984</v>
      </c>
      <c r="J192" s="1" t="s">
        <v>12</v>
      </c>
      <c r="K192" s="3" t="s">
        <v>3995</v>
      </c>
      <c r="L192" s="1" t="s">
        <v>3987</v>
      </c>
      <c r="M192" s="1" t="s">
        <v>3996</v>
      </c>
      <c r="N192" s="1" t="s">
        <v>13</v>
      </c>
      <c r="O192" s="1" t="s">
        <v>3996</v>
      </c>
      <c r="P192" s="1" t="s">
        <v>13</v>
      </c>
      <c r="Q192" s="1" t="s">
        <v>14</v>
      </c>
      <c r="R192" s="1" t="s">
        <v>54</v>
      </c>
      <c r="S192" s="1" t="s">
        <v>3989</v>
      </c>
      <c r="T192" s="4">
        <v>17.5</v>
      </c>
    </row>
    <row r="193" spans="1:20">
      <c r="A193" s="1" t="s">
        <v>3981</v>
      </c>
      <c r="B193" s="1" t="s">
        <v>312</v>
      </c>
      <c r="C193" s="1" t="s">
        <v>3982</v>
      </c>
      <c r="D193" s="1" t="s">
        <v>301</v>
      </c>
      <c r="E193" s="2">
        <v>45709</v>
      </c>
      <c r="F193" s="2">
        <v>45709</v>
      </c>
      <c r="G193" s="1" t="s">
        <v>3983</v>
      </c>
      <c r="H193" s="3" t="s">
        <v>32</v>
      </c>
      <c r="I193" s="1" t="s">
        <v>3984</v>
      </c>
      <c r="J193" s="1" t="s">
        <v>12</v>
      </c>
      <c r="K193" s="3" t="s">
        <v>3995</v>
      </c>
      <c r="L193" s="1" t="s">
        <v>3987</v>
      </c>
      <c r="M193" s="1" t="s">
        <v>3996</v>
      </c>
      <c r="N193" s="1" t="s">
        <v>13</v>
      </c>
      <c r="O193" s="1" t="s">
        <v>3996</v>
      </c>
      <c r="P193" s="1" t="s">
        <v>13</v>
      </c>
      <c r="Q193" s="1" t="s">
        <v>44</v>
      </c>
      <c r="R193" s="1" t="s">
        <v>47</v>
      </c>
      <c r="S193" s="1" t="s">
        <v>3989</v>
      </c>
      <c r="T193" s="4">
        <v>21.5</v>
      </c>
    </row>
    <row r="194" spans="1:20">
      <c r="A194" s="1" t="s">
        <v>3981</v>
      </c>
      <c r="B194" s="1" t="s">
        <v>312</v>
      </c>
      <c r="C194" s="1" t="s">
        <v>3982</v>
      </c>
      <c r="D194" s="1" t="s">
        <v>301</v>
      </c>
      <c r="E194" s="2">
        <v>45709</v>
      </c>
      <c r="F194" s="2">
        <v>45709</v>
      </c>
      <c r="G194" s="1" t="s">
        <v>3983</v>
      </c>
      <c r="H194" s="3" t="s">
        <v>32</v>
      </c>
      <c r="I194" s="1" t="s">
        <v>3984</v>
      </c>
      <c r="J194" s="1" t="s">
        <v>12</v>
      </c>
      <c r="K194" s="3" t="s">
        <v>3995</v>
      </c>
      <c r="L194" s="1" t="s">
        <v>3987</v>
      </c>
      <c r="M194" s="1" t="s">
        <v>3996</v>
      </c>
      <c r="N194" s="1" t="s">
        <v>13</v>
      </c>
      <c r="O194" s="1" t="s">
        <v>3996</v>
      </c>
      <c r="P194" s="1" t="s">
        <v>13</v>
      </c>
      <c r="Q194" s="1" t="s">
        <v>44</v>
      </c>
      <c r="R194" s="1" t="s">
        <v>48</v>
      </c>
      <c r="S194" s="1" t="s">
        <v>3989</v>
      </c>
      <c r="T194" s="4">
        <v>2.5</v>
      </c>
    </row>
    <row r="195" spans="1:20">
      <c r="A195" s="1" t="s">
        <v>3981</v>
      </c>
      <c r="B195" s="1" t="s">
        <v>312</v>
      </c>
      <c r="C195" s="1" t="s">
        <v>3982</v>
      </c>
      <c r="D195" s="1" t="s">
        <v>301</v>
      </c>
      <c r="E195" s="2">
        <v>45709</v>
      </c>
      <c r="F195" s="2">
        <v>45709</v>
      </c>
      <c r="G195" s="1" t="s">
        <v>3983</v>
      </c>
      <c r="H195" s="3" t="s">
        <v>32</v>
      </c>
      <c r="I195" s="1" t="s">
        <v>3984</v>
      </c>
      <c r="J195" s="1" t="s">
        <v>12</v>
      </c>
      <c r="K195" s="3" t="s">
        <v>3995</v>
      </c>
      <c r="L195" s="1" t="s">
        <v>3987</v>
      </c>
      <c r="M195" s="1" t="s">
        <v>3996</v>
      </c>
      <c r="N195" s="1" t="s">
        <v>13</v>
      </c>
      <c r="O195" s="1" t="s">
        <v>3996</v>
      </c>
      <c r="P195" s="1" t="s">
        <v>13</v>
      </c>
      <c r="Q195" s="1" t="s">
        <v>16</v>
      </c>
      <c r="R195" s="1" t="s">
        <v>17</v>
      </c>
      <c r="S195" s="1" t="s">
        <v>3989</v>
      </c>
      <c r="T195" s="4">
        <v>2.5</v>
      </c>
    </row>
    <row r="196" spans="1:20">
      <c r="A196" s="1" t="s">
        <v>3981</v>
      </c>
      <c r="B196" s="1" t="s">
        <v>312</v>
      </c>
      <c r="C196" s="1" t="s">
        <v>3982</v>
      </c>
      <c r="D196" s="1" t="s">
        <v>301</v>
      </c>
      <c r="E196" s="2">
        <v>45709</v>
      </c>
      <c r="F196" s="2">
        <v>45709</v>
      </c>
      <c r="G196" s="1" t="s">
        <v>3983</v>
      </c>
      <c r="H196" s="3" t="s">
        <v>32</v>
      </c>
      <c r="I196" s="1" t="s">
        <v>3984</v>
      </c>
      <c r="J196" s="1" t="s">
        <v>12</v>
      </c>
      <c r="K196" s="3" t="s">
        <v>3995</v>
      </c>
      <c r="L196" s="1" t="s">
        <v>4002</v>
      </c>
      <c r="M196" s="1" t="s">
        <v>4003</v>
      </c>
      <c r="N196" s="1" t="s">
        <v>13</v>
      </c>
      <c r="O196" s="1" t="s">
        <v>4003</v>
      </c>
      <c r="P196" s="1" t="s">
        <v>13</v>
      </c>
      <c r="Q196" s="1" t="s">
        <v>4004</v>
      </c>
      <c r="R196" s="1" t="s">
        <v>4037</v>
      </c>
      <c r="S196" s="1" t="s">
        <v>3989</v>
      </c>
      <c r="T196" s="4">
        <v>4</v>
      </c>
    </row>
    <row r="197" spans="1:20">
      <c r="A197" s="1" t="s">
        <v>3981</v>
      </c>
      <c r="B197" s="1" t="s">
        <v>312</v>
      </c>
      <c r="C197" s="1" t="s">
        <v>3982</v>
      </c>
      <c r="D197" s="1" t="s">
        <v>301</v>
      </c>
      <c r="E197" s="2">
        <v>45709</v>
      </c>
      <c r="F197" s="2">
        <v>45709</v>
      </c>
      <c r="G197" s="1" t="s">
        <v>3990</v>
      </c>
      <c r="H197" s="3" t="s">
        <v>11</v>
      </c>
      <c r="I197" s="1" t="s">
        <v>3984</v>
      </c>
      <c r="J197" s="1" t="s">
        <v>3985</v>
      </c>
      <c r="K197" s="3" t="s">
        <v>3986</v>
      </c>
      <c r="L197" s="1" t="s">
        <v>3987</v>
      </c>
      <c r="M197" s="1" t="s">
        <v>13</v>
      </c>
      <c r="N197" s="1" t="s">
        <v>13</v>
      </c>
      <c r="O197" s="1" t="s">
        <v>3988</v>
      </c>
      <c r="P197" s="1" t="s">
        <v>13</v>
      </c>
      <c r="Q197" s="1" t="s">
        <v>13</v>
      </c>
      <c r="R197" s="1" t="s">
        <v>13</v>
      </c>
      <c r="S197" s="1" t="s">
        <v>3994</v>
      </c>
      <c r="T197" s="4">
        <v>25.2</v>
      </c>
    </row>
    <row r="198" spans="1:20">
      <c r="A198" s="1" t="s">
        <v>3981</v>
      </c>
      <c r="B198" s="1" t="s">
        <v>312</v>
      </c>
      <c r="C198" s="1" t="s">
        <v>3982</v>
      </c>
      <c r="D198" s="1" t="s">
        <v>301</v>
      </c>
      <c r="E198" s="2">
        <v>45709</v>
      </c>
      <c r="F198" s="2">
        <v>45709</v>
      </c>
      <c r="G198" s="1" t="s">
        <v>3990</v>
      </c>
      <c r="H198" s="3" t="s">
        <v>11</v>
      </c>
      <c r="I198" s="1" t="s">
        <v>3984</v>
      </c>
      <c r="J198" s="1" t="s">
        <v>12</v>
      </c>
      <c r="K198" s="3" t="s">
        <v>3995</v>
      </c>
      <c r="L198" s="1" t="s">
        <v>3987</v>
      </c>
      <c r="M198" s="1" t="s">
        <v>3999</v>
      </c>
      <c r="N198" s="1" t="s">
        <v>13</v>
      </c>
      <c r="O198" s="1" t="s">
        <v>3999</v>
      </c>
      <c r="P198" s="1" t="s">
        <v>13</v>
      </c>
      <c r="Q198" s="1" t="s">
        <v>4000</v>
      </c>
      <c r="R198" s="1" t="s">
        <v>4001</v>
      </c>
      <c r="S198" s="1" t="s">
        <v>3994</v>
      </c>
      <c r="T198" s="4">
        <v>2.4</v>
      </c>
    </row>
    <row r="199" spans="1:20">
      <c r="A199" s="1" t="s">
        <v>3981</v>
      </c>
      <c r="B199" s="1" t="s">
        <v>312</v>
      </c>
      <c r="C199" s="1" t="s">
        <v>3982</v>
      </c>
      <c r="D199" s="1" t="s">
        <v>301</v>
      </c>
      <c r="E199" s="2">
        <v>45709</v>
      </c>
      <c r="F199" s="2">
        <v>45709</v>
      </c>
      <c r="G199" s="1" t="s">
        <v>3990</v>
      </c>
      <c r="H199" s="3" t="s">
        <v>11</v>
      </c>
      <c r="I199" s="1" t="s">
        <v>3984</v>
      </c>
      <c r="J199" s="1" t="s">
        <v>12</v>
      </c>
      <c r="K199" s="3" t="s">
        <v>3995</v>
      </c>
      <c r="L199" s="1" t="s">
        <v>3987</v>
      </c>
      <c r="M199" s="1" t="s">
        <v>3996</v>
      </c>
      <c r="N199" s="1" t="s">
        <v>13</v>
      </c>
      <c r="O199" s="1" t="s">
        <v>3996</v>
      </c>
      <c r="P199" s="1" t="s">
        <v>13</v>
      </c>
      <c r="Q199" s="1" t="s">
        <v>14</v>
      </c>
      <c r="R199" s="1" t="s">
        <v>37</v>
      </c>
      <c r="S199" s="1" t="s">
        <v>3994</v>
      </c>
      <c r="T199" s="4">
        <v>1</v>
      </c>
    </row>
    <row r="200" spans="1:20">
      <c r="A200" s="1" t="s">
        <v>3981</v>
      </c>
      <c r="B200" s="1" t="s">
        <v>312</v>
      </c>
      <c r="C200" s="1" t="s">
        <v>3982</v>
      </c>
      <c r="D200" s="1" t="s">
        <v>301</v>
      </c>
      <c r="E200" s="2">
        <v>45709</v>
      </c>
      <c r="F200" s="2">
        <v>45709</v>
      </c>
      <c r="G200" s="1" t="s">
        <v>3990</v>
      </c>
      <c r="H200" s="3" t="s">
        <v>11</v>
      </c>
      <c r="I200" s="1" t="s">
        <v>3984</v>
      </c>
      <c r="J200" s="1" t="s">
        <v>12</v>
      </c>
      <c r="K200" s="3" t="s">
        <v>3995</v>
      </c>
      <c r="L200" s="1" t="s">
        <v>3987</v>
      </c>
      <c r="M200" s="1" t="s">
        <v>3996</v>
      </c>
      <c r="N200" s="1" t="s">
        <v>13</v>
      </c>
      <c r="O200" s="1" t="s">
        <v>3996</v>
      </c>
      <c r="P200" s="1" t="s">
        <v>13</v>
      </c>
      <c r="Q200" s="1" t="s">
        <v>14</v>
      </c>
      <c r="R200" s="1" t="s">
        <v>15</v>
      </c>
      <c r="S200" s="1" t="s">
        <v>3994</v>
      </c>
      <c r="T200" s="4">
        <v>1.6</v>
      </c>
    </row>
    <row r="201" spans="1:20">
      <c r="A201" s="1" t="s">
        <v>3981</v>
      </c>
      <c r="B201" s="1" t="s">
        <v>312</v>
      </c>
      <c r="C201" s="1" t="s">
        <v>3982</v>
      </c>
      <c r="D201" s="1" t="s">
        <v>301</v>
      </c>
      <c r="E201" s="2">
        <v>45709</v>
      </c>
      <c r="F201" s="2">
        <v>45709</v>
      </c>
      <c r="G201" s="1" t="s">
        <v>3990</v>
      </c>
      <c r="H201" s="3" t="s">
        <v>11</v>
      </c>
      <c r="I201" s="1" t="s">
        <v>3984</v>
      </c>
      <c r="J201" s="1" t="s">
        <v>12</v>
      </c>
      <c r="K201" s="3" t="s">
        <v>3995</v>
      </c>
      <c r="L201" s="1" t="s">
        <v>3987</v>
      </c>
      <c r="M201" s="1" t="s">
        <v>3996</v>
      </c>
      <c r="N201" s="1" t="s">
        <v>13</v>
      </c>
      <c r="O201" s="1" t="s">
        <v>3996</v>
      </c>
      <c r="P201" s="1" t="s">
        <v>13</v>
      </c>
      <c r="Q201" s="1" t="s">
        <v>44</v>
      </c>
      <c r="R201" s="1" t="s">
        <v>64</v>
      </c>
      <c r="S201" s="1" t="s">
        <v>3994</v>
      </c>
      <c r="T201" s="4">
        <v>1.7</v>
      </c>
    </row>
    <row r="202" spans="1:20">
      <c r="A202" s="1" t="s">
        <v>3981</v>
      </c>
      <c r="B202" s="1" t="s">
        <v>312</v>
      </c>
      <c r="C202" s="1" t="s">
        <v>3982</v>
      </c>
      <c r="D202" s="1" t="s">
        <v>301</v>
      </c>
      <c r="E202" s="2">
        <v>45709</v>
      </c>
      <c r="F202" s="2">
        <v>45709</v>
      </c>
      <c r="G202" s="1" t="s">
        <v>3990</v>
      </c>
      <c r="H202" s="3" t="s">
        <v>11</v>
      </c>
      <c r="I202" s="1" t="s">
        <v>3984</v>
      </c>
      <c r="J202" s="1" t="s">
        <v>12</v>
      </c>
      <c r="K202" s="3" t="s">
        <v>3995</v>
      </c>
      <c r="L202" s="1" t="s">
        <v>3987</v>
      </c>
      <c r="M202" s="1" t="s">
        <v>3996</v>
      </c>
      <c r="N202" s="1" t="s">
        <v>13</v>
      </c>
      <c r="O202" s="1" t="s">
        <v>3996</v>
      </c>
      <c r="P202" s="1" t="s">
        <v>13</v>
      </c>
      <c r="Q202" s="1" t="s">
        <v>16</v>
      </c>
      <c r="R202" s="1" t="s">
        <v>17</v>
      </c>
      <c r="S202" s="1" t="s">
        <v>3994</v>
      </c>
      <c r="T202" s="4">
        <v>6.2</v>
      </c>
    </row>
    <row r="203" spans="1:20">
      <c r="A203" s="1" t="s">
        <v>3981</v>
      </c>
      <c r="B203" s="1" t="s">
        <v>312</v>
      </c>
      <c r="C203" s="1" t="s">
        <v>3982</v>
      </c>
      <c r="D203" s="1" t="s">
        <v>301</v>
      </c>
      <c r="E203" s="2">
        <v>45709</v>
      </c>
      <c r="F203" s="2">
        <v>45709</v>
      </c>
      <c r="G203" s="1" t="s">
        <v>3990</v>
      </c>
      <c r="H203" s="3" t="s">
        <v>11</v>
      </c>
      <c r="I203" s="1" t="s">
        <v>3984</v>
      </c>
      <c r="J203" s="1" t="s">
        <v>12</v>
      </c>
      <c r="K203" s="3" t="s">
        <v>3995</v>
      </c>
      <c r="L203" s="1" t="s">
        <v>3987</v>
      </c>
      <c r="M203" s="1" t="s">
        <v>3996</v>
      </c>
      <c r="N203" s="1" t="s">
        <v>13</v>
      </c>
      <c r="O203" s="1" t="s">
        <v>3996</v>
      </c>
      <c r="P203" s="1" t="s">
        <v>13</v>
      </c>
      <c r="Q203" s="1" t="s">
        <v>16</v>
      </c>
      <c r="R203" s="1" t="s">
        <v>61</v>
      </c>
      <c r="S203" s="1" t="s">
        <v>3994</v>
      </c>
      <c r="T203" s="4">
        <v>3.8</v>
      </c>
    </row>
    <row r="204" spans="1:20">
      <c r="A204" s="1" t="s">
        <v>3981</v>
      </c>
      <c r="B204" s="1" t="s">
        <v>312</v>
      </c>
      <c r="C204" s="1" t="s">
        <v>3982</v>
      </c>
      <c r="D204" s="1" t="s">
        <v>301</v>
      </c>
      <c r="E204" s="2">
        <v>45709</v>
      </c>
      <c r="F204" s="2">
        <v>45709</v>
      </c>
      <c r="G204" s="1" t="s">
        <v>3990</v>
      </c>
      <c r="H204" s="3" t="s">
        <v>11</v>
      </c>
      <c r="I204" s="1" t="s">
        <v>3984</v>
      </c>
      <c r="J204" s="1" t="s">
        <v>12</v>
      </c>
      <c r="K204" s="3" t="s">
        <v>3995</v>
      </c>
      <c r="L204" s="1" t="s">
        <v>3987</v>
      </c>
      <c r="M204" s="1" t="s">
        <v>4029</v>
      </c>
      <c r="N204" s="1" t="s">
        <v>13</v>
      </c>
      <c r="O204" s="1" t="s">
        <v>4029</v>
      </c>
      <c r="P204" s="1" t="s">
        <v>13</v>
      </c>
      <c r="Q204" s="1" t="s">
        <v>4030</v>
      </c>
      <c r="R204" s="1" t="s">
        <v>4031</v>
      </c>
      <c r="S204" s="1" t="s">
        <v>3994</v>
      </c>
      <c r="T204" s="4">
        <v>2</v>
      </c>
    </row>
    <row r="205" spans="1:20">
      <c r="A205" s="1" t="s">
        <v>3981</v>
      </c>
      <c r="B205" s="1" t="s">
        <v>312</v>
      </c>
      <c r="C205" s="1" t="s">
        <v>3982</v>
      </c>
      <c r="D205" s="1" t="s">
        <v>301</v>
      </c>
      <c r="E205" s="2">
        <v>45709</v>
      </c>
      <c r="F205" s="2">
        <v>45709</v>
      </c>
      <c r="G205" s="1" t="s">
        <v>3997</v>
      </c>
      <c r="H205" s="3" t="s">
        <v>41</v>
      </c>
      <c r="I205" s="1" t="s">
        <v>3984</v>
      </c>
      <c r="J205" s="1" t="s">
        <v>3985</v>
      </c>
      <c r="K205" s="3" t="s">
        <v>3986</v>
      </c>
      <c r="L205" s="1" t="s">
        <v>3987</v>
      </c>
      <c r="M205" s="1" t="s">
        <v>13</v>
      </c>
      <c r="N205" s="1" t="s">
        <v>13</v>
      </c>
      <c r="O205" s="1" t="s">
        <v>3988</v>
      </c>
      <c r="P205" s="1" t="s">
        <v>13</v>
      </c>
      <c r="Q205" s="1" t="s">
        <v>13</v>
      </c>
      <c r="R205" s="1" t="s">
        <v>13</v>
      </c>
      <c r="S205" s="1" t="s">
        <v>3998</v>
      </c>
      <c r="T205" s="4">
        <v>13</v>
      </c>
    </row>
    <row r="206" spans="1:20">
      <c r="A206" s="1" t="s">
        <v>3981</v>
      </c>
      <c r="B206" s="1" t="s">
        <v>312</v>
      </c>
      <c r="C206" s="1" t="s">
        <v>3982</v>
      </c>
      <c r="D206" s="1" t="s">
        <v>301</v>
      </c>
      <c r="E206" s="2">
        <v>45709</v>
      </c>
      <c r="F206" s="2">
        <v>45709</v>
      </c>
      <c r="G206" s="1" t="s">
        <v>3997</v>
      </c>
      <c r="H206" s="3" t="s">
        <v>41</v>
      </c>
      <c r="I206" s="1" t="s">
        <v>3984</v>
      </c>
      <c r="J206" s="1" t="s">
        <v>12</v>
      </c>
      <c r="K206" s="3" t="s">
        <v>3995</v>
      </c>
      <c r="L206" s="1" t="s">
        <v>3987</v>
      </c>
      <c r="M206" s="1" t="s">
        <v>3999</v>
      </c>
      <c r="N206" s="1" t="s">
        <v>13</v>
      </c>
      <c r="O206" s="1" t="s">
        <v>3999</v>
      </c>
      <c r="P206" s="1" t="s">
        <v>13</v>
      </c>
      <c r="Q206" s="1" t="s">
        <v>4000</v>
      </c>
      <c r="R206" s="1" t="s">
        <v>4001</v>
      </c>
      <c r="S206" s="1" t="s">
        <v>3998</v>
      </c>
      <c r="T206" s="4">
        <v>6.5</v>
      </c>
    </row>
    <row r="207" spans="1:20">
      <c r="A207" s="1" t="s">
        <v>3981</v>
      </c>
      <c r="B207" s="1" t="s">
        <v>312</v>
      </c>
      <c r="C207" s="1" t="s">
        <v>3982</v>
      </c>
      <c r="D207" s="1" t="s">
        <v>301</v>
      </c>
      <c r="E207" s="2">
        <v>45709</v>
      </c>
      <c r="F207" s="2">
        <v>45709</v>
      </c>
      <c r="G207" s="1" t="s">
        <v>3997</v>
      </c>
      <c r="H207" s="3" t="s">
        <v>41</v>
      </c>
      <c r="I207" s="1" t="s">
        <v>3984</v>
      </c>
      <c r="J207" s="1" t="s">
        <v>12</v>
      </c>
      <c r="K207" s="3" t="s">
        <v>3995</v>
      </c>
      <c r="L207" s="1" t="s">
        <v>4002</v>
      </c>
      <c r="M207" s="1" t="s">
        <v>4003</v>
      </c>
      <c r="N207" s="1" t="s">
        <v>13</v>
      </c>
      <c r="O207" s="1" t="s">
        <v>4003</v>
      </c>
      <c r="P207" s="1" t="s">
        <v>13</v>
      </c>
      <c r="Q207" s="1" t="s">
        <v>4004</v>
      </c>
      <c r="R207" s="1" t="s">
        <v>4001</v>
      </c>
      <c r="S207" s="1" t="s">
        <v>3998</v>
      </c>
      <c r="T207" s="4">
        <v>14.5</v>
      </c>
    </row>
    <row r="208" spans="1:20">
      <c r="A208" s="1" t="s">
        <v>3981</v>
      </c>
      <c r="B208" s="1" t="s">
        <v>312</v>
      </c>
      <c r="C208" s="1" t="s">
        <v>3982</v>
      </c>
      <c r="D208" s="1" t="s">
        <v>301</v>
      </c>
      <c r="E208" s="2">
        <v>45709</v>
      </c>
      <c r="F208" s="2">
        <v>45709</v>
      </c>
      <c r="G208" s="1" t="s">
        <v>4005</v>
      </c>
      <c r="H208" s="3" t="s">
        <v>21</v>
      </c>
      <c r="I208" s="1" t="s">
        <v>3984</v>
      </c>
      <c r="J208" s="1" t="s">
        <v>3985</v>
      </c>
      <c r="K208" s="3" t="s">
        <v>3986</v>
      </c>
      <c r="L208" s="1" t="s">
        <v>3987</v>
      </c>
      <c r="M208" s="1" t="s">
        <v>13</v>
      </c>
      <c r="N208" s="1" t="s">
        <v>13</v>
      </c>
      <c r="O208" s="1" t="s">
        <v>3988</v>
      </c>
      <c r="P208" s="1" t="s">
        <v>13</v>
      </c>
      <c r="Q208" s="1" t="s">
        <v>13</v>
      </c>
      <c r="R208" s="1" t="s">
        <v>13</v>
      </c>
      <c r="S208" s="1" t="s">
        <v>4007</v>
      </c>
      <c r="T208" s="4">
        <v>4.4000000000000004</v>
      </c>
    </row>
    <row r="209" spans="1:20">
      <c r="A209" s="1" t="s">
        <v>3981</v>
      </c>
      <c r="B209" s="1" t="s">
        <v>312</v>
      </c>
      <c r="C209" s="1" t="s">
        <v>3982</v>
      </c>
      <c r="D209" s="1" t="s">
        <v>301</v>
      </c>
      <c r="E209" s="2">
        <v>45709</v>
      </c>
      <c r="F209" s="2">
        <v>45709</v>
      </c>
      <c r="G209" s="1" t="s">
        <v>4005</v>
      </c>
      <c r="H209" s="3" t="s">
        <v>21</v>
      </c>
      <c r="I209" s="1" t="s">
        <v>3984</v>
      </c>
      <c r="J209" s="1" t="s">
        <v>12</v>
      </c>
      <c r="K209" s="3" t="s">
        <v>3995</v>
      </c>
      <c r="L209" s="1" t="s">
        <v>3987</v>
      </c>
      <c r="M209" s="1" t="s">
        <v>3996</v>
      </c>
      <c r="N209" s="1" t="s">
        <v>13</v>
      </c>
      <c r="O209" s="1" t="s">
        <v>3996</v>
      </c>
      <c r="P209" s="1" t="s">
        <v>13</v>
      </c>
      <c r="Q209" s="1" t="s">
        <v>14</v>
      </c>
      <c r="R209" s="1" t="s">
        <v>24</v>
      </c>
      <c r="S209" s="1" t="s">
        <v>4007</v>
      </c>
      <c r="T209" s="4">
        <v>16</v>
      </c>
    </row>
    <row r="210" spans="1:20">
      <c r="A210" s="1" t="s">
        <v>3981</v>
      </c>
      <c r="B210" s="1" t="s">
        <v>312</v>
      </c>
      <c r="C210" s="1" t="s">
        <v>3982</v>
      </c>
      <c r="D210" s="1" t="s">
        <v>301</v>
      </c>
      <c r="E210" s="2">
        <v>45709</v>
      </c>
      <c r="F210" s="2">
        <v>45709</v>
      </c>
      <c r="G210" s="1" t="s">
        <v>4005</v>
      </c>
      <c r="H210" s="3" t="s">
        <v>21</v>
      </c>
      <c r="I210" s="1" t="s">
        <v>3984</v>
      </c>
      <c r="J210" s="1" t="s">
        <v>12</v>
      </c>
      <c r="K210" s="3" t="s">
        <v>3995</v>
      </c>
      <c r="L210" s="1" t="s">
        <v>3987</v>
      </c>
      <c r="M210" s="1" t="s">
        <v>3996</v>
      </c>
      <c r="N210" s="1" t="s">
        <v>13</v>
      </c>
      <c r="O210" s="1" t="s">
        <v>3996</v>
      </c>
      <c r="P210" s="1" t="s">
        <v>13</v>
      </c>
      <c r="Q210" s="1" t="s">
        <v>14</v>
      </c>
      <c r="R210" s="1" t="s">
        <v>42</v>
      </c>
      <c r="S210" s="1" t="s">
        <v>4007</v>
      </c>
      <c r="T210" s="4">
        <v>8.1</v>
      </c>
    </row>
    <row r="211" spans="1:20">
      <c r="A211" s="1" t="s">
        <v>3981</v>
      </c>
      <c r="B211" s="1" t="s">
        <v>312</v>
      </c>
      <c r="C211" s="1" t="s">
        <v>3982</v>
      </c>
      <c r="D211" s="1" t="s">
        <v>301</v>
      </c>
      <c r="E211" s="2">
        <v>45709</v>
      </c>
      <c r="F211" s="2">
        <v>45709</v>
      </c>
      <c r="G211" s="1" t="s">
        <v>4005</v>
      </c>
      <c r="H211" s="3" t="s">
        <v>21</v>
      </c>
      <c r="I211" s="1" t="s">
        <v>3984</v>
      </c>
      <c r="J211" s="1" t="s">
        <v>12</v>
      </c>
      <c r="K211" s="3" t="s">
        <v>3995</v>
      </c>
      <c r="L211" s="1" t="s">
        <v>3987</v>
      </c>
      <c r="M211" s="1" t="s">
        <v>3996</v>
      </c>
      <c r="N211" s="1" t="s">
        <v>13</v>
      </c>
      <c r="O211" s="1" t="s">
        <v>3996</v>
      </c>
      <c r="P211" s="1" t="s">
        <v>13</v>
      </c>
      <c r="Q211" s="1" t="s">
        <v>28</v>
      </c>
      <c r="R211" s="1" t="s">
        <v>58</v>
      </c>
      <c r="S211" s="1" t="s">
        <v>4007</v>
      </c>
      <c r="T211" s="4">
        <v>5.6</v>
      </c>
    </row>
    <row r="212" spans="1:20">
      <c r="A212" s="1" t="s">
        <v>3981</v>
      </c>
      <c r="B212" s="1" t="s">
        <v>312</v>
      </c>
      <c r="C212" s="1" t="s">
        <v>3982</v>
      </c>
      <c r="D212" s="1" t="s">
        <v>301</v>
      </c>
      <c r="E212" s="2">
        <v>45709</v>
      </c>
      <c r="F212" s="2">
        <v>45709</v>
      </c>
      <c r="G212" s="1" t="s">
        <v>4005</v>
      </c>
      <c r="H212" s="3" t="s">
        <v>21</v>
      </c>
      <c r="I212" s="1" t="s">
        <v>3984</v>
      </c>
      <c r="J212" s="1" t="s">
        <v>12</v>
      </c>
      <c r="K212" s="3" t="s">
        <v>3995</v>
      </c>
      <c r="L212" s="1" t="s">
        <v>3987</v>
      </c>
      <c r="M212" s="1" t="s">
        <v>3996</v>
      </c>
      <c r="N212" s="1" t="s">
        <v>13</v>
      </c>
      <c r="O212" s="1" t="s">
        <v>3996</v>
      </c>
      <c r="P212" s="1" t="s">
        <v>13</v>
      </c>
      <c r="Q212" s="1" t="s">
        <v>28</v>
      </c>
      <c r="R212" s="1" t="s">
        <v>29</v>
      </c>
      <c r="S212" s="1" t="s">
        <v>4007</v>
      </c>
      <c r="T212" s="4">
        <v>4.7</v>
      </c>
    </row>
    <row r="213" spans="1:20">
      <c r="A213" s="1" t="s">
        <v>3981</v>
      </c>
      <c r="B213" s="1" t="s">
        <v>312</v>
      </c>
      <c r="C213" s="1" t="s">
        <v>3982</v>
      </c>
      <c r="D213" s="1" t="s">
        <v>301</v>
      </c>
      <c r="E213" s="2">
        <v>45709</v>
      </c>
      <c r="F213" s="2">
        <v>45709</v>
      </c>
      <c r="G213" s="1" t="s">
        <v>4008</v>
      </c>
      <c r="H213" s="3" t="s">
        <v>25</v>
      </c>
      <c r="I213" s="1" t="s">
        <v>3984</v>
      </c>
      <c r="J213" s="1" t="s">
        <v>12</v>
      </c>
      <c r="K213" s="3" t="s">
        <v>3995</v>
      </c>
      <c r="L213" s="1" t="s">
        <v>4013</v>
      </c>
      <c r="M213" s="1" t="s">
        <v>4014</v>
      </c>
      <c r="N213" s="1" t="s">
        <v>13</v>
      </c>
      <c r="O213" s="1" t="s">
        <v>4014</v>
      </c>
      <c r="P213" s="1" t="s">
        <v>13</v>
      </c>
      <c r="Q213" s="1" t="s">
        <v>13</v>
      </c>
      <c r="R213" s="1" t="s">
        <v>13</v>
      </c>
      <c r="S213" s="1" t="s">
        <v>4009</v>
      </c>
      <c r="T213" s="4">
        <v>2.7</v>
      </c>
    </row>
    <row r="214" spans="1:20">
      <c r="A214" s="1" t="s">
        <v>3981</v>
      </c>
      <c r="B214" s="1" t="s">
        <v>312</v>
      </c>
      <c r="C214" s="1" t="s">
        <v>3982</v>
      </c>
      <c r="D214" s="1" t="s">
        <v>301</v>
      </c>
      <c r="E214" s="2">
        <v>45709</v>
      </c>
      <c r="F214" s="2">
        <v>45709</v>
      </c>
      <c r="G214" s="1" t="s">
        <v>4008</v>
      </c>
      <c r="H214" s="3" t="s">
        <v>25</v>
      </c>
      <c r="I214" s="1" t="s">
        <v>3984</v>
      </c>
      <c r="J214" s="1" t="s">
        <v>12</v>
      </c>
      <c r="K214" s="3" t="s">
        <v>3995</v>
      </c>
      <c r="L214" s="1" t="s">
        <v>4013</v>
      </c>
      <c r="M214" s="1" t="s">
        <v>4015</v>
      </c>
      <c r="N214" s="1" t="s">
        <v>4016</v>
      </c>
      <c r="O214" s="1" t="s">
        <v>13</v>
      </c>
      <c r="P214" s="1" t="s">
        <v>13</v>
      </c>
      <c r="Q214" s="1" t="s">
        <v>13</v>
      </c>
      <c r="R214" s="1" t="s">
        <v>13</v>
      </c>
      <c r="S214" s="1" t="s">
        <v>4009</v>
      </c>
      <c r="T214" s="4">
        <v>1.2</v>
      </c>
    </row>
    <row r="215" spans="1:20">
      <c r="A215" s="1" t="s">
        <v>3981</v>
      </c>
      <c r="B215" s="1" t="s">
        <v>312</v>
      </c>
      <c r="C215" s="1" t="s">
        <v>3982</v>
      </c>
      <c r="D215" s="1" t="s">
        <v>301</v>
      </c>
      <c r="E215" s="2">
        <v>45709</v>
      </c>
      <c r="F215" s="2">
        <v>45709</v>
      </c>
      <c r="G215" s="1" t="s">
        <v>4008</v>
      </c>
      <c r="H215" s="3" t="s">
        <v>25</v>
      </c>
      <c r="I215" s="1" t="s">
        <v>3984</v>
      </c>
      <c r="J215" s="1" t="s">
        <v>12</v>
      </c>
      <c r="K215" s="3" t="s">
        <v>3995</v>
      </c>
      <c r="L215" s="1" t="s">
        <v>4013</v>
      </c>
      <c r="M215" s="1" t="s">
        <v>4035</v>
      </c>
      <c r="N215" s="1" t="s">
        <v>4036</v>
      </c>
      <c r="O215" s="1" t="s">
        <v>13</v>
      </c>
      <c r="P215" s="1" t="s">
        <v>13</v>
      </c>
      <c r="Q215" s="1" t="s">
        <v>13</v>
      </c>
      <c r="R215" s="1" t="s">
        <v>13</v>
      </c>
      <c r="S215" s="1" t="s">
        <v>4009</v>
      </c>
      <c r="T215" s="4">
        <v>1.6</v>
      </c>
    </row>
    <row r="216" spans="1:20">
      <c r="A216" s="1" t="s">
        <v>3981</v>
      </c>
      <c r="B216" s="1" t="s">
        <v>312</v>
      </c>
      <c r="C216" s="1" t="s">
        <v>3982</v>
      </c>
      <c r="D216" s="1" t="s">
        <v>301</v>
      </c>
      <c r="E216" s="2">
        <v>45709</v>
      </c>
      <c r="F216" s="2">
        <v>45709</v>
      </c>
      <c r="G216" s="1" t="s">
        <v>4008</v>
      </c>
      <c r="H216" s="3" t="s">
        <v>25</v>
      </c>
      <c r="I216" s="1" t="s">
        <v>3984</v>
      </c>
      <c r="J216" s="1" t="s">
        <v>12</v>
      </c>
      <c r="K216" s="3" t="s">
        <v>3995</v>
      </c>
      <c r="L216" s="1" t="s">
        <v>3987</v>
      </c>
      <c r="M216" s="1" t="s">
        <v>3996</v>
      </c>
      <c r="N216" s="1" t="s">
        <v>13</v>
      </c>
      <c r="O216" s="1" t="s">
        <v>3996</v>
      </c>
      <c r="P216" s="1" t="s">
        <v>13</v>
      </c>
      <c r="Q216" s="1" t="s">
        <v>14</v>
      </c>
      <c r="R216" s="1" t="s">
        <v>37</v>
      </c>
      <c r="S216" s="1" t="s">
        <v>4009</v>
      </c>
      <c r="T216" s="4">
        <v>0.3</v>
      </c>
    </row>
    <row r="217" spans="1:20">
      <c r="A217" s="1" t="s">
        <v>3981</v>
      </c>
      <c r="B217" s="1" t="s">
        <v>312</v>
      </c>
      <c r="C217" s="1" t="s">
        <v>3982</v>
      </c>
      <c r="D217" s="1" t="s">
        <v>301</v>
      </c>
      <c r="E217" s="2">
        <v>45709</v>
      </c>
      <c r="F217" s="2">
        <v>45709</v>
      </c>
      <c r="G217" s="1" t="s">
        <v>4008</v>
      </c>
      <c r="H217" s="3" t="s">
        <v>25</v>
      </c>
      <c r="I217" s="1" t="s">
        <v>3984</v>
      </c>
      <c r="J217" s="1" t="s">
        <v>12</v>
      </c>
      <c r="K217" s="3" t="s">
        <v>3995</v>
      </c>
      <c r="L217" s="1" t="s">
        <v>3987</v>
      </c>
      <c r="M217" s="1" t="s">
        <v>3996</v>
      </c>
      <c r="N217" s="1" t="s">
        <v>13</v>
      </c>
      <c r="O217" s="1" t="s">
        <v>3996</v>
      </c>
      <c r="P217" s="1" t="s">
        <v>13</v>
      </c>
      <c r="Q217" s="1" t="s">
        <v>28</v>
      </c>
      <c r="R217" s="1" t="s">
        <v>29</v>
      </c>
      <c r="S217" s="1" t="s">
        <v>4009</v>
      </c>
      <c r="T217" s="4">
        <v>0.7</v>
      </c>
    </row>
    <row r="218" spans="1:20">
      <c r="A218" s="1" t="s">
        <v>3981</v>
      </c>
      <c r="B218" s="1" t="s">
        <v>312</v>
      </c>
      <c r="C218" s="1" t="s">
        <v>3982</v>
      </c>
      <c r="D218" s="1" t="s">
        <v>301</v>
      </c>
      <c r="E218" s="2">
        <v>45709</v>
      </c>
      <c r="F218" s="2">
        <v>45709</v>
      </c>
      <c r="G218" s="1" t="s">
        <v>4008</v>
      </c>
      <c r="H218" s="3" t="s">
        <v>25</v>
      </c>
      <c r="I218" s="1" t="s">
        <v>3984</v>
      </c>
      <c r="J218" s="1" t="s">
        <v>12</v>
      </c>
      <c r="K218" s="3" t="s">
        <v>3995</v>
      </c>
      <c r="L218" s="1" t="s">
        <v>3987</v>
      </c>
      <c r="M218" s="1" t="s">
        <v>3996</v>
      </c>
      <c r="N218" s="1" t="s">
        <v>13</v>
      </c>
      <c r="O218" s="1" t="s">
        <v>3996</v>
      </c>
      <c r="P218" s="1" t="s">
        <v>13</v>
      </c>
      <c r="Q218" s="1" t="s">
        <v>44</v>
      </c>
      <c r="R218" s="1" t="s">
        <v>45</v>
      </c>
      <c r="S218" s="1" t="s">
        <v>4009</v>
      </c>
      <c r="T218" s="4">
        <v>12</v>
      </c>
    </row>
    <row r="219" spans="1:20">
      <c r="A219" s="1" t="s">
        <v>3981</v>
      </c>
      <c r="B219" s="1" t="s">
        <v>312</v>
      </c>
      <c r="C219" s="1" t="s">
        <v>3982</v>
      </c>
      <c r="D219" s="1" t="s">
        <v>301</v>
      </c>
      <c r="E219" s="2">
        <v>45709</v>
      </c>
      <c r="F219" s="2">
        <v>45709</v>
      </c>
      <c r="G219" s="1" t="s">
        <v>4008</v>
      </c>
      <c r="H219" s="3" t="s">
        <v>25</v>
      </c>
      <c r="I219" s="1" t="s">
        <v>3984</v>
      </c>
      <c r="J219" s="1" t="s">
        <v>12</v>
      </c>
      <c r="K219" s="3" t="s">
        <v>3995</v>
      </c>
      <c r="L219" s="1" t="s">
        <v>3987</v>
      </c>
      <c r="M219" s="1" t="s">
        <v>3996</v>
      </c>
      <c r="N219" s="1" t="s">
        <v>13</v>
      </c>
      <c r="O219" s="1" t="s">
        <v>3996</v>
      </c>
      <c r="P219" s="1" t="s">
        <v>13</v>
      </c>
      <c r="Q219" s="1" t="s">
        <v>38</v>
      </c>
      <c r="R219" s="1" t="s">
        <v>46</v>
      </c>
      <c r="S219" s="1" t="s">
        <v>4009</v>
      </c>
      <c r="T219" s="4">
        <v>1.9</v>
      </c>
    </row>
    <row r="220" spans="1:20">
      <c r="A220" s="1" t="s">
        <v>3981</v>
      </c>
      <c r="B220" s="1" t="s">
        <v>312</v>
      </c>
      <c r="C220" s="1" t="s">
        <v>3982</v>
      </c>
      <c r="D220" s="1" t="s">
        <v>301</v>
      </c>
      <c r="E220" s="2">
        <v>45709</v>
      </c>
      <c r="F220" s="2">
        <v>45709</v>
      </c>
      <c r="G220" s="1" t="s">
        <v>4008</v>
      </c>
      <c r="H220" s="3" t="s">
        <v>25</v>
      </c>
      <c r="I220" s="1" t="s">
        <v>3984</v>
      </c>
      <c r="J220" s="1" t="s">
        <v>12</v>
      </c>
      <c r="K220" s="3" t="s">
        <v>3995</v>
      </c>
      <c r="L220" s="1" t="s">
        <v>3987</v>
      </c>
      <c r="M220" s="1" t="s">
        <v>3996</v>
      </c>
      <c r="N220" s="1" t="s">
        <v>13</v>
      </c>
      <c r="O220" s="1" t="s">
        <v>3996</v>
      </c>
      <c r="P220" s="1" t="s">
        <v>13</v>
      </c>
      <c r="Q220" s="1" t="s">
        <v>38</v>
      </c>
      <c r="R220" s="1" t="s">
        <v>51</v>
      </c>
      <c r="S220" s="1" t="s">
        <v>4009</v>
      </c>
      <c r="T220" s="4">
        <v>0.5</v>
      </c>
    </row>
    <row r="221" spans="1:20">
      <c r="A221" s="1" t="s">
        <v>3981</v>
      </c>
      <c r="B221" s="1" t="s">
        <v>312</v>
      </c>
      <c r="C221" s="1" t="s">
        <v>3982</v>
      </c>
      <c r="D221" s="1" t="s">
        <v>301</v>
      </c>
      <c r="E221" s="2">
        <v>45709</v>
      </c>
      <c r="F221" s="2">
        <v>45709</v>
      </c>
      <c r="G221" s="1" t="s">
        <v>4008</v>
      </c>
      <c r="H221" s="3" t="s">
        <v>25</v>
      </c>
      <c r="I221" s="1" t="s">
        <v>3984</v>
      </c>
      <c r="J221" s="1" t="s">
        <v>12</v>
      </c>
      <c r="K221" s="3" t="s">
        <v>3995</v>
      </c>
      <c r="L221" s="1" t="s">
        <v>3987</v>
      </c>
      <c r="M221" s="1" t="s">
        <v>3996</v>
      </c>
      <c r="N221" s="1" t="s">
        <v>13</v>
      </c>
      <c r="O221" s="1" t="s">
        <v>3996</v>
      </c>
      <c r="P221" s="1" t="s">
        <v>13</v>
      </c>
      <c r="Q221" s="1" t="s">
        <v>38</v>
      </c>
      <c r="R221" s="1" t="s">
        <v>52</v>
      </c>
      <c r="S221" s="1" t="s">
        <v>4009</v>
      </c>
      <c r="T221" s="4">
        <v>1.8</v>
      </c>
    </row>
    <row r="222" spans="1:20">
      <c r="A222" s="1" t="s">
        <v>3981</v>
      </c>
      <c r="B222" s="1" t="s">
        <v>312</v>
      </c>
      <c r="C222" s="1" t="s">
        <v>3982</v>
      </c>
      <c r="D222" s="1" t="s">
        <v>301</v>
      </c>
      <c r="E222" s="2">
        <v>45709</v>
      </c>
      <c r="F222" s="2">
        <v>45709</v>
      </c>
      <c r="G222" s="1" t="s">
        <v>4008</v>
      </c>
      <c r="H222" s="3" t="s">
        <v>25</v>
      </c>
      <c r="I222" s="1" t="s">
        <v>3984</v>
      </c>
      <c r="J222" s="1" t="s">
        <v>12</v>
      </c>
      <c r="K222" s="3" t="s">
        <v>3995</v>
      </c>
      <c r="L222" s="1" t="s">
        <v>3987</v>
      </c>
      <c r="M222" s="1" t="s">
        <v>3996</v>
      </c>
      <c r="N222" s="1" t="s">
        <v>13</v>
      </c>
      <c r="O222" s="1" t="s">
        <v>3996</v>
      </c>
      <c r="P222" s="1" t="s">
        <v>13</v>
      </c>
      <c r="Q222" s="1" t="s">
        <v>30</v>
      </c>
      <c r="R222" s="1" t="s">
        <v>31</v>
      </c>
      <c r="S222" s="1" t="s">
        <v>4009</v>
      </c>
      <c r="T222" s="4">
        <v>25.7</v>
      </c>
    </row>
    <row r="223" spans="1:20">
      <c r="A223" s="1" t="s">
        <v>3981</v>
      </c>
      <c r="B223" s="1" t="s">
        <v>312</v>
      </c>
      <c r="C223" s="1" t="s">
        <v>3982</v>
      </c>
      <c r="D223" s="1" t="s">
        <v>301</v>
      </c>
      <c r="E223" s="2">
        <v>45709</v>
      </c>
      <c r="F223" s="2">
        <v>45709</v>
      </c>
      <c r="G223" s="1" t="s">
        <v>4008</v>
      </c>
      <c r="H223" s="3" t="s">
        <v>25</v>
      </c>
      <c r="I223" s="1" t="s">
        <v>3984</v>
      </c>
      <c r="J223" s="1" t="s">
        <v>12</v>
      </c>
      <c r="K223" s="3" t="s">
        <v>3995</v>
      </c>
      <c r="L223" s="1" t="s">
        <v>3987</v>
      </c>
      <c r="M223" s="1" t="s">
        <v>3996</v>
      </c>
      <c r="N223" s="1" t="s">
        <v>13</v>
      </c>
      <c r="O223" s="1" t="s">
        <v>3996</v>
      </c>
      <c r="P223" s="1" t="s">
        <v>13</v>
      </c>
      <c r="Q223" s="1" t="s">
        <v>30</v>
      </c>
      <c r="R223" s="1" t="s">
        <v>62</v>
      </c>
      <c r="S223" s="1" t="s">
        <v>4009</v>
      </c>
      <c r="T223" s="4">
        <v>2.6</v>
      </c>
    </row>
    <row r="224" spans="1:20">
      <c r="A224" s="1" t="s">
        <v>3981</v>
      </c>
      <c r="B224" s="1" t="s">
        <v>312</v>
      </c>
      <c r="C224" s="1" t="s">
        <v>3982</v>
      </c>
      <c r="D224" s="1" t="s">
        <v>301</v>
      </c>
      <c r="E224" s="2">
        <v>45709</v>
      </c>
      <c r="F224" s="2">
        <v>45709</v>
      </c>
      <c r="G224" s="1" t="s">
        <v>4008</v>
      </c>
      <c r="H224" s="3" t="s">
        <v>25</v>
      </c>
      <c r="I224" s="1" t="s">
        <v>3984</v>
      </c>
      <c r="J224" s="1" t="s">
        <v>4038</v>
      </c>
      <c r="K224" s="3" t="s">
        <v>4039</v>
      </c>
      <c r="L224" s="1" t="s">
        <v>3987</v>
      </c>
      <c r="M224" s="1" t="s">
        <v>13</v>
      </c>
      <c r="N224" s="1" t="s">
        <v>13</v>
      </c>
      <c r="O224" s="1" t="s">
        <v>13</v>
      </c>
      <c r="P224" s="1" t="s">
        <v>13</v>
      </c>
      <c r="Q224" s="1" t="s">
        <v>13</v>
      </c>
      <c r="R224" s="1" t="s">
        <v>13</v>
      </c>
      <c r="S224" s="1" t="s">
        <v>4009</v>
      </c>
      <c r="T224" s="4">
        <v>9</v>
      </c>
    </row>
    <row r="225" spans="1:20">
      <c r="A225" s="1" t="s">
        <v>3981</v>
      </c>
      <c r="B225" s="1" t="s">
        <v>312</v>
      </c>
      <c r="C225" s="1" t="s">
        <v>3982</v>
      </c>
      <c r="D225" s="1" t="s">
        <v>465</v>
      </c>
      <c r="E225" s="2">
        <v>45723</v>
      </c>
      <c r="F225" s="2">
        <v>45716</v>
      </c>
      <c r="G225" s="1" t="s">
        <v>3983</v>
      </c>
      <c r="H225" s="3" t="s">
        <v>32</v>
      </c>
      <c r="I225" s="1" t="s">
        <v>3984</v>
      </c>
      <c r="J225" s="1" t="s">
        <v>12</v>
      </c>
      <c r="K225" s="3" t="s">
        <v>3995</v>
      </c>
      <c r="L225" s="1" t="s">
        <v>3987</v>
      </c>
      <c r="M225" s="1" t="s">
        <v>3996</v>
      </c>
      <c r="N225" s="1" t="s">
        <v>13</v>
      </c>
      <c r="O225" s="1" t="s">
        <v>3996</v>
      </c>
      <c r="P225" s="1" t="s">
        <v>13</v>
      </c>
      <c r="Q225" s="1" t="s">
        <v>14</v>
      </c>
      <c r="R225" s="1" t="s">
        <v>54</v>
      </c>
      <c r="S225" s="1" t="s">
        <v>3989</v>
      </c>
      <c r="T225" s="4">
        <v>26</v>
      </c>
    </row>
    <row r="226" spans="1:20">
      <c r="A226" s="1" t="s">
        <v>3981</v>
      </c>
      <c r="B226" s="1" t="s">
        <v>312</v>
      </c>
      <c r="C226" s="1" t="s">
        <v>3982</v>
      </c>
      <c r="D226" s="1" t="s">
        <v>465</v>
      </c>
      <c r="E226" s="2">
        <v>45723</v>
      </c>
      <c r="F226" s="2">
        <v>45716</v>
      </c>
      <c r="G226" s="1" t="s">
        <v>3983</v>
      </c>
      <c r="H226" s="3" t="s">
        <v>32</v>
      </c>
      <c r="I226" s="1" t="s">
        <v>3984</v>
      </c>
      <c r="J226" s="1" t="s">
        <v>12</v>
      </c>
      <c r="K226" s="3" t="s">
        <v>3995</v>
      </c>
      <c r="L226" s="1" t="s">
        <v>3987</v>
      </c>
      <c r="M226" s="1" t="s">
        <v>3996</v>
      </c>
      <c r="N226" s="1" t="s">
        <v>13</v>
      </c>
      <c r="O226" s="1" t="s">
        <v>3996</v>
      </c>
      <c r="P226" s="1" t="s">
        <v>13</v>
      </c>
      <c r="Q226" s="1" t="s">
        <v>44</v>
      </c>
      <c r="R226" s="1" t="s">
        <v>47</v>
      </c>
      <c r="S226" s="1" t="s">
        <v>3989</v>
      </c>
      <c r="T226" s="4">
        <v>10</v>
      </c>
    </row>
    <row r="227" spans="1:20">
      <c r="A227" s="1" t="s">
        <v>3981</v>
      </c>
      <c r="B227" s="1" t="s">
        <v>312</v>
      </c>
      <c r="C227" s="1" t="s">
        <v>3982</v>
      </c>
      <c r="D227" s="1" t="s">
        <v>465</v>
      </c>
      <c r="E227" s="2">
        <v>45723</v>
      </c>
      <c r="F227" s="2">
        <v>45716</v>
      </c>
      <c r="G227" s="1" t="s">
        <v>3983</v>
      </c>
      <c r="H227" s="3" t="s">
        <v>32</v>
      </c>
      <c r="I227" s="1" t="s">
        <v>3984</v>
      </c>
      <c r="J227" s="1" t="s">
        <v>12</v>
      </c>
      <c r="K227" s="3" t="s">
        <v>3995</v>
      </c>
      <c r="L227" s="1" t="s">
        <v>3987</v>
      </c>
      <c r="M227" s="1" t="s">
        <v>3996</v>
      </c>
      <c r="N227" s="1" t="s">
        <v>13</v>
      </c>
      <c r="O227" s="1" t="s">
        <v>3996</v>
      </c>
      <c r="P227" s="1" t="s">
        <v>13</v>
      </c>
      <c r="Q227" s="1" t="s">
        <v>44</v>
      </c>
      <c r="R227" s="1" t="s">
        <v>48</v>
      </c>
      <c r="S227" s="1" t="s">
        <v>3989</v>
      </c>
      <c r="T227" s="4">
        <v>2</v>
      </c>
    </row>
    <row r="228" spans="1:20">
      <c r="A228" s="1" t="s">
        <v>3981</v>
      </c>
      <c r="B228" s="1" t="s">
        <v>312</v>
      </c>
      <c r="C228" s="1" t="s">
        <v>3982</v>
      </c>
      <c r="D228" s="1" t="s">
        <v>465</v>
      </c>
      <c r="E228" s="2">
        <v>45723</v>
      </c>
      <c r="F228" s="2">
        <v>45716</v>
      </c>
      <c r="G228" s="1" t="s">
        <v>3983</v>
      </c>
      <c r="H228" s="3" t="s">
        <v>32</v>
      </c>
      <c r="I228" s="1" t="s">
        <v>3984</v>
      </c>
      <c r="J228" s="1" t="s">
        <v>12</v>
      </c>
      <c r="K228" s="3" t="s">
        <v>3995</v>
      </c>
      <c r="L228" s="1" t="s">
        <v>3987</v>
      </c>
      <c r="M228" s="1" t="s">
        <v>3996</v>
      </c>
      <c r="N228" s="1" t="s">
        <v>13</v>
      </c>
      <c r="O228" s="1" t="s">
        <v>3996</v>
      </c>
      <c r="P228" s="1" t="s">
        <v>13</v>
      </c>
      <c r="Q228" s="1" t="s">
        <v>30</v>
      </c>
      <c r="R228" s="1" t="s">
        <v>31</v>
      </c>
      <c r="S228" s="1" t="s">
        <v>3989</v>
      </c>
      <c r="T228" s="4">
        <v>2</v>
      </c>
    </row>
    <row r="229" spans="1:20">
      <c r="A229" s="1" t="s">
        <v>3981</v>
      </c>
      <c r="B229" s="1" t="s">
        <v>312</v>
      </c>
      <c r="C229" s="1" t="s">
        <v>3982</v>
      </c>
      <c r="D229" s="1" t="s">
        <v>465</v>
      </c>
      <c r="E229" s="2">
        <v>45723</v>
      </c>
      <c r="F229" s="2">
        <v>45716</v>
      </c>
      <c r="G229" s="1" t="s">
        <v>3990</v>
      </c>
      <c r="H229" s="3" t="s">
        <v>11</v>
      </c>
      <c r="I229" s="1" t="s">
        <v>3984</v>
      </c>
      <c r="J229" s="1" t="s">
        <v>3985</v>
      </c>
      <c r="K229" s="3" t="s">
        <v>3986</v>
      </c>
      <c r="L229" s="1" t="s">
        <v>3987</v>
      </c>
      <c r="M229" s="1" t="s">
        <v>13</v>
      </c>
      <c r="N229" s="1" t="s">
        <v>13</v>
      </c>
      <c r="O229" s="1" t="s">
        <v>3988</v>
      </c>
      <c r="P229" s="1" t="s">
        <v>13</v>
      </c>
      <c r="Q229" s="1" t="s">
        <v>13</v>
      </c>
      <c r="R229" s="1" t="s">
        <v>13</v>
      </c>
      <c r="S229" s="1" t="s">
        <v>3994</v>
      </c>
      <c r="T229" s="4">
        <v>15.8</v>
      </c>
    </row>
    <row r="230" spans="1:20">
      <c r="A230" s="1" t="s">
        <v>3981</v>
      </c>
      <c r="B230" s="1" t="s">
        <v>312</v>
      </c>
      <c r="C230" s="1" t="s">
        <v>3982</v>
      </c>
      <c r="D230" s="1" t="s">
        <v>465</v>
      </c>
      <c r="E230" s="2">
        <v>45723</v>
      </c>
      <c r="F230" s="2">
        <v>45716</v>
      </c>
      <c r="G230" s="1" t="s">
        <v>3990</v>
      </c>
      <c r="H230" s="3" t="s">
        <v>11</v>
      </c>
      <c r="I230" s="1" t="s">
        <v>3984</v>
      </c>
      <c r="J230" s="1" t="s">
        <v>12</v>
      </c>
      <c r="K230" s="3" t="s">
        <v>3995</v>
      </c>
      <c r="L230" s="1" t="s">
        <v>3987</v>
      </c>
      <c r="M230" s="1" t="s">
        <v>3996</v>
      </c>
      <c r="N230" s="1" t="s">
        <v>13</v>
      </c>
      <c r="O230" s="1" t="s">
        <v>3996</v>
      </c>
      <c r="P230" s="1" t="s">
        <v>13</v>
      </c>
      <c r="Q230" s="1" t="s">
        <v>14</v>
      </c>
      <c r="R230" s="1" t="s">
        <v>15</v>
      </c>
      <c r="S230" s="1" t="s">
        <v>3994</v>
      </c>
      <c r="T230" s="4">
        <v>2.5</v>
      </c>
    </row>
    <row r="231" spans="1:20">
      <c r="A231" s="1" t="s">
        <v>3981</v>
      </c>
      <c r="B231" s="1" t="s">
        <v>312</v>
      </c>
      <c r="C231" s="1" t="s">
        <v>3982</v>
      </c>
      <c r="D231" s="1" t="s">
        <v>465</v>
      </c>
      <c r="E231" s="2">
        <v>45723</v>
      </c>
      <c r="F231" s="2">
        <v>45716</v>
      </c>
      <c r="G231" s="1" t="s">
        <v>3990</v>
      </c>
      <c r="H231" s="3" t="s">
        <v>11</v>
      </c>
      <c r="I231" s="1" t="s">
        <v>3984</v>
      </c>
      <c r="J231" s="1" t="s">
        <v>12</v>
      </c>
      <c r="K231" s="3" t="s">
        <v>3995</v>
      </c>
      <c r="L231" s="1" t="s">
        <v>3987</v>
      </c>
      <c r="M231" s="1" t="s">
        <v>3996</v>
      </c>
      <c r="N231" s="1" t="s">
        <v>13</v>
      </c>
      <c r="O231" s="1" t="s">
        <v>3996</v>
      </c>
      <c r="P231" s="1" t="s">
        <v>13</v>
      </c>
      <c r="Q231" s="1" t="s">
        <v>44</v>
      </c>
      <c r="R231" s="1" t="s">
        <v>47</v>
      </c>
      <c r="S231" s="1" t="s">
        <v>3994</v>
      </c>
      <c r="T231" s="4">
        <v>2.4</v>
      </c>
    </row>
    <row r="232" spans="1:20">
      <c r="A232" s="1" t="s">
        <v>3981</v>
      </c>
      <c r="B232" s="1" t="s">
        <v>312</v>
      </c>
      <c r="C232" s="1" t="s">
        <v>3982</v>
      </c>
      <c r="D232" s="1" t="s">
        <v>465</v>
      </c>
      <c r="E232" s="2">
        <v>45723</v>
      </c>
      <c r="F232" s="2">
        <v>45716</v>
      </c>
      <c r="G232" s="1" t="s">
        <v>3990</v>
      </c>
      <c r="H232" s="3" t="s">
        <v>11</v>
      </c>
      <c r="I232" s="1" t="s">
        <v>3984</v>
      </c>
      <c r="J232" s="1" t="s">
        <v>12</v>
      </c>
      <c r="K232" s="3" t="s">
        <v>3995</v>
      </c>
      <c r="L232" s="1" t="s">
        <v>3987</v>
      </c>
      <c r="M232" s="1" t="s">
        <v>3996</v>
      </c>
      <c r="N232" s="1" t="s">
        <v>13</v>
      </c>
      <c r="O232" s="1" t="s">
        <v>3996</v>
      </c>
      <c r="P232" s="1" t="s">
        <v>13</v>
      </c>
      <c r="Q232" s="1" t="s">
        <v>16</v>
      </c>
      <c r="R232" s="1" t="s">
        <v>17</v>
      </c>
      <c r="S232" s="1" t="s">
        <v>3994</v>
      </c>
      <c r="T232" s="4">
        <v>4</v>
      </c>
    </row>
    <row r="233" spans="1:20">
      <c r="A233" s="1" t="s">
        <v>3981</v>
      </c>
      <c r="B233" s="1" t="s">
        <v>312</v>
      </c>
      <c r="C233" s="1" t="s">
        <v>3982</v>
      </c>
      <c r="D233" s="1" t="s">
        <v>465</v>
      </c>
      <c r="E233" s="2">
        <v>45723</v>
      </c>
      <c r="F233" s="2">
        <v>45716</v>
      </c>
      <c r="G233" s="1" t="s">
        <v>3990</v>
      </c>
      <c r="H233" s="3" t="s">
        <v>11</v>
      </c>
      <c r="I233" s="1" t="s">
        <v>3984</v>
      </c>
      <c r="J233" s="1" t="s">
        <v>12</v>
      </c>
      <c r="K233" s="3" t="s">
        <v>3995</v>
      </c>
      <c r="L233" s="1" t="s">
        <v>3987</v>
      </c>
      <c r="M233" s="1" t="s">
        <v>3996</v>
      </c>
      <c r="N233" s="1" t="s">
        <v>13</v>
      </c>
      <c r="O233" s="1" t="s">
        <v>3996</v>
      </c>
      <c r="P233" s="1" t="s">
        <v>13</v>
      </c>
      <c r="Q233" s="1" t="s">
        <v>30</v>
      </c>
      <c r="R233" s="1" t="s">
        <v>31</v>
      </c>
      <c r="S233" s="1" t="s">
        <v>3994</v>
      </c>
      <c r="T233" s="4">
        <v>1.9</v>
      </c>
    </row>
    <row r="234" spans="1:20">
      <c r="A234" s="1" t="s">
        <v>3981</v>
      </c>
      <c r="B234" s="1" t="s">
        <v>312</v>
      </c>
      <c r="C234" s="1" t="s">
        <v>3982</v>
      </c>
      <c r="D234" s="1" t="s">
        <v>465</v>
      </c>
      <c r="E234" s="2">
        <v>45723</v>
      </c>
      <c r="F234" s="2">
        <v>45716</v>
      </c>
      <c r="G234" s="1" t="s">
        <v>3990</v>
      </c>
      <c r="H234" s="3" t="s">
        <v>11</v>
      </c>
      <c r="I234" s="1" t="s">
        <v>3984</v>
      </c>
      <c r="J234" s="1" t="s">
        <v>12</v>
      </c>
      <c r="K234" s="3" t="s">
        <v>3995</v>
      </c>
      <c r="L234" s="1" t="s">
        <v>4002</v>
      </c>
      <c r="M234" s="1" t="s">
        <v>4003</v>
      </c>
      <c r="N234" s="1" t="s">
        <v>13</v>
      </c>
      <c r="O234" s="1" t="s">
        <v>4003</v>
      </c>
      <c r="P234" s="1" t="s">
        <v>13</v>
      </c>
      <c r="Q234" s="1" t="s">
        <v>4004</v>
      </c>
      <c r="R234" s="1" t="s">
        <v>4001</v>
      </c>
      <c r="S234" s="1" t="s">
        <v>3994</v>
      </c>
      <c r="T234" s="4">
        <v>1.1000000000000001</v>
      </c>
    </row>
    <row r="235" spans="1:20">
      <c r="A235" s="1" t="s">
        <v>3981</v>
      </c>
      <c r="B235" s="1" t="s">
        <v>312</v>
      </c>
      <c r="C235" s="1" t="s">
        <v>3982</v>
      </c>
      <c r="D235" s="1" t="s">
        <v>465</v>
      </c>
      <c r="E235" s="2">
        <v>45723</v>
      </c>
      <c r="F235" s="2">
        <v>45716</v>
      </c>
      <c r="G235" s="1" t="s">
        <v>3990</v>
      </c>
      <c r="H235" s="3" t="s">
        <v>11</v>
      </c>
      <c r="I235" s="1" t="s">
        <v>3984</v>
      </c>
      <c r="J235" s="1" t="s">
        <v>12</v>
      </c>
      <c r="K235" s="3" t="s">
        <v>3995</v>
      </c>
      <c r="L235" s="1" t="s">
        <v>4032</v>
      </c>
      <c r="M235" s="1" t="s">
        <v>4033</v>
      </c>
      <c r="N235" s="1" t="s">
        <v>13</v>
      </c>
      <c r="O235" s="1" t="s">
        <v>4033</v>
      </c>
      <c r="P235" s="1" t="s">
        <v>13</v>
      </c>
      <c r="Q235" s="1" t="s">
        <v>4034</v>
      </c>
      <c r="R235" s="1" t="s">
        <v>4001</v>
      </c>
      <c r="S235" s="1" t="s">
        <v>3994</v>
      </c>
      <c r="T235" s="4">
        <v>7.5</v>
      </c>
    </row>
    <row r="236" spans="1:20">
      <c r="A236" s="1" t="s">
        <v>3981</v>
      </c>
      <c r="B236" s="1" t="s">
        <v>312</v>
      </c>
      <c r="C236" s="1" t="s">
        <v>3982</v>
      </c>
      <c r="D236" s="1" t="s">
        <v>465</v>
      </c>
      <c r="E236" s="2">
        <v>45723</v>
      </c>
      <c r="F236" s="2">
        <v>45716</v>
      </c>
      <c r="G236" s="1" t="s">
        <v>3997</v>
      </c>
      <c r="H236" s="3" t="s">
        <v>41</v>
      </c>
      <c r="I236" s="1" t="s">
        <v>3984</v>
      </c>
      <c r="J236" s="1" t="s">
        <v>3985</v>
      </c>
      <c r="K236" s="3" t="s">
        <v>3986</v>
      </c>
      <c r="L236" s="1" t="s">
        <v>3987</v>
      </c>
      <c r="M236" s="1" t="s">
        <v>13</v>
      </c>
      <c r="N236" s="1" t="s">
        <v>13</v>
      </c>
      <c r="O236" s="1" t="s">
        <v>3988</v>
      </c>
      <c r="P236" s="1" t="s">
        <v>13</v>
      </c>
      <c r="Q236" s="1" t="s">
        <v>13</v>
      </c>
      <c r="R236" s="1" t="s">
        <v>13</v>
      </c>
      <c r="S236" s="1" t="s">
        <v>3998</v>
      </c>
      <c r="T236" s="4">
        <v>9</v>
      </c>
    </row>
    <row r="237" spans="1:20">
      <c r="A237" s="1" t="s">
        <v>3981</v>
      </c>
      <c r="B237" s="1" t="s">
        <v>312</v>
      </c>
      <c r="C237" s="1" t="s">
        <v>3982</v>
      </c>
      <c r="D237" s="1" t="s">
        <v>465</v>
      </c>
      <c r="E237" s="2">
        <v>45723</v>
      </c>
      <c r="F237" s="2">
        <v>45716</v>
      </c>
      <c r="G237" s="1" t="s">
        <v>3997</v>
      </c>
      <c r="H237" s="3" t="s">
        <v>41</v>
      </c>
      <c r="I237" s="1" t="s">
        <v>3984</v>
      </c>
      <c r="J237" s="1" t="s">
        <v>12</v>
      </c>
      <c r="K237" s="3" t="s">
        <v>3995</v>
      </c>
      <c r="L237" s="1" t="s">
        <v>3987</v>
      </c>
      <c r="M237" s="1" t="s">
        <v>3999</v>
      </c>
      <c r="N237" s="1" t="s">
        <v>13</v>
      </c>
      <c r="O237" s="1" t="s">
        <v>3999</v>
      </c>
      <c r="P237" s="1" t="s">
        <v>13</v>
      </c>
      <c r="Q237" s="1" t="s">
        <v>4000</v>
      </c>
      <c r="R237" s="1" t="s">
        <v>4001</v>
      </c>
      <c r="S237" s="1" t="s">
        <v>3998</v>
      </c>
      <c r="T237" s="4">
        <v>5.5</v>
      </c>
    </row>
    <row r="238" spans="1:20">
      <c r="A238" s="1" t="s">
        <v>3981</v>
      </c>
      <c r="B238" s="1" t="s">
        <v>312</v>
      </c>
      <c r="C238" s="1" t="s">
        <v>3982</v>
      </c>
      <c r="D238" s="1" t="s">
        <v>465</v>
      </c>
      <c r="E238" s="2">
        <v>45723</v>
      </c>
      <c r="F238" s="2">
        <v>45716</v>
      </c>
      <c r="G238" s="1" t="s">
        <v>3997</v>
      </c>
      <c r="H238" s="3" t="s">
        <v>41</v>
      </c>
      <c r="I238" s="1" t="s">
        <v>3984</v>
      </c>
      <c r="J238" s="1" t="s">
        <v>12</v>
      </c>
      <c r="K238" s="3" t="s">
        <v>3995</v>
      </c>
      <c r="L238" s="1" t="s">
        <v>3987</v>
      </c>
      <c r="M238" s="1" t="s">
        <v>3996</v>
      </c>
      <c r="N238" s="1" t="s">
        <v>13</v>
      </c>
      <c r="O238" s="1" t="s">
        <v>3996</v>
      </c>
      <c r="P238" s="1" t="s">
        <v>13</v>
      </c>
      <c r="Q238" s="1" t="s">
        <v>30</v>
      </c>
      <c r="R238" s="1" t="s">
        <v>31</v>
      </c>
      <c r="S238" s="1" t="s">
        <v>3998</v>
      </c>
      <c r="T238" s="4">
        <v>2</v>
      </c>
    </row>
    <row r="239" spans="1:20">
      <c r="A239" s="1" t="s">
        <v>3981</v>
      </c>
      <c r="B239" s="1" t="s">
        <v>312</v>
      </c>
      <c r="C239" s="1" t="s">
        <v>3982</v>
      </c>
      <c r="D239" s="1" t="s">
        <v>465</v>
      </c>
      <c r="E239" s="2">
        <v>45723</v>
      </c>
      <c r="F239" s="2">
        <v>45716</v>
      </c>
      <c r="G239" s="1" t="s">
        <v>3997</v>
      </c>
      <c r="H239" s="3" t="s">
        <v>41</v>
      </c>
      <c r="I239" s="1" t="s">
        <v>3984</v>
      </c>
      <c r="J239" s="1" t="s">
        <v>12</v>
      </c>
      <c r="K239" s="3" t="s">
        <v>3995</v>
      </c>
      <c r="L239" s="1" t="s">
        <v>4002</v>
      </c>
      <c r="M239" s="1" t="s">
        <v>4003</v>
      </c>
      <c r="N239" s="1" t="s">
        <v>13</v>
      </c>
      <c r="O239" s="1" t="s">
        <v>4003</v>
      </c>
      <c r="P239" s="1" t="s">
        <v>13</v>
      </c>
      <c r="Q239" s="1" t="s">
        <v>4004</v>
      </c>
      <c r="R239" s="1" t="s">
        <v>4001</v>
      </c>
      <c r="S239" s="1" t="s">
        <v>3998</v>
      </c>
      <c r="T239" s="4">
        <v>13.5</v>
      </c>
    </row>
    <row r="240" spans="1:20">
      <c r="A240" s="1" t="s">
        <v>3981</v>
      </c>
      <c r="B240" s="1" t="s">
        <v>312</v>
      </c>
      <c r="C240" s="1" t="s">
        <v>3982</v>
      </c>
      <c r="D240" s="1" t="s">
        <v>465</v>
      </c>
      <c r="E240" s="2">
        <v>45723</v>
      </c>
      <c r="F240" s="2">
        <v>45716</v>
      </c>
      <c r="G240" s="1" t="s">
        <v>4005</v>
      </c>
      <c r="H240" s="3" t="s">
        <v>21</v>
      </c>
      <c r="I240" s="1" t="s">
        <v>3984</v>
      </c>
      <c r="J240" s="1" t="s">
        <v>12</v>
      </c>
      <c r="K240" s="3" t="s">
        <v>3995</v>
      </c>
      <c r="L240" s="1" t="s">
        <v>3987</v>
      </c>
      <c r="M240" s="1" t="s">
        <v>3996</v>
      </c>
      <c r="N240" s="1" t="s">
        <v>13</v>
      </c>
      <c r="O240" s="1" t="s">
        <v>3996</v>
      </c>
      <c r="P240" s="1" t="s">
        <v>13</v>
      </c>
      <c r="Q240" s="1" t="s">
        <v>14</v>
      </c>
      <c r="R240" s="1" t="s">
        <v>24</v>
      </c>
      <c r="S240" s="1" t="s">
        <v>4007</v>
      </c>
      <c r="T240" s="4">
        <v>20.6</v>
      </c>
    </row>
    <row r="241" spans="1:20">
      <c r="A241" s="1" t="s">
        <v>3981</v>
      </c>
      <c r="B241" s="1" t="s">
        <v>312</v>
      </c>
      <c r="C241" s="1" t="s">
        <v>3982</v>
      </c>
      <c r="D241" s="1" t="s">
        <v>465</v>
      </c>
      <c r="E241" s="2">
        <v>45723</v>
      </c>
      <c r="F241" s="2">
        <v>45716</v>
      </c>
      <c r="G241" s="1" t="s">
        <v>4005</v>
      </c>
      <c r="H241" s="3" t="s">
        <v>21</v>
      </c>
      <c r="I241" s="1" t="s">
        <v>3984</v>
      </c>
      <c r="J241" s="1" t="s">
        <v>12</v>
      </c>
      <c r="K241" s="3" t="s">
        <v>3995</v>
      </c>
      <c r="L241" s="1" t="s">
        <v>3987</v>
      </c>
      <c r="M241" s="1" t="s">
        <v>3996</v>
      </c>
      <c r="N241" s="1" t="s">
        <v>13</v>
      </c>
      <c r="O241" s="1" t="s">
        <v>3996</v>
      </c>
      <c r="P241" s="1" t="s">
        <v>13</v>
      </c>
      <c r="Q241" s="1" t="s">
        <v>14</v>
      </c>
      <c r="R241" s="1" t="s">
        <v>23</v>
      </c>
      <c r="S241" s="1" t="s">
        <v>4007</v>
      </c>
      <c r="T241" s="4">
        <v>3.6</v>
      </c>
    </row>
    <row r="242" spans="1:20">
      <c r="A242" s="1" t="s">
        <v>3981</v>
      </c>
      <c r="B242" s="1" t="s">
        <v>312</v>
      </c>
      <c r="C242" s="1" t="s">
        <v>3982</v>
      </c>
      <c r="D242" s="1" t="s">
        <v>465</v>
      </c>
      <c r="E242" s="2">
        <v>45723</v>
      </c>
      <c r="F242" s="2">
        <v>45716</v>
      </c>
      <c r="G242" s="1" t="s">
        <v>4005</v>
      </c>
      <c r="H242" s="3" t="s">
        <v>21</v>
      </c>
      <c r="I242" s="1" t="s">
        <v>3984</v>
      </c>
      <c r="J242" s="1" t="s">
        <v>12</v>
      </c>
      <c r="K242" s="3" t="s">
        <v>3995</v>
      </c>
      <c r="L242" s="1" t="s">
        <v>3987</v>
      </c>
      <c r="M242" s="1" t="s">
        <v>3996</v>
      </c>
      <c r="N242" s="1" t="s">
        <v>13</v>
      </c>
      <c r="O242" s="1" t="s">
        <v>3996</v>
      </c>
      <c r="P242" s="1" t="s">
        <v>13</v>
      </c>
      <c r="Q242" s="1" t="s">
        <v>14</v>
      </c>
      <c r="R242" s="1" t="s">
        <v>42</v>
      </c>
      <c r="S242" s="1" t="s">
        <v>4007</v>
      </c>
      <c r="T242" s="4">
        <v>7.1</v>
      </c>
    </row>
    <row r="243" spans="1:20">
      <c r="A243" s="1" t="s">
        <v>3981</v>
      </c>
      <c r="B243" s="1" t="s">
        <v>312</v>
      </c>
      <c r="C243" s="1" t="s">
        <v>3982</v>
      </c>
      <c r="D243" s="1" t="s">
        <v>465</v>
      </c>
      <c r="E243" s="2">
        <v>45723</v>
      </c>
      <c r="F243" s="2">
        <v>45716</v>
      </c>
      <c r="G243" s="1" t="s">
        <v>4005</v>
      </c>
      <c r="H243" s="3" t="s">
        <v>21</v>
      </c>
      <c r="I243" s="1" t="s">
        <v>3984</v>
      </c>
      <c r="J243" s="1" t="s">
        <v>12</v>
      </c>
      <c r="K243" s="3" t="s">
        <v>3995</v>
      </c>
      <c r="L243" s="1" t="s">
        <v>3987</v>
      </c>
      <c r="M243" s="1" t="s">
        <v>3996</v>
      </c>
      <c r="N243" s="1" t="s">
        <v>13</v>
      </c>
      <c r="O243" s="1" t="s">
        <v>3996</v>
      </c>
      <c r="P243" s="1" t="s">
        <v>13</v>
      </c>
      <c r="Q243" s="1" t="s">
        <v>28</v>
      </c>
      <c r="R243" s="1" t="s">
        <v>58</v>
      </c>
      <c r="S243" s="1" t="s">
        <v>4007</v>
      </c>
      <c r="T243" s="4">
        <v>7.4</v>
      </c>
    </row>
    <row r="244" spans="1:20">
      <c r="A244" s="1" t="s">
        <v>3981</v>
      </c>
      <c r="B244" s="1" t="s">
        <v>312</v>
      </c>
      <c r="C244" s="1" t="s">
        <v>3982</v>
      </c>
      <c r="D244" s="1" t="s">
        <v>465</v>
      </c>
      <c r="E244" s="2">
        <v>45723</v>
      </c>
      <c r="F244" s="2">
        <v>45716</v>
      </c>
      <c r="G244" s="1" t="s">
        <v>4008</v>
      </c>
      <c r="H244" s="3" t="s">
        <v>25</v>
      </c>
      <c r="I244" s="1" t="s">
        <v>3984</v>
      </c>
      <c r="J244" s="1" t="s">
        <v>12</v>
      </c>
      <c r="K244" s="3" t="s">
        <v>3995</v>
      </c>
      <c r="L244" s="1" t="s">
        <v>4013</v>
      </c>
      <c r="M244" s="1" t="s">
        <v>4014</v>
      </c>
      <c r="N244" s="1" t="s">
        <v>13</v>
      </c>
      <c r="O244" s="1" t="s">
        <v>4014</v>
      </c>
      <c r="P244" s="1" t="s">
        <v>13</v>
      </c>
      <c r="Q244" s="1" t="s">
        <v>13</v>
      </c>
      <c r="R244" s="1" t="s">
        <v>13</v>
      </c>
      <c r="S244" s="1" t="s">
        <v>4009</v>
      </c>
      <c r="T244" s="4">
        <v>2.4</v>
      </c>
    </row>
    <row r="245" spans="1:20">
      <c r="A245" s="1" t="s">
        <v>3981</v>
      </c>
      <c r="B245" s="1" t="s">
        <v>312</v>
      </c>
      <c r="C245" s="1" t="s">
        <v>3982</v>
      </c>
      <c r="D245" s="1" t="s">
        <v>465</v>
      </c>
      <c r="E245" s="2">
        <v>45723</v>
      </c>
      <c r="F245" s="2">
        <v>45716</v>
      </c>
      <c r="G245" s="1" t="s">
        <v>4008</v>
      </c>
      <c r="H245" s="3" t="s">
        <v>25</v>
      </c>
      <c r="I245" s="1" t="s">
        <v>3984</v>
      </c>
      <c r="J245" s="1" t="s">
        <v>12</v>
      </c>
      <c r="K245" s="3" t="s">
        <v>3995</v>
      </c>
      <c r="L245" s="1" t="s">
        <v>4013</v>
      </c>
      <c r="M245" s="1" t="s">
        <v>4040</v>
      </c>
      <c r="N245" s="1" t="s">
        <v>4041</v>
      </c>
      <c r="O245" s="1" t="s">
        <v>13</v>
      </c>
      <c r="P245" s="1" t="s">
        <v>13</v>
      </c>
      <c r="Q245" s="1" t="s">
        <v>13</v>
      </c>
      <c r="R245" s="1" t="s">
        <v>13</v>
      </c>
      <c r="S245" s="1" t="s">
        <v>4009</v>
      </c>
      <c r="T245" s="4">
        <v>1.3</v>
      </c>
    </row>
    <row r="246" spans="1:20">
      <c r="A246" s="1" t="s">
        <v>3981</v>
      </c>
      <c r="B246" s="1" t="s">
        <v>312</v>
      </c>
      <c r="C246" s="1" t="s">
        <v>3982</v>
      </c>
      <c r="D246" s="1" t="s">
        <v>465</v>
      </c>
      <c r="E246" s="2">
        <v>45723</v>
      </c>
      <c r="F246" s="2">
        <v>45716</v>
      </c>
      <c r="G246" s="1" t="s">
        <v>4008</v>
      </c>
      <c r="H246" s="3" t="s">
        <v>25</v>
      </c>
      <c r="I246" s="1" t="s">
        <v>3984</v>
      </c>
      <c r="J246" s="1" t="s">
        <v>12</v>
      </c>
      <c r="K246" s="3" t="s">
        <v>3995</v>
      </c>
      <c r="L246" s="1" t="s">
        <v>4013</v>
      </c>
      <c r="M246" s="1" t="s">
        <v>4042</v>
      </c>
      <c r="N246" s="1" t="s">
        <v>4043</v>
      </c>
      <c r="O246" s="1" t="s">
        <v>13</v>
      </c>
      <c r="P246" s="1" t="s">
        <v>13</v>
      </c>
      <c r="Q246" s="1" t="s">
        <v>13</v>
      </c>
      <c r="R246" s="1" t="s">
        <v>13</v>
      </c>
      <c r="S246" s="1" t="s">
        <v>4009</v>
      </c>
      <c r="T246" s="4">
        <v>1.1000000000000001</v>
      </c>
    </row>
    <row r="247" spans="1:20">
      <c r="A247" s="1" t="s">
        <v>3981</v>
      </c>
      <c r="B247" s="1" t="s">
        <v>312</v>
      </c>
      <c r="C247" s="1" t="s">
        <v>3982</v>
      </c>
      <c r="D247" s="1" t="s">
        <v>465</v>
      </c>
      <c r="E247" s="2">
        <v>45723</v>
      </c>
      <c r="F247" s="2">
        <v>45716</v>
      </c>
      <c r="G247" s="1" t="s">
        <v>4008</v>
      </c>
      <c r="H247" s="3" t="s">
        <v>25</v>
      </c>
      <c r="I247" s="1" t="s">
        <v>3984</v>
      </c>
      <c r="J247" s="1" t="s">
        <v>12</v>
      </c>
      <c r="K247" s="3" t="s">
        <v>3995</v>
      </c>
      <c r="L247" s="1" t="s">
        <v>3987</v>
      </c>
      <c r="M247" s="1" t="s">
        <v>3996</v>
      </c>
      <c r="N247" s="1" t="s">
        <v>13</v>
      </c>
      <c r="O247" s="1" t="s">
        <v>3996</v>
      </c>
      <c r="P247" s="1" t="s">
        <v>13</v>
      </c>
      <c r="Q247" s="1" t="s">
        <v>28</v>
      </c>
      <c r="R247" s="1" t="s">
        <v>29</v>
      </c>
      <c r="S247" s="1" t="s">
        <v>4009</v>
      </c>
      <c r="T247" s="4">
        <v>0.5</v>
      </c>
    </row>
    <row r="248" spans="1:20">
      <c r="A248" s="1" t="s">
        <v>3981</v>
      </c>
      <c r="B248" s="1" t="s">
        <v>312</v>
      </c>
      <c r="C248" s="1" t="s">
        <v>3982</v>
      </c>
      <c r="D248" s="1" t="s">
        <v>465</v>
      </c>
      <c r="E248" s="2">
        <v>45723</v>
      </c>
      <c r="F248" s="2">
        <v>45716</v>
      </c>
      <c r="G248" s="1" t="s">
        <v>4008</v>
      </c>
      <c r="H248" s="3" t="s">
        <v>25</v>
      </c>
      <c r="I248" s="1" t="s">
        <v>3984</v>
      </c>
      <c r="J248" s="1" t="s">
        <v>12</v>
      </c>
      <c r="K248" s="3" t="s">
        <v>3995</v>
      </c>
      <c r="L248" s="1" t="s">
        <v>3987</v>
      </c>
      <c r="M248" s="1" t="s">
        <v>3996</v>
      </c>
      <c r="N248" s="1" t="s">
        <v>13</v>
      </c>
      <c r="O248" s="1" t="s">
        <v>3996</v>
      </c>
      <c r="P248" s="1" t="s">
        <v>13</v>
      </c>
      <c r="Q248" s="1" t="s">
        <v>44</v>
      </c>
      <c r="R248" s="1" t="s">
        <v>45</v>
      </c>
      <c r="S248" s="1" t="s">
        <v>4009</v>
      </c>
      <c r="T248" s="4">
        <v>7.2</v>
      </c>
    </row>
    <row r="249" spans="1:20">
      <c r="A249" s="1" t="s">
        <v>3981</v>
      </c>
      <c r="B249" s="1" t="s">
        <v>312</v>
      </c>
      <c r="C249" s="1" t="s">
        <v>3982</v>
      </c>
      <c r="D249" s="1" t="s">
        <v>465</v>
      </c>
      <c r="E249" s="2">
        <v>45723</v>
      </c>
      <c r="F249" s="2">
        <v>45716</v>
      </c>
      <c r="G249" s="1" t="s">
        <v>4008</v>
      </c>
      <c r="H249" s="3" t="s">
        <v>25</v>
      </c>
      <c r="I249" s="1" t="s">
        <v>3984</v>
      </c>
      <c r="J249" s="1" t="s">
        <v>12</v>
      </c>
      <c r="K249" s="3" t="s">
        <v>3995</v>
      </c>
      <c r="L249" s="1" t="s">
        <v>3987</v>
      </c>
      <c r="M249" s="1" t="s">
        <v>3996</v>
      </c>
      <c r="N249" s="1" t="s">
        <v>13</v>
      </c>
      <c r="O249" s="1" t="s">
        <v>3996</v>
      </c>
      <c r="P249" s="1" t="s">
        <v>13</v>
      </c>
      <c r="Q249" s="1" t="s">
        <v>38</v>
      </c>
      <c r="R249" s="1" t="s">
        <v>46</v>
      </c>
      <c r="S249" s="1" t="s">
        <v>4009</v>
      </c>
      <c r="T249" s="4">
        <v>0.3</v>
      </c>
    </row>
    <row r="250" spans="1:20">
      <c r="A250" s="1" t="s">
        <v>3981</v>
      </c>
      <c r="B250" s="1" t="s">
        <v>312</v>
      </c>
      <c r="C250" s="1" t="s">
        <v>3982</v>
      </c>
      <c r="D250" s="1" t="s">
        <v>465</v>
      </c>
      <c r="E250" s="2">
        <v>45723</v>
      </c>
      <c r="F250" s="2">
        <v>45716</v>
      </c>
      <c r="G250" s="1" t="s">
        <v>4008</v>
      </c>
      <c r="H250" s="3" t="s">
        <v>25</v>
      </c>
      <c r="I250" s="1" t="s">
        <v>3984</v>
      </c>
      <c r="J250" s="1" t="s">
        <v>12</v>
      </c>
      <c r="K250" s="3" t="s">
        <v>3995</v>
      </c>
      <c r="L250" s="1" t="s">
        <v>3987</v>
      </c>
      <c r="M250" s="1" t="s">
        <v>3996</v>
      </c>
      <c r="N250" s="1" t="s">
        <v>13</v>
      </c>
      <c r="O250" s="1" t="s">
        <v>3996</v>
      </c>
      <c r="P250" s="1" t="s">
        <v>13</v>
      </c>
      <c r="Q250" s="1" t="s">
        <v>38</v>
      </c>
      <c r="R250" s="1" t="s">
        <v>52</v>
      </c>
      <c r="S250" s="1" t="s">
        <v>4009</v>
      </c>
      <c r="T250" s="4">
        <v>0.7</v>
      </c>
    </row>
    <row r="251" spans="1:20">
      <c r="A251" s="1" t="s">
        <v>3981</v>
      </c>
      <c r="B251" s="1" t="s">
        <v>312</v>
      </c>
      <c r="C251" s="1" t="s">
        <v>3982</v>
      </c>
      <c r="D251" s="1" t="s">
        <v>465</v>
      </c>
      <c r="E251" s="2">
        <v>45723</v>
      </c>
      <c r="F251" s="2">
        <v>45716</v>
      </c>
      <c r="G251" s="1" t="s">
        <v>4008</v>
      </c>
      <c r="H251" s="3" t="s">
        <v>25</v>
      </c>
      <c r="I251" s="1" t="s">
        <v>3984</v>
      </c>
      <c r="J251" s="1" t="s">
        <v>12</v>
      </c>
      <c r="K251" s="3" t="s">
        <v>3995</v>
      </c>
      <c r="L251" s="1" t="s">
        <v>3987</v>
      </c>
      <c r="M251" s="1" t="s">
        <v>3996</v>
      </c>
      <c r="N251" s="1" t="s">
        <v>13</v>
      </c>
      <c r="O251" s="1" t="s">
        <v>3996</v>
      </c>
      <c r="P251" s="1" t="s">
        <v>13</v>
      </c>
      <c r="Q251" s="1" t="s">
        <v>30</v>
      </c>
      <c r="R251" s="1" t="s">
        <v>31</v>
      </c>
      <c r="S251" s="1" t="s">
        <v>4009</v>
      </c>
      <c r="T251" s="4">
        <v>7.5</v>
      </c>
    </row>
    <row r="252" spans="1:20">
      <c r="A252" s="1" t="s">
        <v>3981</v>
      </c>
      <c r="B252" s="1" t="s">
        <v>312</v>
      </c>
      <c r="C252" s="1" t="s">
        <v>3982</v>
      </c>
      <c r="D252" s="1" t="s">
        <v>465</v>
      </c>
      <c r="E252" s="2">
        <v>45723</v>
      </c>
      <c r="F252" s="2">
        <v>45723</v>
      </c>
      <c r="G252" s="1" t="s">
        <v>3983</v>
      </c>
      <c r="H252" s="3" t="s">
        <v>32</v>
      </c>
      <c r="I252" s="1" t="s">
        <v>3984</v>
      </c>
      <c r="J252" s="1" t="s">
        <v>12</v>
      </c>
      <c r="K252" s="3" t="s">
        <v>3995</v>
      </c>
      <c r="L252" s="1" t="s">
        <v>3987</v>
      </c>
      <c r="M252" s="1" t="s">
        <v>3999</v>
      </c>
      <c r="N252" s="1" t="s">
        <v>13</v>
      </c>
      <c r="O252" s="1" t="s">
        <v>3999</v>
      </c>
      <c r="P252" s="1" t="s">
        <v>13</v>
      </c>
      <c r="Q252" s="1" t="s">
        <v>4044</v>
      </c>
      <c r="R252" s="1" t="s">
        <v>4037</v>
      </c>
      <c r="S252" s="1" t="s">
        <v>3989</v>
      </c>
      <c r="T252" s="4">
        <v>3</v>
      </c>
    </row>
    <row r="253" spans="1:20">
      <c r="A253" s="1" t="s">
        <v>3981</v>
      </c>
      <c r="B253" s="1" t="s">
        <v>312</v>
      </c>
      <c r="C253" s="1" t="s">
        <v>3982</v>
      </c>
      <c r="D253" s="1" t="s">
        <v>465</v>
      </c>
      <c r="E253" s="2">
        <v>45723</v>
      </c>
      <c r="F253" s="2">
        <v>45723</v>
      </c>
      <c r="G253" s="1" t="s">
        <v>3983</v>
      </c>
      <c r="H253" s="3" t="s">
        <v>32</v>
      </c>
      <c r="I253" s="1" t="s">
        <v>3984</v>
      </c>
      <c r="J253" s="1" t="s">
        <v>12</v>
      </c>
      <c r="K253" s="3" t="s">
        <v>3995</v>
      </c>
      <c r="L253" s="1" t="s">
        <v>3987</v>
      </c>
      <c r="M253" s="1" t="s">
        <v>3996</v>
      </c>
      <c r="N253" s="1" t="s">
        <v>13</v>
      </c>
      <c r="O253" s="1" t="s">
        <v>3996</v>
      </c>
      <c r="P253" s="1" t="s">
        <v>13</v>
      </c>
      <c r="Q253" s="1" t="s">
        <v>14</v>
      </c>
      <c r="R253" s="1" t="s">
        <v>54</v>
      </c>
      <c r="S253" s="1" t="s">
        <v>3989</v>
      </c>
      <c r="T253" s="4">
        <v>5</v>
      </c>
    </row>
    <row r="254" spans="1:20">
      <c r="A254" s="1" t="s">
        <v>3981</v>
      </c>
      <c r="B254" s="1" t="s">
        <v>312</v>
      </c>
      <c r="C254" s="1" t="s">
        <v>3982</v>
      </c>
      <c r="D254" s="1" t="s">
        <v>465</v>
      </c>
      <c r="E254" s="2">
        <v>45723</v>
      </c>
      <c r="F254" s="2">
        <v>45723</v>
      </c>
      <c r="G254" s="1" t="s">
        <v>3983</v>
      </c>
      <c r="H254" s="3" t="s">
        <v>32</v>
      </c>
      <c r="I254" s="1" t="s">
        <v>3984</v>
      </c>
      <c r="J254" s="1" t="s">
        <v>12</v>
      </c>
      <c r="K254" s="3" t="s">
        <v>3995</v>
      </c>
      <c r="L254" s="1" t="s">
        <v>3987</v>
      </c>
      <c r="M254" s="1" t="s">
        <v>3996</v>
      </c>
      <c r="N254" s="1" t="s">
        <v>13</v>
      </c>
      <c r="O254" s="1" t="s">
        <v>3996</v>
      </c>
      <c r="P254" s="1" t="s">
        <v>13</v>
      </c>
      <c r="Q254" s="1" t="s">
        <v>44</v>
      </c>
      <c r="R254" s="1" t="s">
        <v>47</v>
      </c>
      <c r="S254" s="1" t="s">
        <v>3989</v>
      </c>
      <c r="T254" s="4">
        <v>27</v>
      </c>
    </row>
    <row r="255" spans="1:20">
      <c r="A255" s="1" t="s">
        <v>3981</v>
      </c>
      <c r="B255" s="1" t="s">
        <v>312</v>
      </c>
      <c r="C255" s="1" t="s">
        <v>3982</v>
      </c>
      <c r="D255" s="1" t="s">
        <v>465</v>
      </c>
      <c r="E255" s="2">
        <v>45723</v>
      </c>
      <c r="F255" s="2">
        <v>45723</v>
      </c>
      <c r="G255" s="1" t="s">
        <v>3983</v>
      </c>
      <c r="H255" s="3" t="s">
        <v>32</v>
      </c>
      <c r="I255" s="1" t="s">
        <v>3984</v>
      </c>
      <c r="J255" s="1" t="s">
        <v>12</v>
      </c>
      <c r="K255" s="3" t="s">
        <v>3995</v>
      </c>
      <c r="L255" s="1" t="s">
        <v>4002</v>
      </c>
      <c r="M255" s="1" t="s">
        <v>4003</v>
      </c>
      <c r="N255" s="1" t="s">
        <v>13</v>
      </c>
      <c r="O255" s="1" t="s">
        <v>4003</v>
      </c>
      <c r="P255" s="1" t="s">
        <v>13</v>
      </c>
      <c r="Q255" s="1" t="s">
        <v>4004</v>
      </c>
      <c r="R255" s="1" t="s">
        <v>4037</v>
      </c>
      <c r="S255" s="1" t="s">
        <v>3989</v>
      </c>
      <c r="T255" s="4">
        <v>5</v>
      </c>
    </row>
    <row r="256" spans="1:20">
      <c r="A256" s="1" t="s">
        <v>3981</v>
      </c>
      <c r="B256" s="1" t="s">
        <v>312</v>
      </c>
      <c r="C256" s="1" t="s">
        <v>3982</v>
      </c>
      <c r="D256" s="1" t="s">
        <v>465</v>
      </c>
      <c r="E256" s="2">
        <v>45723</v>
      </c>
      <c r="F256" s="2">
        <v>45723</v>
      </c>
      <c r="G256" s="1" t="s">
        <v>3990</v>
      </c>
      <c r="H256" s="3" t="s">
        <v>11</v>
      </c>
      <c r="I256" s="1" t="s">
        <v>3984</v>
      </c>
      <c r="J256" s="1" t="s">
        <v>12</v>
      </c>
      <c r="K256" s="3" t="s">
        <v>3995</v>
      </c>
      <c r="L256" s="1" t="s">
        <v>3987</v>
      </c>
      <c r="M256" s="1" t="s">
        <v>3999</v>
      </c>
      <c r="N256" s="1" t="s">
        <v>13</v>
      </c>
      <c r="O256" s="1" t="s">
        <v>3999</v>
      </c>
      <c r="P256" s="1" t="s">
        <v>13</v>
      </c>
      <c r="Q256" s="1" t="s">
        <v>4000</v>
      </c>
      <c r="R256" s="1" t="s">
        <v>4001</v>
      </c>
      <c r="S256" s="1" t="s">
        <v>3994</v>
      </c>
      <c r="T256" s="4">
        <v>1</v>
      </c>
    </row>
    <row r="257" spans="1:20">
      <c r="A257" s="1" t="s">
        <v>3981</v>
      </c>
      <c r="B257" s="1" t="s">
        <v>312</v>
      </c>
      <c r="C257" s="1" t="s">
        <v>3982</v>
      </c>
      <c r="D257" s="1" t="s">
        <v>465</v>
      </c>
      <c r="E257" s="2">
        <v>45723</v>
      </c>
      <c r="F257" s="2">
        <v>45723</v>
      </c>
      <c r="G257" s="1" t="s">
        <v>3990</v>
      </c>
      <c r="H257" s="3" t="s">
        <v>11</v>
      </c>
      <c r="I257" s="1" t="s">
        <v>3984</v>
      </c>
      <c r="J257" s="1" t="s">
        <v>12</v>
      </c>
      <c r="K257" s="3" t="s">
        <v>3995</v>
      </c>
      <c r="L257" s="1" t="s">
        <v>3987</v>
      </c>
      <c r="M257" s="1" t="s">
        <v>3996</v>
      </c>
      <c r="N257" s="1" t="s">
        <v>13</v>
      </c>
      <c r="O257" s="1" t="s">
        <v>3996</v>
      </c>
      <c r="P257" s="1" t="s">
        <v>13</v>
      </c>
      <c r="Q257" s="1" t="s">
        <v>14</v>
      </c>
      <c r="R257" s="1" t="s">
        <v>36</v>
      </c>
      <c r="S257" s="1" t="s">
        <v>3994</v>
      </c>
      <c r="T257" s="4">
        <v>1</v>
      </c>
    </row>
    <row r="258" spans="1:20">
      <c r="A258" s="1" t="s">
        <v>3981</v>
      </c>
      <c r="B258" s="1" t="s">
        <v>312</v>
      </c>
      <c r="C258" s="1" t="s">
        <v>3982</v>
      </c>
      <c r="D258" s="1" t="s">
        <v>465</v>
      </c>
      <c r="E258" s="2">
        <v>45723</v>
      </c>
      <c r="F258" s="2">
        <v>45723</v>
      </c>
      <c r="G258" s="1" t="s">
        <v>3990</v>
      </c>
      <c r="H258" s="3" t="s">
        <v>11</v>
      </c>
      <c r="I258" s="1" t="s">
        <v>3984</v>
      </c>
      <c r="J258" s="1" t="s">
        <v>12</v>
      </c>
      <c r="K258" s="3" t="s">
        <v>3995</v>
      </c>
      <c r="L258" s="1" t="s">
        <v>3987</v>
      </c>
      <c r="M258" s="1" t="s">
        <v>3996</v>
      </c>
      <c r="N258" s="1" t="s">
        <v>13</v>
      </c>
      <c r="O258" s="1" t="s">
        <v>3996</v>
      </c>
      <c r="P258" s="1" t="s">
        <v>13</v>
      </c>
      <c r="Q258" s="1" t="s">
        <v>14</v>
      </c>
      <c r="R258" s="1" t="s">
        <v>37</v>
      </c>
      <c r="S258" s="1" t="s">
        <v>3994</v>
      </c>
      <c r="T258" s="4">
        <v>1.8</v>
      </c>
    </row>
    <row r="259" spans="1:20">
      <c r="A259" s="1" t="s">
        <v>3981</v>
      </c>
      <c r="B259" s="1" t="s">
        <v>312</v>
      </c>
      <c r="C259" s="1" t="s">
        <v>3982</v>
      </c>
      <c r="D259" s="1" t="s">
        <v>465</v>
      </c>
      <c r="E259" s="2">
        <v>45723</v>
      </c>
      <c r="F259" s="2">
        <v>45723</v>
      </c>
      <c r="G259" s="1" t="s">
        <v>3990</v>
      </c>
      <c r="H259" s="3" t="s">
        <v>11</v>
      </c>
      <c r="I259" s="1" t="s">
        <v>3984</v>
      </c>
      <c r="J259" s="1" t="s">
        <v>12</v>
      </c>
      <c r="K259" s="3" t="s">
        <v>3995</v>
      </c>
      <c r="L259" s="1" t="s">
        <v>3987</v>
      </c>
      <c r="M259" s="1" t="s">
        <v>3996</v>
      </c>
      <c r="N259" s="1" t="s">
        <v>13</v>
      </c>
      <c r="O259" s="1" t="s">
        <v>3996</v>
      </c>
      <c r="P259" s="1" t="s">
        <v>13</v>
      </c>
      <c r="Q259" s="1" t="s">
        <v>14</v>
      </c>
      <c r="R259" s="1" t="s">
        <v>15</v>
      </c>
      <c r="S259" s="1" t="s">
        <v>3994</v>
      </c>
      <c r="T259" s="4">
        <v>2.8</v>
      </c>
    </row>
    <row r="260" spans="1:20">
      <c r="A260" s="1" t="s">
        <v>3981</v>
      </c>
      <c r="B260" s="1" t="s">
        <v>312</v>
      </c>
      <c r="C260" s="1" t="s">
        <v>3982</v>
      </c>
      <c r="D260" s="1" t="s">
        <v>465</v>
      </c>
      <c r="E260" s="2">
        <v>45723</v>
      </c>
      <c r="F260" s="2">
        <v>45723</v>
      </c>
      <c r="G260" s="1" t="s">
        <v>3990</v>
      </c>
      <c r="H260" s="3" t="s">
        <v>11</v>
      </c>
      <c r="I260" s="1" t="s">
        <v>3984</v>
      </c>
      <c r="J260" s="1" t="s">
        <v>12</v>
      </c>
      <c r="K260" s="3" t="s">
        <v>3995</v>
      </c>
      <c r="L260" s="1" t="s">
        <v>3987</v>
      </c>
      <c r="M260" s="1" t="s">
        <v>3996</v>
      </c>
      <c r="N260" s="1" t="s">
        <v>13</v>
      </c>
      <c r="O260" s="1" t="s">
        <v>3996</v>
      </c>
      <c r="P260" s="1" t="s">
        <v>13</v>
      </c>
      <c r="Q260" s="1" t="s">
        <v>44</v>
      </c>
      <c r="R260" s="1" t="s">
        <v>47</v>
      </c>
      <c r="S260" s="1" t="s">
        <v>3994</v>
      </c>
      <c r="T260" s="4">
        <v>2.7</v>
      </c>
    </row>
    <row r="261" spans="1:20">
      <c r="A261" s="1" t="s">
        <v>3981</v>
      </c>
      <c r="B261" s="1" t="s">
        <v>312</v>
      </c>
      <c r="C261" s="1" t="s">
        <v>3982</v>
      </c>
      <c r="D261" s="1" t="s">
        <v>465</v>
      </c>
      <c r="E261" s="2">
        <v>45723</v>
      </c>
      <c r="F261" s="2">
        <v>45723</v>
      </c>
      <c r="G261" s="1" t="s">
        <v>3990</v>
      </c>
      <c r="H261" s="3" t="s">
        <v>11</v>
      </c>
      <c r="I261" s="1" t="s">
        <v>3984</v>
      </c>
      <c r="J261" s="1" t="s">
        <v>12</v>
      </c>
      <c r="K261" s="3" t="s">
        <v>3995</v>
      </c>
      <c r="L261" s="1" t="s">
        <v>3987</v>
      </c>
      <c r="M261" s="1" t="s">
        <v>3996</v>
      </c>
      <c r="N261" s="1" t="s">
        <v>13</v>
      </c>
      <c r="O261" s="1" t="s">
        <v>3996</v>
      </c>
      <c r="P261" s="1" t="s">
        <v>13</v>
      </c>
      <c r="Q261" s="1" t="s">
        <v>16</v>
      </c>
      <c r="R261" s="1" t="s">
        <v>17</v>
      </c>
      <c r="S261" s="1" t="s">
        <v>3994</v>
      </c>
      <c r="T261" s="4">
        <v>14.4</v>
      </c>
    </row>
    <row r="262" spans="1:20">
      <c r="A262" s="1" t="s">
        <v>3981</v>
      </c>
      <c r="B262" s="1" t="s">
        <v>312</v>
      </c>
      <c r="C262" s="1" t="s">
        <v>3982</v>
      </c>
      <c r="D262" s="1" t="s">
        <v>465</v>
      </c>
      <c r="E262" s="2">
        <v>45723</v>
      </c>
      <c r="F262" s="2">
        <v>45723</v>
      </c>
      <c r="G262" s="1" t="s">
        <v>3990</v>
      </c>
      <c r="H262" s="3" t="s">
        <v>11</v>
      </c>
      <c r="I262" s="1" t="s">
        <v>3984</v>
      </c>
      <c r="J262" s="1" t="s">
        <v>12</v>
      </c>
      <c r="K262" s="3" t="s">
        <v>3995</v>
      </c>
      <c r="L262" s="1" t="s">
        <v>3987</v>
      </c>
      <c r="M262" s="1" t="s">
        <v>3996</v>
      </c>
      <c r="N262" s="1" t="s">
        <v>13</v>
      </c>
      <c r="O262" s="1" t="s">
        <v>3996</v>
      </c>
      <c r="P262" s="1" t="s">
        <v>13</v>
      </c>
      <c r="Q262" s="1" t="s">
        <v>16</v>
      </c>
      <c r="R262" s="1" t="s">
        <v>61</v>
      </c>
      <c r="S262" s="1" t="s">
        <v>3994</v>
      </c>
      <c r="T262" s="4">
        <v>0.7</v>
      </c>
    </row>
    <row r="263" spans="1:20">
      <c r="A263" s="1" t="s">
        <v>3981</v>
      </c>
      <c r="B263" s="1" t="s">
        <v>312</v>
      </c>
      <c r="C263" s="1" t="s">
        <v>3982</v>
      </c>
      <c r="D263" s="1" t="s">
        <v>465</v>
      </c>
      <c r="E263" s="2">
        <v>45723</v>
      </c>
      <c r="F263" s="2">
        <v>45723</v>
      </c>
      <c r="G263" s="1" t="s">
        <v>3990</v>
      </c>
      <c r="H263" s="3" t="s">
        <v>11</v>
      </c>
      <c r="I263" s="1" t="s">
        <v>3984</v>
      </c>
      <c r="J263" s="1" t="s">
        <v>12</v>
      </c>
      <c r="K263" s="3" t="s">
        <v>3995</v>
      </c>
      <c r="L263" s="1" t="s">
        <v>3987</v>
      </c>
      <c r="M263" s="1" t="s">
        <v>3996</v>
      </c>
      <c r="N263" s="1" t="s">
        <v>13</v>
      </c>
      <c r="O263" s="1" t="s">
        <v>3996</v>
      </c>
      <c r="P263" s="1" t="s">
        <v>13</v>
      </c>
      <c r="Q263" s="1" t="s">
        <v>30</v>
      </c>
      <c r="R263" s="1" t="s">
        <v>31</v>
      </c>
      <c r="S263" s="1" t="s">
        <v>3994</v>
      </c>
      <c r="T263" s="4">
        <v>5.6</v>
      </c>
    </row>
    <row r="264" spans="1:20">
      <c r="A264" s="1" t="s">
        <v>3981</v>
      </c>
      <c r="B264" s="1" t="s">
        <v>312</v>
      </c>
      <c r="C264" s="1" t="s">
        <v>3982</v>
      </c>
      <c r="D264" s="1" t="s">
        <v>465</v>
      </c>
      <c r="E264" s="2">
        <v>45723</v>
      </c>
      <c r="F264" s="2">
        <v>45723</v>
      </c>
      <c r="G264" s="1" t="s">
        <v>3990</v>
      </c>
      <c r="H264" s="3" t="s">
        <v>11</v>
      </c>
      <c r="I264" s="1" t="s">
        <v>3984</v>
      </c>
      <c r="J264" s="1" t="s">
        <v>12</v>
      </c>
      <c r="K264" s="3" t="s">
        <v>3995</v>
      </c>
      <c r="L264" s="1" t="s">
        <v>3987</v>
      </c>
      <c r="M264" s="1" t="s">
        <v>4010</v>
      </c>
      <c r="N264" s="1" t="s">
        <v>4011</v>
      </c>
      <c r="O264" s="1" t="s">
        <v>13</v>
      </c>
      <c r="P264" s="1" t="s">
        <v>13</v>
      </c>
      <c r="Q264" s="1" t="s">
        <v>4001</v>
      </c>
      <c r="R264" s="1" t="s">
        <v>4012</v>
      </c>
      <c r="S264" s="1" t="s">
        <v>3994</v>
      </c>
      <c r="T264" s="4">
        <v>4.3</v>
      </c>
    </row>
    <row r="265" spans="1:20">
      <c r="A265" s="1" t="s">
        <v>3981</v>
      </c>
      <c r="B265" s="1" t="s">
        <v>312</v>
      </c>
      <c r="C265" s="1" t="s">
        <v>3982</v>
      </c>
      <c r="D265" s="1" t="s">
        <v>465</v>
      </c>
      <c r="E265" s="2">
        <v>45723</v>
      </c>
      <c r="F265" s="2">
        <v>45723</v>
      </c>
      <c r="G265" s="1" t="s">
        <v>3990</v>
      </c>
      <c r="H265" s="3" t="s">
        <v>11</v>
      </c>
      <c r="I265" s="1" t="s">
        <v>3984</v>
      </c>
      <c r="J265" s="1" t="s">
        <v>12</v>
      </c>
      <c r="K265" s="3" t="s">
        <v>3995</v>
      </c>
      <c r="L265" s="1" t="s">
        <v>4002</v>
      </c>
      <c r="M265" s="1" t="s">
        <v>4003</v>
      </c>
      <c r="N265" s="1" t="s">
        <v>13</v>
      </c>
      <c r="O265" s="1" t="s">
        <v>4003</v>
      </c>
      <c r="P265" s="1" t="s">
        <v>13</v>
      </c>
      <c r="Q265" s="1" t="s">
        <v>4004</v>
      </c>
      <c r="R265" s="1" t="s">
        <v>4001</v>
      </c>
      <c r="S265" s="1" t="s">
        <v>3994</v>
      </c>
      <c r="T265" s="4">
        <v>2.5</v>
      </c>
    </row>
    <row r="266" spans="1:20">
      <c r="A266" s="1" t="s">
        <v>3981</v>
      </c>
      <c r="B266" s="1" t="s">
        <v>312</v>
      </c>
      <c r="C266" s="1" t="s">
        <v>3982</v>
      </c>
      <c r="D266" s="1" t="s">
        <v>465</v>
      </c>
      <c r="E266" s="2">
        <v>45723</v>
      </c>
      <c r="F266" s="2">
        <v>45723</v>
      </c>
      <c r="G266" s="1" t="s">
        <v>3990</v>
      </c>
      <c r="H266" s="3" t="s">
        <v>11</v>
      </c>
      <c r="I266" s="1" t="s">
        <v>3984</v>
      </c>
      <c r="J266" s="1" t="s">
        <v>12</v>
      </c>
      <c r="K266" s="3" t="s">
        <v>3995</v>
      </c>
      <c r="L266" s="1" t="s">
        <v>4032</v>
      </c>
      <c r="M266" s="1" t="s">
        <v>4033</v>
      </c>
      <c r="N266" s="1" t="s">
        <v>13</v>
      </c>
      <c r="O266" s="1" t="s">
        <v>4033</v>
      </c>
      <c r="P266" s="1" t="s">
        <v>13</v>
      </c>
      <c r="Q266" s="1" t="s">
        <v>4034</v>
      </c>
      <c r="R266" s="1" t="s">
        <v>4001</v>
      </c>
      <c r="S266" s="1" t="s">
        <v>3994</v>
      </c>
      <c r="T266" s="4">
        <v>8</v>
      </c>
    </row>
    <row r="267" spans="1:20">
      <c r="A267" s="1" t="s">
        <v>3981</v>
      </c>
      <c r="B267" s="1" t="s">
        <v>312</v>
      </c>
      <c r="C267" s="1" t="s">
        <v>3982</v>
      </c>
      <c r="D267" s="1" t="s">
        <v>465</v>
      </c>
      <c r="E267" s="2">
        <v>45723</v>
      </c>
      <c r="F267" s="2">
        <v>45723</v>
      </c>
      <c r="G267" s="1" t="s">
        <v>3997</v>
      </c>
      <c r="H267" s="3" t="s">
        <v>41</v>
      </c>
      <c r="I267" s="1" t="s">
        <v>3984</v>
      </c>
      <c r="J267" s="1" t="s">
        <v>12</v>
      </c>
      <c r="K267" s="3" t="s">
        <v>3995</v>
      </c>
      <c r="L267" s="1" t="s">
        <v>3987</v>
      </c>
      <c r="M267" s="1" t="s">
        <v>3999</v>
      </c>
      <c r="N267" s="1" t="s">
        <v>13</v>
      </c>
      <c r="O267" s="1" t="s">
        <v>3999</v>
      </c>
      <c r="P267" s="1" t="s">
        <v>13</v>
      </c>
      <c r="Q267" s="1" t="s">
        <v>4000</v>
      </c>
      <c r="R267" s="1" t="s">
        <v>4001</v>
      </c>
      <c r="S267" s="1" t="s">
        <v>3998</v>
      </c>
      <c r="T267" s="4">
        <v>23.5</v>
      </c>
    </row>
    <row r="268" spans="1:20">
      <c r="A268" s="1" t="s">
        <v>3981</v>
      </c>
      <c r="B268" s="1" t="s">
        <v>312</v>
      </c>
      <c r="C268" s="1" t="s">
        <v>3982</v>
      </c>
      <c r="D268" s="1" t="s">
        <v>465</v>
      </c>
      <c r="E268" s="2">
        <v>45723</v>
      </c>
      <c r="F268" s="2">
        <v>45723</v>
      </c>
      <c r="G268" s="1" t="s">
        <v>3997</v>
      </c>
      <c r="H268" s="3" t="s">
        <v>41</v>
      </c>
      <c r="I268" s="1" t="s">
        <v>3984</v>
      </c>
      <c r="J268" s="1" t="s">
        <v>12</v>
      </c>
      <c r="K268" s="3" t="s">
        <v>3995</v>
      </c>
      <c r="L268" s="1" t="s">
        <v>4002</v>
      </c>
      <c r="M268" s="1" t="s">
        <v>4003</v>
      </c>
      <c r="N268" s="1" t="s">
        <v>13</v>
      </c>
      <c r="O268" s="1" t="s">
        <v>4003</v>
      </c>
      <c r="P268" s="1" t="s">
        <v>13</v>
      </c>
      <c r="Q268" s="1" t="s">
        <v>4004</v>
      </c>
      <c r="R268" s="1" t="s">
        <v>4001</v>
      </c>
      <c r="S268" s="1" t="s">
        <v>3998</v>
      </c>
      <c r="T268" s="4">
        <v>26.5</v>
      </c>
    </row>
    <row r="269" spans="1:20">
      <c r="A269" s="1" t="s">
        <v>3981</v>
      </c>
      <c r="B269" s="1" t="s">
        <v>312</v>
      </c>
      <c r="C269" s="1" t="s">
        <v>3982</v>
      </c>
      <c r="D269" s="1" t="s">
        <v>465</v>
      </c>
      <c r="E269" s="2">
        <v>45723</v>
      </c>
      <c r="F269" s="2">
        <v>45723</v>
      </c>
      <c r="G269" s="1" t="s">
        <v>4005</v>
      </c>
      <c r="H269" s="3" t="s">
        <v>21</v>
      </c>
      <c r="I269" s="1" t="s">
        <v>3984</v>
      </c>
      <c r="J269" s="1" t="s">
        <v>12</v>
      </c>
      <c r="K269" s="3" t="s">
        <v>3995</v>
      </c>
      <c r="L269" s="1" t="s">
        <v>3987</v>
      </c>
      <c r="M269" s="1" t="s">
        <v>3996</v>
      </c>
      <c r="N269" s="1" t="s">
        <v>13</v>
      </c>
      <c r="O269" s="1" t="s">
        <v>3996</v>
      </c>
      <c r="P269" s="1" t="s">
        <v>13</v>
      </c>
      <c r="Q269" s="1" t="s">
        <v>14</v>
      </c>
      <c r="R269" s="1" t="s">
        <v>24</v>
      </c>
      <c r="S269" s="1" t="s">
        <v>4007</v>
      </c>
      <c r="T269" s="4">
        <v>18.2</v>
      </c>
    </row>
    <row r="270" spans="1:20">
      <c r="A270" s="1" t="s">
        <v>3981</v>
      </c>
      <c r="B270" s="1" t="s">
        <v>312</v>
      </c>
      <c r="C270" s="1" t="s">
        <v>3982</v>
      </c>
      <c r="D270" s="1" t="s">
        <v>465</v>
      </c>
      <c r="E270" s="2">
        <v>45723</v>
      </c>
      <c r="F270" s="2">
        <v>45723</v>
      </c>
      <c r="G270" s="1" t="s">
        <v>4005</v>
      </c>
      <c r="H270" s="3" t="s">
        <v>21</v>
      </c>
      <c r="I270" s="1" t="s">
        <v>3984</v>
      </c>
      <c r="J270" s="1" t="s">
        <v>12</v>
      </c>
      <c r="K270" s="3" t="s">
        <v>3995</v>
      </c>
      <c r="L270" s="1" t="s">
        <v>3987</v>
      </c>
      <c r="M270" s="1" t="s">
        <v>3996</v>
      </c>
      <c r="N270" s="1" t="s">
        <v>13</v>
      </c>
      <c r="O270" s="1" t="s">
        <v>3996</v>
      </c>
      <c r="P270" s="1" t="s">
        <v>13</v>
      </c>
      <c r="Q270" s="1" t="s">
        <v>14</v>
      </c>
      <c r="R270" s="1" t="s">
        <v>23</v>
      </c>
      <c r="S270" s="1" t="s">
        <v>4007</v>
      </c>
      <c r="T270" s="4">
        <v>1.4</v>
      </c>
    </row>
    <row r="271" spans="1:20">
      <c r="A271" s="1" t="s">
        <v>3981</v>
      </c>
      <c r="B271" s="1" t="s">
        <v>312</v>
      </c>
      <c r="C271" s="1" t="s">
        <v>3982</v>
      </c>
      <c r="D271" s="1" t="s">
        <v>465</v>
      </c>
      <c r="E271" s="2">
        <v>45723</v>
      </c>
      <c r="F271" s="2">
        <v>45723</v>
      </c>
      <c r="G271" s="1" t="s">
        <v>4005</v>
      </c>
      <c r="H271" s="3" t="s">
        <v>21</v>
      </c>
      <c r="I271" s="1" t="s">
        <v>3984</v>
      </c>
      <c r="J271" s="1" t="s">
        <v>12</v>
      </c>
      <c r="K271" s="3" t="s">
        <v>3995</v>
      </c>
      <c r="L271" s="1" t="s">
        <v>3987</v>
      </c>
      <c r="M271" s="1" t="s">
        <v>3996</v>
      </c>
      <c r="N271" s="1" t="s">
        <v>13</v>
      </c>
      <c r="O271" s="1" t="s">
        <v>3996</v>
      </c>
      <c r="P271" s="1" t="s">
        <v>13</v>
      </c>
      <c r="Q271" s="1" t="s">
        <v>14</v>
      </c>
      <c r="R271" s="1" t="s">
        <v>42</v>
      </c>
      <c r="S271" s="1" t="s">
        <v>4007</v>
      </c>
      <c r="T271" s="4">
        <v>16.5</v>
      </c>
    </row>
    <row r="272" spans="1:20">
      <c r="A272" s="1" t="s">
        <v>3981</v>
      </c>
      <c r="B272" s="1" t="s">
        <v>312</v>
      </c>
      <c r="C272" s="1" t="s">
        <v>3982</v>
      </c>
      <c r="D272" s="1" t="s">
        <v>465</v>
      </c>
      <c r="E272" s="2">
        <v>45723</v>
      </c>
      <c r="F272" s="2">
        <v>45723</v>
      </c>
      <c r="G272" s="1" t="s">
        <v>4005</v>
      </c>
      <c r="H272" s="3" t="s">
        <v>21</v>
      </c>
      <c r="I272" s="1" t="s">
        <v>3984</v>
      </c>
      <c r="J272" s="1" t="s">
        <v>12</v>
      </c>
      <c r="K272" s="3" t="s">
        <v>3995</v>
      </c>
      <c r="L272" s="1" t="s">
        <v>3987</v>
      </c>
      <c r="M272" s="1" t="s">
        <v>3996</v>
      </c>
      <c r="N272" s="1" t="s">
        <v>13</v>
      </c>
      <c r="O272" s="1" t="s">
        <v>3996</v>
      </c>
      <c r="P272" s="1" t="s">
        <v>13</v>
      </c>
      <c r="Q272" s="1" t="s">
        <v>28</v>
      </c>
      <c r="R272" s="1" t="s">
        <v>58</v>
      </c>
      <c r="S272" s="1" t="s">
        <v>4007</v>
      </c>
      <c r="T272" s="4">
        <v>5.5</v>
      </c>
    </row>
    <row r="273" spans="1:20">
      <c r="A273" s="1" t="s">
        <v>3981</v>
      </c>
      <c r="B273" s="1" t="s">
        <v>312</v>
      </c>
      <c r="C273" s="1" t="s">
        <v>3982</v>
      </c>
      <c r="D273" s="1" t="s">
        <v>465</v>
      </c>
      <c r="E273" s="2">
        <v>45723</v>
      </c>
      <c r="F273" s="2">
        <v>45723</v>
      </c>
      <c r="G273" s="1" t="s">
        <v>4005</v>
      </c>
      <c r="H273" s="3" t="s">
        <v>21</v>
      </c>
      <c r="I273" s="1" t="s">
        <v>3984</v>
      </c>
      <c r="J273" s="1" t="s">
        <v>12</v>
      </c>
      <c r="K273" s="3" t="s">
        <v>3995</v>
      </c>
      <c r="L273" s="1" t="s">
        <v>3987</v>
      </c>
      <c r="M273" s="1" t="s">
        <v>3996</v>
      </c>
      <c r="N273" s="1" t="s">
        <v>13</v>
      </c>
      <c r="O273" s="1" t="s">
        <v>3996</v>
      </c>
      <c r="P273" s="1" t="s">
        <v>13</v>
      </c>
      <c r="Q273" s="1" t="s">
        <v>28</v>
      </c>
      <c r="R273" s="1" t="s">
        <v>29</v>
      </c>
      <c r="S273" s="1" t="s">
        <v>4007</v>
      </c>
      <c r="T273" s="4">
        <v>2.4</v>
      </c>
    </row>
    <row r="274" spans="1:20">
      <c r="A274" s="1" t="s">
        <v>3981</v>
      </c>
      <c r="B274" s="1" t="s">
        <v>312</v>
      </c>
      <c r="C274" s="1" t="s">
        <v>3982</v>
      </c>
      <c r="D274" s="1" t="s">
        <v>465</v>
      </c>
      <c r="E274" s="2">
        <v>45723</v>
      </c>
      <c r="F274" s="2">
        <v>45723</v>
      </c>
      <c r="G274" s="1" t="s">
        <v>4008</v>
      </c>
      <c r="H274" s="3" t="s">
        <v>25</v>
      </c>
      <c r="I274" s="1" t="s">
        <v>3984</v>
      </c>
      <c r="J274" s="1" t="s">
        <v>12</v>
      </c>
      <c r="K274" s="3" t="s">
        <v>3995</v>
      </c>
      <c r="L274" s="1" t="s">
        <v>4013</v>
      </c>
      <c r="M274" s="1" t="s">
        <v>4040</v>
      </c>
      <c r="N274" s="1" t="s">
        <v>4041</v>
      </c>
      <c r="O274" s="1" t="s">
        <v>13</v>
      </c>
      <c r="P274" s="1" t="s">
        <v>13</v>
      </c>
      <c r="Q274" s="1" t="s">
        <v>13</v>
      </c>
      <c r="R274" s="1" t="s">
        <v>13</v>
      </c>
      <c r="S274" s="1" t="s">
        <v>4009</v>
      </c>
      <c r="T274" s="4">
        <v>0.2</v>
      </c>
    </row>
    <row r="275" spans="1:20">
      <c r="A275" s="1" t="s">
        <v>3981</v>
      </c>
      <c r="B275" s="1" t="s">
        <v>312</v>
      </c>
      <c r="C275" s="1" t="s">
        <v>3982</v>
      </c>
      <c r="D275" s="1" t="s">
        <v>465</v>
      </c>
      <c r="E275" s="2">
        <v>45723</v>
      </c>
      <c r="F275" s="2">
        <v>45723</v>
      </c>
      <c r="G275" s="1" t="s">
        <v>4008</v>
      </c>
      <c r="H275" s="3" t="s">
        <v>25</v>
      </c>
      <c r="I275" s="1" t="s">
        <v>3984</v>
      </c>
      <c r="J275" s="1" t="s">
        <v>12</v>
      </c>
      <c r="K275" s="3" t="s">
        <v>3995</v>
      </c>
      <c r="L275" s="1" t="s">
        <v>4013</v>
      </c>
      <c r="M275" s="1" t="s">
        <v>4042</v>
      </c>
      <c r="N275" s="1" t="s">
        <v>4043</v>
      </c>
      <c r="O275" s="1" t="s">
        <v>13</v>
      </c>
      <c r="P275" s="1" t="s">
        <v>13</v>
      </c>
      <c r="Q275" s="1" t="s">
        <v>13</v>
      </c>
      <c r="R275" s="1" t="s">
        <v>13</v>
      </c>
      <c r="S275" s="1" t="s">
        <v>4009</v>
      </c>
      <c r="T275" s="4">
        <v>0.5</v>
      </c>
    </row>
    <row r="276" spans="1:20">
      <c r="A276" s="1" t="s">
        <v>3981</v>
      </c>
      <c r="B276" s="1" t="s">
        <v>312</v>
      </c>
      <c r="C276" s="1" t="s">
        <v>3982</v>
      </c>
      <c r="D276" s="1" t="s">
        <v>465</v>
      </c>
      <c r="E276" s="2">
        <v>45723</v>
      </c>
      <c r="F276" s="2">
        <v>45723</v>
      </c>
      <c r="G276" s="1" t="s">
        <v>4008</v>
      </c>
      <c r="H276" s="3" t="s">
        <v>25</v>
      </c>
      <c r="I276" s="1" t="s">
        <v>3984</v>
      </c>
      <c r="J276" s="1" t="s">
        <v>12</v>
      </c>
      <c r="K276" s="3" t="s">
        <v>3995</v>
      </c>
      <c r="L276" s="1" t="s">
        <v>3987</v>
      </c>
      <c r="M276" s="1" t="s">
        <v>3996</v>
      </c>
      <c r="N276" s="1" t="s">
        <v>13</v>
      </c>
      <c r="O276" s="1" t="s">
        <v>3996</v>
      </c>
      <c r="P276" s="1" t="s">
        <v>13</v>
      </c>
      <c r="Q276" s="1" t="s">
        <v>14</v>
      </c>
      <c r="R276" s="1" t="s">
        <v>37</v>
      </c>
      <c r="S276" s="1" t="s">
        <v>4009</v>
      </c>
      <c r="T276" s="4">
        <v>0.5</v>
      </c>
    </row>
    <row r="277" spans="1:20">
      <c r="A277" s="1" t="s">
        <v>3981</v>
      </c>
      <c r="B277" s="1" t="s">
        <v>312</v>
      </c>
      <c r="C277" s="1" t="s">
        <v>3982</v>
      </c>
      <c r="D277" s="1" t="s">
        <v>465</v>
      </c>
      <c r="E277" s="2">
        <v>45723</v>
      </c>
      <c r="F277" s="2">
        <v>45723</v>
      </c>
      <c r="G277" s="1" t="s">
        <v>4008</v>
      </c>
      <c r="H277" s="3" t="s">
        <v>25</v>
      </c>
      <c r="I277" s="1" t="s">
        <v>3984</v>
      </c>
      <c r="J277" s="1" t="s">
        <v>12</v>
      </c>
      <c r="K277" s="3" t="s">
        <v>3995</v>
      </c>
      <c r="L277" s="1" t="s">
        <v>3987</v>
      </c>
      <c r="M277" s="1" t="s">
        <v>3996</v>
      </c>
      <c r="N277" s="1" t="s">
        <v>13</v>
      </c>
      <c r="O277" s="1" t="s">
        <v>3996</v>
      </c>
      <c r="P277" s="1" t="s">
        <v>13</v>
      </c>
      <c r="Q277" s="1" t="s">
        <v>44</v>
      </c>
      <c r="R277" s="1" t="s">
        <v>45</v>
      </c>
      <c r="S277" s="1" t="s">
        <v>4009</v>
      </c>
      <c r="T277" s="4">
        <v>9.3000000000000007</v>
      </c>
    </row>
    <row r="278" spans="1:20">
      <c r="A278" s="1" t="s">
        <v>3981</v>
      </c>
      <c r="B278" s="1" t="s">
        <v>312</v>
      </c>
      <c r="C278" s="1" t="s">
        <v>3982</v>
      </c>
      <c r="D278" s="1" t="s">
        <v>465</v>
      </c>
      <c r="E278" s="2">
        <v>45723</v>
      </c>
      <c r="F278" s="2">
        <v>45723</v>
      </c>
      <c r="G278" s="1" t="s">
        <v>4008</v>
      </c>
      <c r="H278" s="3" t="s">
        <v>25</v>
      </c>
      <c r="I278" s="1" t="s">
        <v>3984</v>
      </c>
      <c r="J278" s="1" t="s">
        <v>12</v>
      </c>
      <c r="K278" s="3" t="s">
        <v>3995</v>
      </c>
      <c r="L278" s="1" t="s">
        <v>3987</v>
      </c>
      <c r="M278" s="1" t="s">
        <v>3996</v>
      </c>
      <c r="N278" s="1" t="s">
        <v>13</v>
      </c>
      <c r="O278" s="1" t="s">
        <v>3996</v>
      </c>
      <c r="P278" s="1" t="s">
        <v>13</v>
      </c>
      <c r="Q278" s="1" t="s">
        <v>38</v>
      </c>
      <c r="R278" s="1" t="s">
        <v>46</v>
      </c>
      <c r="S278" s="1" t="s">
        <v>4009</v>
      </c>
      <c r="T278" s="4">
        <v>0.4</v>
      </c>
    </row>
    <row r="279" spans="1:20">
      <c r="A279" s="1" t="s">
        <v>3981</v>
      </c>
      <c r="B279" s="1" t="s">
        <v>312</v>
      </c>
      <c r="C279" s="1" t="s">
        <v>3982</v>
      </c>
      <c r="D279" s="1" t="s">
        <v>465</v>
      </c>
      <c r="E279" s="2">
        <v>45723</v>
      </c>
      <c r="F279" s="2">
        <v>45723</v>
      </c>
      <c r="G279" s="1" t="s">
        <v>4008</v>
      </c>
      <c r="H279" s="3" t="s">
        <v>25</v>
      </c>
      <c r="I279" s="1" t="s">
        <v>3984</v>
      </c>
      <c r="J279" s="1" t="s">
        <v>12</v>
      </c>
      <c r="K279" s="3" t="s">
        <v>3995</v>
      </c>
      <c r="L279" s="1" t="s">
        <v>3987</v>
      </c>
      <c r="M279" s="1" t="s">
        <v>3996</v>
      </c>
      <c r="N279" s="1" t="s">
        <v>13</v>
      </c>
      <c r="O279" s="1" t="s">
        <v>3996</v>
      </c>
      <c r="P279" s="1" t="s">
        <v>13</v>
      </c>
      <c r="Q279" s="1" t="s">
        <v>38</v>
      </c>
      <c r="R279" s="1" t="s">
        <v>52</v>
      </c>
      <c r="S279" s="1" t="s">
        <v>4009</v>
      </c>
      <c r="T279" s="4">
        <v>1.1000000000000001</v>
      </c>
    </row>
    <row r="280" spans="1:20">
      <c r="A280" s="1" t="s">
        <v>3981</v>
      </c>
      <c r="B280" s="1" t="s">
        <v>312</v>
      </c>
      <c r="C280" s="1" t="s">
        <v>3982</v>
      </c>
      <c r="D280" s="1" t="s">
        <v>465</v>
      </c>
      <c r="E280" s="2">
        <v>45723</v>
      </c>
      <c r="F280" s="2">
        <v>45723</v>
      </c>
      <c r="G280" s="1" t="s">
        <v>4008</v>
      </c>
      <c r="H280" s="3" t="s">
        <v>25</v>
      </c>
      <c r="I280" s="1" t="s">
        <v>3984</v>
      </c>
      <c r="J280" s="1" t="s">
        <v>12</v>
      </c>
      <c r="K280" s="3" t="s">
        <v>3995</v>
      </c>
      <c r="L280" s="1" t="s">
        <v>3987</v>
      </c>
      <c r="M280" s="1" t="s">
        <v>3996</v>
      </c>
      <c r="N280" s="1" t="s">
        <v>13</v>
      </c>
      <c r="O280" s="1" t="s">
        <v>3996</v>
      </c>
      <c r="P280" s="1" t="s">
        <v>13</v>
      </c>
      <c r="Q280" s="1" t="s">
        <v>30</v>
      </c>
      <c r="R280" s="1" t="s">
        <v>53</v>
      </c>
      <c r="S280" s="1" t="s">
        <v>4009</v>
      </c>
      <c r="T280" s="4">
        <v>1</v>
      </c>
    </row>
    <row r="281" spans="1:20">
      <c r="A281" s="1" t="s">
        <v>3981</v>
      </c>
      <c r="B281" s="1" t="s">
        <v>312</v>
      </c>
      <c r="C281" s="1" t="s">
        <v>3982</v>
      </c>
      <c r="D281" s="1" t="s">
        <v>465</v>
      </c>
      <c r="E281" s="2">
        <v>45723</v>
      </c>
      <c r="F281" s="2">
        <v>45723</v>
      </c>
      <c r="G281" s="1" t="s">
        <v>4008</v>
      </c>
      <c r="H281" s="3" t="s">
        <v>25</v>
      </c>
      <c r="I281" s="1" t="s">
        <v>3984</v>
      </c>
      <c r="J281" s="1" t="s">
        <v>12</v>
      </c>
      <c r="K281" s="3" t="s">
        <v>3995</v>
      </c>
      <c r="L281" s="1" t="s">
        <v>3987</v>
      </c>
      <c r="M281" s="1" t="s">
        <v>3996</v>
      </c>
      <c r="N281" s="1" t="s">
        <v>13</v>
      </c>
      <c r="O281" s="1" t="s">
        <v>3996</v>
      </c>
      <c r="P281" s="1" t="s">
        <v>13</v>
      </c>
      <c r="Q281" s="1" t="s">
        <v>30</v>
      </c>
      <c r="R281" s="1" t="s">
        <v>31</v>
      </c>
      <c r="S281" s="1" t="s">
        <v>4009</v>
      </c>
      <c r="T281" s="4">
        <v>45.5</v>
      </c>
    </row>
    <row r="282" spans="1:20">
      <c r="A282" s="1" t="s">
        <v>3981</v>
      </c>
      <c r="B282" s="1" t="s">
        <v>312</v>
      </c>
      <c r="C282" s="1" t="s">
        <v>3982</v>
      </c>
      <c r="D282" s="1" t="s">
        <v>465</v>
      </c>
      <c r="E282" s="2">
        <v>45723</v>
      </c>
      <c r="F282" s="2">
        <v>45723</v>
      </c>
      <c r="G282" s="1" t="s">
        <v>4008</v>
      </c>
      <c r="H282" s="3" t="s">
        <v>25</v>
      </c>
      <c r="I282" s="1" t="s">
        <v>3984</v>
      </c>
      <c r="J282" s="1" t="s">
        <v>12</v>
      </c>
      <c r="K282" s="3" t="s">
        <v>3995</v>
      </c>
      <c r="L282" s="1" t="s">
        <v>3987</v>
      </c>
      <c r="M282" s="1" t="s">
        <v>3996</v>
      </c>
      <c r="N282" s="1" t="s">
        <v>13</v>
      </c>
      <c r="O282" s="1" t="s">
        <v>3996</v>
      </c>
      <c r="P282" s="1" t="s">
        <v>13</v>
      </c>
      <c r="Q282" s="1" t="s">
        <v>30</v>
      </c>
      <c r="R282" s="1" t="s">
        <v>62</v>
      </c>
      <c r="S282" s="1" t="s">
        <v>4009</v>
      </c>
      <c r="T282" s="4">
        <v>0.5</v>
      </c>
    </row>
    <row r="283" spans="1:20">
      <c r="A283" s="1" t="s">
        <v>3981</v>
      </c>
      <c r="B283" s="1" t="s">
        <v>312</v>
      </c>
      <c r="C283" s="1" t="s">
        <v>3982</v>
      </c>
      <c r="D283" s="1" t="s">
        <v>465</v>
      </c>
      <c r="E283" s="2">
        <v>45737</v>
      </c>
      <c r="F283" s="2">
        <v>45730</v>
      </c>
      <c r="G283" s="1" t="s">
        <v>3983</v>
      </c>
      <c r="H283" s="3" t="s">
        <v>32</v>
      </c>
      <c r="I283" s="1" t="s">
        <v>3984</v>
      </c>
      <c r="J283" s="1" t="s">
        <v>12</v>
      </c>
      <c r="K283" s="3" t="s">
        <v>3995</v>
      </c>
      <c r="L283" s="1" t="s">
        <v>3987</v>
      </c>
      <c r="M283" s="1" t="s">
        <v>3999</v>
      </c>
      <c r="N283" s="1" t="s">
        <v>13</v>
      </c>
      <c r="O283" s="1" t="s">
        <v>3999</v>
      </c>
      <c r="P283" s="1" t="s">
        <v>13</v>
      </c>
      <c r="Q283" s="1" t="s">
        <v>4044</v>
      </c>
      <c r="R283" s="1" t="s">
        <v>4037</v>
      </c>
      <c r="S283" s="1" t="s">
        <v>3989</v>
      </c>
      <c r="T283" s="4">
        <v>2</v>
      </c>
    </row>
    <row r="284" spans="1:20">
      <c r="A284" s="1" t="s">
        <v>3981</v>
      </c>
      <c r="B284" s="1" t="s">
        <v>312</v>
      </c>
      <c r="C284" s="1" t="s">
        <v>3982</v>
      </c>
      <c r="D284" s="1" t="s">
        <v>465</v>
      </c>
      <c r="E284" s="2">
        <v>45737</v>
      </c>
      <c r="F284" s="2">
        <v>45730</v>
      </c>
      <c r="G284" s="1" t="s">
        <v>3983</v>
      </c>
      <c r="H284" s="3" t="s">
        <v>32</v>
      </c>
      <c r="I284" s="1" t="s">
        <v>3984</v>
      </c>
      <c r="J284" s="1" t="s">
        <v>12</v>
      </c>
      <c r="K284" s="3" t="s">
        <v>3995</v>
      </c>
      <c r="L284" s="1" t="s">
        <v>3987</v>
      </c>
      <c r="M284" s="1" t="s">
        <v>3996</v>
      </c>
      <c r="N284" s="1" t="s">
        <v>13</v>
      </c>
      <c r="O284" s="1" t="s">
        <v>3996</v>
      </c>
      <c r="P284" s="1" t="s">
        <v>13</v>
      </c>
      <c r="Q284" s="1" t="s">
        <v>14</v>
      </c>
      <c r="R284" s="1" t="s">
        <v>54</v>
      </c>
      <c r="S284" s="1" t="s">
        <v>3989</v>
      </c>
      <c r="T284" s="4">
        <v>13</v>
      </c>
    </row>
    <row r="285" spans="1:20">
      <c r="A285" s="1" t="s">
        <v>3981</v>
      </c>
      <c r="B285" s="1" t="s">
        <v>312</v>
      </c>
      <c r="C285" s="1" t="s">
        <v>3982</v>
      </c>
      <c r="D285" s="1" t="s">
        <v>465</v>
      </c>
      <c r="E285" s="2">
        <v>45737</v>
      </c>
      <c r="F285" s="2">
        <v>45730</v>
      </c>
      <c r="G285" s="1" t="s">
        <v>3983</v>
      </c>
      <c r="H285" s="3" t="s">
        <v>32</v>
      </c>
      <c r="I285" s="1" t="s">
        <v>3984</v>
      </c>
      <c r="J285" s="1" t="s">
        <v>12</v>
      </c>
      <c r="K285" s="3" t="s">
        <v>3995</v>
      </c>
      <c r="L285" s="1" t="s">
        <v>3987</v>
      </c>
      <c r="M285" s="1" t="s">
        <v>3996</v>
      </c>
      <c r="N285" s="1" t="s">
        <v>13</v>
      </c>
      <c r="O285" s="1" t="s">
        <v>3996</v>
      </c>
      <c r="P285" s="1" t="s">
        <v>13</v>
      </c>
      <c r="Q285" s="1" t="s">
        <v>44</v>
      </c>
      <c r="R285" s="1" t="s">
        <v>47</v>
      </c>
      <c r="S285" s="1" t="s">
        <v>3989</v>
      </c>
      <c r="T285" s="4">
        <v>17</v>
      </c>
    </row>
    <row r="286" spans="1:20">
      <c r="A286" s="1" t="s">
        <v>3981</v>
      </c>
      <c r="B286" s="1" t="s">
        <v>312</v>
      </c>
      <c r="C286" s="1" t="s">
        <v>3982</v>
      </c>
      <c r="D286" s="1" t="s">
        <v>465</v>
      </c>
      <c r="E286" s="2">
        <v>45737</v>
      </c>
      <c r="F286" s="2">
        <v>45730</v>
      </c>
      <c r="G286" s="1" t="s">
        <v>3983</v>
      </c>
      <c r="H286" s="3" t="s">
        <v>32</v>
      </c>
      <c r="I286" s="1" t="s">
        <v>3984</v>
      </c>
      <c r="J286" s="1" t="s">
        <v>12</v>
      </c>
      <c r="K286" s="3" t="s">
        <v>3995</v>
      </c>
      <c r="L286" s="1" t="s">
        <v>3987</v>
      </c>
      <c r="M286" s="1" t="s">
        <v>4045</v>
      </c>
      <c r="N286" s="1" t="s">
        <v>13</v>
      </c>
      <c r="O286" s="1" t="s">
        <v>4045</v>
      </c>
      <c r="P286" s="1" t="s">
        <v>13</v>
      </c>
      <c r="Q286" s="1" t="s">
        <v>4046</v>
      </c>
      <c r="R286" s="1" t="s">
        <v>13</v>
      </c>
      <c r="S286" s="1" t="s">
        <v>3989</v>
      </c>
      <c r="T286" s="4">
        <v>3</v>
      </c>
    </row>
    <row r="287" spans="1:20">
      <c r="A287" s="1" t="s">
        <v>3981</v>
      </c>
      <c r="B287" s="1" t="s">
        <v>312</v>
      </c>
      <c r="C287" s="1" t="s">
        <v>3982</v>
      </c>
      <c r="D287" s="1" t="s">
        <v>465</v>
      </c>
      <c r="E287" s="2">
        <v>45737</v>
      </c>
      <c r="F287" s="2">
        <v>45730</v>
      </c>
      <c r="G287" s="1" t="s">
        <v>3983</v>
      </c>
      <c r="H287" s="3" t="s">
        <v>32</v>
      </c>
      <c r="I287" s="1" t="s">
        <v>3984</v>
      </c>
      <c r="J287" s="1" t="s">
        <v>12</v>
      </c>
      <c r="K287" s="3" t="s">
        <v>3995</v>
      </c>
      <c r="L287" s="1" t="s">
        <v>3987</v>
      </c>
      <c r="M287" s="1" t="s">
        <v>4047</v>
      </c>
      <c r="N287" s="1" t="s">
        <v>4011</v>
      </c>
      <c r="O287" s="1" t="s">
        <v>13</v>
      </c>
      <c r="P287" s="1" t="s">
        <v>13</v>
      </c>
      <c r="Q287" s="1" t="s">
        <v>4001</v>
      </c>
      <c r="R287" s="1" t="s">
        <v>4012</v>
      </c>
      <c r="S287" s="1" t="s">
        <v>3989</v>
      </c>
      <c r="T287" s="4">
        <v>1.5</v>
      </c>
    </row>
    <row r="288" spans="1:20">
      <c r="A288" s="1" t="s">
        <v>3981</v>
      </c>
      <c r="B288" s="1" t="s">
        <v>312</v>
      </c>
      <c r="C288" s="1" t="s">
        <v>3982</v>
      </c>
      <c r="D288" s="1" t="s">
        <v>465</v>
      </c>
      <c r="E288" s="2">
        <v>45737</v>
      </c>
      <c r="F288" s="2">
        <v>45730</v>
      </c>
      <c r="G288" s="1" t="s">
        <v>3983</v>
      </c>
      <c r="H288" s="3" t="s">
        <v>32</v>
      </c>
      <c r="I288" s="1" t="s">
        <v>3984</v>
      </c>
      <c r="J288" s="1" t="s">
        <v>12</v>
      </c>
      <c r="K288" s="3" t="s">
        <v>3995</v>
      </c>
      <c r="L288" s="1" t="s">
        <v>4002</v>
      </c>
      <c r="M288" s="1" t="s">
        <v>4003</v>
      </c>
      <c r="N288" s="1" t="s">
        <v>13</v>
      </c>
      <c r="O288" s="1" t="s">
        <v>4003</v>
      </c>
      <c r="P288" s="1" t="s">
        <v>13</v>
      </c>
      <c r="Q288" s="1" t="s">
        <v>4004</v>
      </c>
      <c r="R288" s="1" t="s">
        <v>4037</v>
      </c>
      <c r="S288" s="1" t="s">
        <v>3989</v>
      </c>
      <c r="T288" s="4">
        <v>3</v>
      </c>
    </row>
    <row r="289" spans="1:20">
      <c r="A289" s="1" t="s">
        <v>3981</v>
      </c>
      <c r="B289" s="1" t="s">
        <v>312</v>
      </c>
      <c r="C289" s="1" t="s">
        <v>3982</v>
      </c>
      <c r="D289" s="1" t="s">
        <v>465</v>
      </c>
      <c r="E289" s="2">
        <v>45737</v>
      </c>
      <c r="F289" s="2">
        <v>45730</v>
      </c>
      <c r="G289" s="1" t="s">
        <v>3983</v>
      </c>
      <c r="H289" s="3" t="s">
        <v>32</v>
      </c>
      <c r="I289" s="1" t="s">
        <v>3984</v>
      </c>
      <c r="J289" s="1" t="s">
        <v>12</v>
      </c>
      <c r="K289" s="3" t="s">
        <v>3995</v>
      </c>
      <c r="L289" s="1" t="s">
        <v>4032</v>
      </c>
      <c r="M289" s="1" t="s">
        <v>4033</v>
      </c>
      <c r="N289" s="1" t="s">
        <v>13</v>
      </c>
      <c r="O289" s="1" t="s">
        <v>4033</v>
      </c>
      <c r="P289" s="1" t="s">
        <v>13</v>
      </c>
      <c r="Q289" s="1" t="s">
        <v>4034</v>
      </c>
      <c r="R289" s="1" t="s">
        <v>4001</v>
      </c>
      <c r="S289" s="1" t="s">
        <v>3989</v>
      </c>
      <c r="T289" s="4">
        <v>0.5</v>
      </c>
    </row>
    <row r="290" spans="1:20">
      <c r="A290" s="1" t="s">
        <v>3981</v>
      </c>
      <c r="B290" s="1" t="s">
        <v>312</v>
      </c>
      <c r="C290" s="1" t="s">
        <v>3982</v>
      </c>
      <c r="D290" s="1" t="s">
        <v>465</v>
      </c>
      <c r="E290" s="2">
        <v>45737</v>
      </c>
      <c r="F290" s="2">
        <v>45730</v>
      </c>
      <c r="G290" s="1" t="s">
        <v>3990</v>
      </c>
      <c r="H290" s="3" t="s">
        <v>11</v>
      </c>
      <c r="I290" s="1" t="s">
        <v>3984</v>
      </c>
      <c r="J290" s="1" t="s">
        <v>12</v>
      </c>
      <c r="K290" s="3" t="s">
        <v>3995</v>
      </c>
      <c r="L290" s="1" t="s">
        <v>3987</v>
      </c>
      <c r="M290" s="1" t="s">
        <v>3996</v>
      </c>
      <c r="N290" s="1" t="s">
        <v>13</v>
      </c>
      <c r="O290" s="1" t="s">
        <v>3996</v>
      </c>
      <c r="P290" s="1" t="s">
        <v>13</v>
      </c>
      <c r="Q290" s="1" t="s">
        <v>14</v>
      </c>
      <c r="R290" s="1" t="s">
        <v>37</v>
      </c>
      <c r="S290" s="1" t="s">
        <v>3994</v>
      </c>
      <c r="T290" s="4">
        <v>1</v>
      </c>
    </row>
    <row r="291" spans="1:20">
      <c r="A291" s="1" t="s">
        <v>3981</v>
      </c>
      <c r="B291" s="1" t="s">
        <v>312</v>
      </c>
      <c r="C291" s="1" t="s">
        <v>3982</v>
      </c>
      <c r="D291" s="1" t="s">
        <v>465</v>
      </c>
      <c r="E291" s="2">
        <v>45737</v>
      </c>
      <c r="F291" s="2">
        <v>45730</v>
      </c>
      <c r="G291" s="1" t="s">
        <v>3990</v>
      </c>
      <c r="H291" s="3" t="s">
        <v>11</v>
      </c>
      <c r="I291" s="1" t="s">
        <v>3984</v>
      </c>
      <c r="J291" s="1" t="s">
        <v>12</v>
      </c>
      <c r="K291" s="3" t="s">
        <v>3995</v>
      </c>
      <c r="L291" s="1" t="s">
        <v>3987</v>
      </c>
      <c r="M291" s="1" t="s">
        <v>3996</v>
      </c>
      <c r="N291" s="1" t="s">
        <v>13</v>
      </c>
      <c r="O291" s="1" t="s">
        <v>3996</v>
      </c>
      <c r="P291" s="1" t="s">
        <v>13</v>
      </c>
      <c r="Q291" s="1" t="s">
        <v>14</v>
      </c>
      <c r="R291" s="1" t="s">
        <v>15</v>
      </c>
      <c r="S291" s="1" t="s">
        <v>3994</v>
      </c>
      <c r="T291" s="4">
        <v>2</v>
      </c>
    </row>
    <row r="292" spans="1:20">
      <c r="A292" s="1" t="s">
        <v>3981</v>
      </c>
      <c r="B292" s="1" t="s">
        <v>312</v>
      </c>
      <c r="C292" s="1" t="s">
        <v>3982</v>
      </c>
      <c r="D292" s="1" t="s">
        <v>465</v>
      </c>
      <c r="E292" s="2">
        <v>45737</v>
      </c>
      <c r="F292" s="2">
        <v>45730</v>
      </c>
      <c r="G292" s="1" t="s">
        <v>3990</v>
      </c>
      <c r="H292" s="3" t="s">
        <v>11</v>
      </c>
      <c r="I292" s="1" t="s">
        <v>3984</v>
      </c>
      <c r="J292" s="1" t="s">
        <v>12</v>
      </c>
      <c r="K292" s="3" t="s">
        <v>3995</v>
      </c>
      <c r="L292" s="1" t="s">
        <v>3987</v>
      </c>
      <c r="M292" s="1" t="s">
        <v>3996</v>
      </c>
      <c r="N292" s="1" t="s">
        <v>13</v>
      </c>
      <c r="O292" s="1" t="s">
        <v>3996</v>
      </c>
      <c r="P292" s="1" t="s">
        <v>13</v>
      </c>
      <c r="Q292" s="1" t="s">
        <v>28</v>
      </c>
      <c r="R292" s="1" t="s">
        <v>63</v>
      </c>
      <c r="S292" s="1" t="s">
        <v>3994</v>
      </c>
      <c r="T292" s="4">
        <v>0.5</v>
      </c>
    </row>
    <row r="293" spans="1:20">
      <c r="A293" s="1" t="s">
        <v>3981</v>
      </c>
      <c r="B293" s="1" t="s">
        <v>312</v>
      </c>
      <c r="C293" s="1" t="s">
        <v>3982</v>
      </c>
      <c r="D293" s="1" t="s">
        <v>465</v>
      </c>
      <c r="E293" s="2">
        <v>45737</v>
      </c>
      <c r="F293" s="2">
        <v>45730</v>
      </c>
      <c r="G293" s="1" t="s">
        <v>3990</v>
      </c>
      <c r="H293" s="3" t="s">
        <v>11</v>
      </c>
      <c r="I293" s="1" t="s">
        <v>3984</v>
      </c>
      <c r="J293" s="1" t="s">
        <v>12</v>
      </c>
      <c r="K293" s="3" t="s">
        <v>3995</v>
      </c>
      <c r="L293" s="1" t="s">
        <v>3987</v>
      </c>
      <c r="M293" s="1" t="s">
        <v>3996</v>
      </c>
      <c r="N293" s="1" t="s">
        <v>13</v>
      </c>
      <c r="O293" s="1" t="s">
        <v>3996</v>
      </c>
      <c r="P293" s="1" t="s">
        <v>13</v>
      </c>
      <c r="Q293" s="1" t="s">
        <v>44</v>
      </c>
      <c r="R293" s="1" t="s">
        <v>47</v>
      </c>
      <c r="S293" s="1" t="s">
        <v>3994</v>
      </c>
      <c r="T293" s="4">
        <v>1</v>
      </c>
    </row>
    <row r="294" spans="1:20">
      <c r="A294" s="1" t="s">
        <v>3981</v>
      </c>
      <c r="B294" s="1" t="s">
        <v>312</v>
      </c>
      <c r="C294" s="1" t="s">
        <v>3982</v>
      </c>
      <c r="D294" s="1" t="s">
        <v>465</v>
      </c>
      <c r="E294" s="2">
        <v>45737</v>
      </c>
      <c r="F294" s="2">
        <v>45730</v>
      </c>
      <c r="G294" s="1" t="s">
        <v>3990</v>
      </c>
      <c r="H294" s="3" t="s">
        <v>11</v>
      </c>
      <c r="I294" s="1" t="s">
        <v>3984</v>
      </c>
      <c r="J294" s="1" t="s">
        <v>12</v>
      </c>
      <c r="K294" s="3" t="s">
        <v>3995</v>
      </c>
      <c r="L294" s="1" t="s">
        <v>3987</v>
      </c>
      <c r="M294" s="1" t="s">
        <v>3996</v>
      </c>
      <c r="N294" s="1" t="s">
        <v>13</v>
      </c>
      <c r="O294" s="1" t="s">
        <v>3996</v>
      </c>
      <c r="P294" s="1" t="s">
        <v>13</v>
      </c>
      <c r="Q294" s="1" t="s">
        <v>16</v>
      </c>
      <c r="R294" s="1" t="s">
        <v>65</v>
      </c>
      <c r="S294" s="1" t="s">
        <v>3994</v>
      </c>
      <c r="T294" s="4">
        <v>1</v>
      </c>
    </row>
    <row r="295" spans="1:20">
      <c r="A295" s="1" t="s">
        <v>3981</v>
      </c>
      <c r="B295" s="1" t="s">
        <v>312</v>
      </c>
      <c r="C295" s="1" t="s">
        <v>3982</v>
      </c>
      <c r="D295" s="1" t="s">
        <v>465</v>
      </c>
      <c r="E295" s="2">
        <v>45737</v>
      </c>
      <c r="F295" s="2">
        <v>45730</v>
      </c>
      <c r="G295" s="1" t="s">
        <v>3990</v>
      </c>
      <c r="H295" s="3" t="s">
        <v>11</v>
      </c>
      <c r="I295" s="1" t="s">
        <v>3984</v>
      </c>
      <c r="J295" s="1" t="s">
        <v>12</v>
      </c>
      <c r="K295" s="3" t="s">
        <v>3995</v>
      </c>
      <c r="L295" s="1" t="s">
        <v>3987</v>
      </c>
      <c r="M295" s="1" t="s">
        <v>3996</v>
      </c>
      <c r="N295" s="1" t="s">
        <v>13</v>
      </c>
      <c r="O295" s="1" t="s">
        <v>3996</v>
      </c>
      <c r="P295" s="1" t="s">
        <v>13</v>
      </c>
      <c r="Q295" s="1" t="s">
        <v>30</v>
      </c>
      <c r="R295" s="1" t="s">
        <v>31</v>
      </c>
      <c r="S295" s="1" t="s">
        <v>3994</v>
      </c>
      <c r="T295" s="4">
        <v>0.7</v>
      </c>
    </row>
    <row r="296" spans="1:20">
      <c r="A296" s="1" t="s">
        <v>3981</v>
      </c>
      <c r="B296" s="1" t="s">
        <v>312</v>
      </c>
      <c r="C296" s="1" t="s">
        <v>3982</v>
      </c>
      <c r="D296" s="1" t="s">
        <v>465</v>
      </c>
      <c r="E296" s="2">
        <v>45737</v>
      </c>
      <c r="F296" s="2">
        <v>45730</v>
      </c>
      <c r="G296" s="1" t="s">
        <v>3990</v>
      </c>
      <c r="H296" s="3" t="s">
        <v>11</v>
      </c>
      <c r="I296" s="1" t="s">
        <v>3984</v>
      </c>
      <c r="J296" s="1" t="s">
        <v>12</v>
      </c>
      <c r="K296" s="3" t="s">
        <v>3995</v>
      </c>
      <c r="L296" s="1" t="s">
        <v>3987</v>
      </c>
      <c r="M296" s="1" t="s">
        <v>4029</v>
      </c>
      <c r="N296" s="1" t="s">
        <v>13</v>
      </c>
      <c r="O296" s="1" t="s">
        <v>4029</v>
      </c>
      <c r="P296" s="1" t="s">
        <v>13</v>
      </c>
      <c r="Q296" s="1" t="s">
        <v>4030</v>
      </c>
      <c r="R296" s="1" t="s">
        <v>4031</v>
      </c>
      <c r="S296" s="1" t="s">
        <v>3994</v>
      </c>
      <c r="T296" s="4">
        <v>1.8</v>
      </c>
    </row>
    <row r="297" spans="1:20">
      <c r="A297" s="1" t="s">
        <v>3981</v>
      </c>
      <c r="B297" s="1" t="s">
        <v>312</v>
      </c>
      <c r="C297" s="1" t="s">
        <v>3982</v>
      </c>
      <c r="D297" s="1" t="s">
        <v>465</v>
      </c>
      <c r="E297" s="2">
        <v>45737</v>
      </c>
      <c r="F297" s="2">
        <v>45730</v>
      </c>
      <c r="G297" s="1" t="s">
        <v>3990</v>
      </c>
      <c r="H297" s="3" t="s">
        <v>11</v>
      </c>
      <c r="I297" s="1" t="s">
        <v>3984</v>
      </c>
      <c r="J297" s="1" t="s">
        <v>12</v>
      </c>
      <c r="K297" s="3" t="s">
        <v>3995</v>
      </c>
      <c r="L297" s="1" t="s">
        <v>3987</v>
      </c>
      <c r="M297" s="1" t="s">
        <v>4045</v>
      </c>
      <c r="N297" s="1" t="s">
        <v>13</v>
      </c>
      <c r="O297" s="1" t="s">
        <v>4045</v>
      </c>
      <c r="P297" s="1" t="s">
        <v>13</v>
      </c>
      <c r="Q297" s="1" t="s">
        <v>4046</v>
      </c>
      <c r="R297" s="1" t="s">
        <v>13</v>
      </c>
      <c r="S297" s="1" t="s">
        <v>3994</v>
      </c>
      <c r="T297" s="4">
        <v>3.1</v>
      </c>
    </row>
    <row r="298" spans="1:20">
      <c r="A298" s="1" t="s">
        <v>3981</v>
      </c>
      <c r="B298" s="1" t="s">
        <v>312</v>
      </c>
      <c r="C298" s="1" t="s">
        <v>3982</v>
      </c>
      <c r="D298" s="1" t="s">
        <v>465</v>
      </c>
      <c r="E298" s="2">
        <v>45737</v>
      </c>
      <c r="F298" s="2">
        <v>45730</v>
      </c>
      <c r="G298" s="1" t="s">
        <v>3990</v>
      </c>
      <c r="H298" s="3" t="s">
        <v>11</v>
      </c>
      <c r="I298" s="1" t="s">
        <v>3984</v>
      </c>
      <c r="J298" s="1" t="s">
        <v>12</v>
      </c>
      <c r="K298" s="3" t="s">
        <v>3995</v>
      </c>
      <c r="L298" s="1" t="s">
        <v>3987</v>
      </c>
      <c r="M298" s="1" t="s">
        <v>4017</v>
      </c>
      <c r="N298" s="1" t="s">
        <v>4018</v>
      </c>
      <c r="O298" s="1" t="s">
        <v>13</v>
      </c>
      <c r="P298" s="1" t="s">
        <v>13</v>
      </c>
      <c r="Q298" s="1" t="s">
        <v>4019</v>
      </c>
      <c r="R298" s="1" t="s">
        <v>4019</v>
      </c>
      <c r="S298" s="1" t="s">
        <v>3994</v>
      </c>
      <c r="T298" s="4">
        <v>5.7</v>
      </c>
    </row>
    <row r="299" spans="1:20">
      <c r="A299" s="1" t="s">
        <v>3981</v>
      </c>
      <c r="B299" s="1" t="s">
        <v>312</v>
      </c>
      <c r="C299" s="1" t="s">
        <v>3982</v>
      </c>
      <c r="D299" s="1" t="s">
        <v>465</v>
      </c>
      <c r="E299" s="2">
        <v>45737</v>
      </c>
      <c r="F299" s="2">
        <v>45730</v>
      </c>
      <c r="G299" s="1" t="s">
        <v>3990</v>
      </c>
      <c r="H299" s="3" t="s">
        <v>11</v>
      </c>
      <c r="I299" s="1" t="s">
        <v>3984</v>
      </c>
      <c r="J299" s="1" t="s">
        <v>12</v>
      </c>
      <c r="K299" s="3" t="s">
        <v>3995</v>
      </c>
      <c r="L299" s="1" t="s">
        <v>3987</v>
      </c>
      <c r="M299" s="1" t="s">
        <v>4010</v>
      </c>
      <c r="N299" s="1" t="s">
        <v>4011</v>
      </c>
      <c r="O299" s="1" t="s">
        <v>13</v>
      </c>
      <c r="P299" s="1" t="s">
        <v>13</v>
      </c>
      <c r="Q299" s="1" t="s">
        <v>4001</v>
      </c>
      <c r="R299" s="1" t="s">
        <v>4012</v>
      </c>
      <c r="S299" s="1" t="s">
        <v>3994</v>
      </c>
      <c r="T299" s="4">
        <v>12.3</v>
      </c>
    </row>
    <row r="300" spans="1:20">
      <c r="A300" s="1" t="s">
        <v>3981</v>
      </c>
      <c r="B300" s="1" t="s">
        <v>312</v>
      </c>
      <c r="C300" s="1" t="s">
        <v>3982</v>
      </c>
      <c r="D300" s="1" t="s">
        <v>465</v>
      </c>
      <c r="E300" s="2">
        <v>45737</v>
      </c>
      <c r="F300" s="2">
        <v>45730</v>
      </c>
      <c r="G300" s="1" t="s">
        <v>3990</v>
      </c>
      <c r="H300" s="3" t="s">
        <v>11</v>
      </c>
      <c r="I300" s="1" t="s">
        <v>3984</v>
      </c>
      <c r="J300" s="1" t="s">
        <v>12</v>
      </c>
      <c r="K300" s="3" t="s">
        <v>3995</v>
      </c>
      <c r="L300" s="1" t="s">
        <v>4002</v>
      </c>
      <c r="M300" s="1" t="s">
        <v>4003</v>
      </c>
      <c r="N300" s="1" t="s">
        <v>13</v>
      </c>
      <c r="O300" s="1" t="s">
        <v>4003</v>
      </c>
      <c r="P300" s="1" t="s">
        <v>13</v>
      </c>
      <c r="Q300" s="1" t="s">
        <v>4004</v>
      </c>
      <c r="R300" s="1" t="s">
        <v>4001</v>
      </c>
      <c r="S300" s="1" t="s">
        <v>3994</v>
      </c>
      <c r="T300" s="4">
        <v>1.5</v>
      </c>
    </row>
    <row r="301" spans="1:20">
      <c r="A301" s="1" t="s">
        <v>3981</v>
      </c>
      <c r="B301" s="1" t="s">
        <v>312</v>
      </c>
      <c r="C301" s="1" t="s">
        <v>3982</v>
      </c>
      <c r="D301" s="1" t="s">
        <v>465</v>
      </c>
      <c r="E301" s="2">
        <v>45737</v>
      </c>
      <c r="F301" s="2">
        <v>45730</v>
      </c>
      <c r="G301" s="1" t="s">
        <v>3990</v>
      </c>
      <c r="H301" s="3" t="s">
        <v>11</v>
      </c>
      <c r="I301" s="1" t="s">
        <v>3984</v>
      </c>
      <c r="J301" s="1" t="s">
        <v>12</v>
      </c>
      <c r="K301" s="3" t="s">
        <v>3995</v>
      </c>
      <c r="L301" s="1" t="s">
        <v>4032</v>
      </c>
      <c r="M301" s="1" t="s">
        <v>4033</v>
      </c>
      <c r="N301" s="1" t="s">
        <v>13</v>
      </c>
      <c r="O301" s="1" t="s">
        <v>4033</v>
      </c>
      <c r="P301" s="1" t="s">
        <v>13</v>
      </c>
      <c r="Q301" s="1" t="s">
        <v>4034</v>
      </c>
      <c r="R301" s="1" t="s">
        <v>4001</v>
      </c>
      <c r="S301" s="1" t="s">
        <v>3994</v>
      </c>
      <c r="T301" s="4">
        <v>4.4000000000000004</v>
      </c>
    </row>
    <row r="302" spans="1:20">
      <c r="A302" s="1" t="s">
        <v>3981</v>
      </c>
      <c r="B302" s="1" t="s">
        <v>312</v>
      </c>
      <c r="C302" s="1" t="s">
        <v>3982</v>
      </c>
      <c r="D302" s="1" t="s">
        <v>465</v>
      </c>
      <c r="E302" s="2">
        <v>45737</v>
      </c>
      <c r="F302" s="2">
        <v>45730</v>
      </c>
      <c r="G302" s="1" t="s">
        <v>3997</v>
      </c>
      <c r="H302" s="3" t="s">
        <v>41</v>
      </c>
      <c r="I302" s="1" t="s">
        <v>3984</v>
      </c>
      <c r="J302" s="1" t="s">
        <v>12</v>
      </c>
      <c r="K302" s="3" t="s">
        <v>3995</v>
      </c>
      <c r="L302" s="1" t="s">
        <v>3987</v>
      </c>
      <c r="M302" s="1" t="s">
        <v>3999</v>
      </c>
      <c r="N302" s="1" t="s">
        <v>13</v>
      </c>
      <c r="O302" s="1" t="s">
        <v>3999</v>
      </c>
      <c r="P302" s="1" t="s">
        <v>13</v>
      </c>
      <c r="Q302" s="1" t="s">
        <v>4000</v>
      </c>
      <c r="R302" s="1" t="s">
        <v>4001</v>
      </c>
      <c r="S302" s="1" t="s">
        <v>3998</v>
      </c>
      <c r="T302" s="4">
        <v>12</v>
      </c>
    </row>
    <row r="303" spans="1:20">
      <c r="A303" s="1" t="s">
        <v>3981</v>
      </c>
      <c r="B303" s="1" t="s">
        <v>312</v>
      </c>
      <c r="C303" s="1" t="s">
        <v>3982</v>
      </c>
      <c r="D303" s="1" t="s">
        <v>465</v>
      </c>
      <c r="E303" s="2">
        <v>45737</v>
      </c>
      <c r="F303" s="2">
        <v>45730</v>
      </c>
      <c r="G303" s="1" t="s">
        <v>3997</v>
      </c>
      <c r="H303" s="3" t="s">
        <v>41</v>
      </c>
      <c r="I303" s="1" t="s">
        <v>3984</v>
      </c>
      <c r="J303" s="1" t="s">
        <v>12</v>
      </c>
      <c r="K303" s="3" t="s">
        <v>3995</v>
      </c>
      <c r="L303" s="1" t="s">
        <v>3987</v>
      </c>
      <c r="M303" s="1" t="s">
        <v>4010</v>
      </c>
      <c r="N303" s="1" t="s">
        <v>4011</v>
      </c>
      <c r="O303" s="1" t="s">
        <v>13</v>
      </c>
      <c r="P303" s="1" t="s">
        <v>13</v>
      </c>
      <c r="Q303" s="1" t="s">
        <v>4001</v>
      </c>
      <c r="R303" s="1" t="s">
        <v>4012</v>
      </c>
      <c r="S303" s="1" t="s">
        <v>3998</v>
      </c>
      <c r="T303" s="4">
        <v>1</v>
      </c>
    </row>
    <row r="304" spans="1:20">
      <c r="A304" s="1" t="s">
        <v>3981</v>
      </c>
      <c r="B304" s="1" t="s">
        <v>312</v>
      </c>
      <c r="C304" s="1" t="s">
        <v>3982</v>
      </c>
      <c r="D304" s="1" t="s">
        <v>465</v>
      </c>
      <c r="E304" s="2">
        <v>45737</v>
      </c>
      <c r="F304" s="2">
        <v>45730</v>
      </c>
      <c r="G304" s="1" t="s">
        <v>3997</v>
      </c>
      <c r="H304" s="3" t="s">
        <v>41</v>
      </c>
      <c r="I304" s="1" t="s">
        <v>3984</v>
      </c>
      <c r="J304" s="1" t="s">
        <v>12</v>
      </c>
      <c r="K304" s="3" t="s">
        <v>3995</v>
      </c>
      <c r="L304" s="1" t="s">
        <v>4002</v>
      </c>
      <c r="M304" s="1" t="s">
        <v>4003</v>
      </c>
      <c r="N304" s="1" t="s">
        <v>13</v>
      </c>
      <c r="O304" s="1" t="s">
        <v>4003</v>
      </c>
      <c r="P304" s="1" t="s">
        <v>13</v>
      </c>
      <c r="Q304" s="1" t="s">
        <v>4004</v>
      </c>
      <c r="R304" s="1" t="s">
        <v>4001</v>
      </c>
      <c r="S304" s="1" t="s">
        <v>3998</v>
      </c>
      <c r="T304" s="4">
        <v>25.5</v>
      </c>
    </row>
    <row r="305" spans="1:20">
      <c r="A305" s="1" t="s">
        <v>3981</v>
      </c>
      <c r="B305" s="1" t="s">
        <v>312</v>
      </c>
      <c r="C305" s="1" t="s">
        <v>3982</v>
      </c>
      <c r="D305" s="1" t="s">
        <v>465</v>
      </c>
      <c r="E305" s="2">
        <v>45737</v>
      </c>
      <c r="F305" s="2">
        <v>45730</v>
      </c>
      <c r="G305" s="1" t="s">
        <v>3997</v>
      </c>
      <c r="H305" s="3" t="s">
        <v>41</v>
      </c>
      <c r="I305" s="1" t="s">
        <v>3984</v>
      </c>
      <c r="J305" s="1" t="s">
        <v>12</v>
      </c>
      <c r="K305" s="3" t="s">
        <v>3995</v>
      </c>
      <c r="L305" s="1" t="s">
        <v>4032</v>
      </c>
      <c r="M305" s="1" t="s">
        <v>4033</v>
      </c>
      <c r="N305" s="1" t="s">
        <v>13</v>
      </c>
      <c r="O305" s="1" t="s">
        <v>4033</v>
      </c>
      <c r="P305" s="1" t="s">
        <v>13</v>
      </c>
      <c r="Q305" s="1" t="s">
        <v>4034</v>
      </c>
      <c r="R305" s="1" t="s">
        <v>4001</v>
      </c>
      <c r="S305" s="1" t="s">
        <v>3998</v>
      </c>
      <c r="T305" s="4">
        <v>0.5</v>
      </c>
    </row>
    <row r="306" spans="1:20">
      <c r="A306" s="1" t="s">
        <v>3981</v>
      </c>
      <c r="B306" s="1" t="s">
        <v>312</v>
      </c>
      <c r="C306" s="1" t="s">
        <v>3982</v>
      </c>
      <c r="D306" s="1" t="s">
        <v>465</v>
      </c>
      <c r="E306" s="2">
        <v>45737</v>
      </c>
      <c r="F306" s="2">
        <v>45730</v>
      </c>
      <c r="G306" s="1" t="s">
        <v>4005</v>
      </c>
      <c r="H306" s="3" t="s">
        <v>21</v>
      </c>
      <c r="I306" s="1" t="s">
        <v>3984</v>
      </c>
      <c r="J306" s="1" t="s">
        <v>12</v>
      </c>
      <c r="K306" s="3" t="s">
        <v>3995</v>
      </c>
      <c r="L306" s="1" t="s">
        <v>3987</v>
      </c>
      <c r="M306" s="1" t="s">
        <v>3996</v>
      </c>
      <c r="N306" s="1" t="s">
        <v>13</v>
      </c>
      <c r="O306" s="1" t="s">
        <v>3996</v>
      </c>
      <c r="P306" s="1" t="s">
        <v>13</v>
      </c>
      <c r="Q306" s="1" t="s">
        <v>14</v>
      </c>
      <c r="R306" s="1" t="s">
        <v>24</v>
      </c>
      <c r="S306" s="1" t="s">
        <v>4007</v>
      </c>
      <c r="T306" s="4">
        <v>14.5</v>
      </c>
    </row>
    <row r="307" spans="1:20">
      <c r="A307" s="1" t="s">
        <v>3981</v>
      </c>
      <c r="B307" s="1" t="s">
        <v>312</v>
      </c>
      <c r="C307" s="1" t="s">
        <v>3982</v>
      </c>
      <c r="D307" s="1" t="s">
        <v>465</v>
      </c>
      <c r="E307" s="2">
        <v>45737</v>
      </c>
      <c r="F307" s="2">
        <v>45730</v>
      </c>
      <c r="G307" s="1" t="s">
        <v>4005</v>
      </c>
      <c r="H307" s="3" t="s">
        <v>21</v>
      </c>
      <c r="I307" s="1" t="s">
        <v>3984</v>
      </c>
      <c r="J307" s="1" t="s">
        <v>12</v>
      </c>
      <c r="K307" s="3" t="s">
        <v>3995</v>
      </c>
      <c r="L307" s="1" t="s">
        <v>3987</v>
      </c>
      <c r="M307" s="1" t="s">
        <v>3996</v>
      </c>
      <c r="N307" s="1" t="s">
        <v>13</v>
      </c>
      <c r="O307" s="1" t="s">
        <v>3996</v>
      </c>
      <c r="P307" s="1" t="s">
        <v>13</v>
      </c>
      <c r="Q307" s="1" t="s">
        <v>14</v>
      </c>
      <c r="R307" s="1" t="s">
        <v>42</v>
      </c>
      <c r="S307" s="1" t="s">
        <v>4007</v>
      </c>
      <c r="T307" s="4">
        <v>19.100000000000001</v>
      </c>
    </row>
    <row r="308" spans="1:20">
      <c r="A308" s="1" t="s">
        <v>3981</v>
      </c>
      <c r="B308" s="1" t="s">
        <v>312</v>
      </c>
      <c r="C308" s="1" t="s">
        <v>3982</v>
      </c>
      <c r="D308" s="1" t="s">
        <v>465</v>
      </c>
      <c r="E308" s="2">
        <v>45737</v>
      </c>
      <c r="F308" s="2">
        <v>45730</v>
      </c>
      <c r="G308" s="1" t="s">
        <v>4005</v>
      </c>
      <c r="H308" s="3" t="s">
        <v>21</v>
      </c>
      <c r="I308" s="1" t="s">
        <v>3984</v>
      </c>
      <c r="J308" s="1" t="s">
        <v>12</v>
      </c>
      <c r="K308" s="3" t="s">
        <v>3995</v>
      </c>
      <c r="L308" s="1" t="s">
        <v>3987</v>
      </c>
      <c r="M308" s="1" t="s">
        <v>3996</v>
      </c>
      <c r="N308" s="1" t="s">
        <v>13</v>
      </c>
      <c r="O308" s="1" t="s">
        <v>3996</v>
      </c>
      <c r="P308" s="1" t="s">
        <v>13</v>
      </c>
      <c r="Q308" s="1" t="s">
        <v>28</v>
      </c>
      <c r="R308" s="1" t="s">
        <v>58</v>
      </c>
      <c r="S308" s="1" t="s">
        <v>4007</v>
      </c>
      <c r="T308" s="4">
        <v>10</v>
      </c>
    </row>
    <row r="309" spans="1:20">
      <c r="A309" s="1" t="s">
        <v>3981</v>
      </c>
      <c r="B309" s="1" t="s">
        <v>312</v>
      </c>
      <c r="C309" s="1" t="s">
        <v>3982</v>
      </c>
      <c r="D309" s="1" t="s">
        <v>465</v>
      </c>
      <c r="E309" s="2">
        <v>45737</v>
      </c>
      <c r="F309" s="2">
        <v>45730</v>
      </c>
      <c r="G309" s="1" t="s">
        <v>4008</v>
      </c>
      <c r="H309" s="3" t="s">
        <v>25</v>
      </c>
      <c r="I309" s="1" t="s">
        <v>3984</v>
      </c>
      <c r="J309" s="1" t="s">
        <v>12</v>
      </c>
      <c r="K309" s="3" t="s">
        <v>3995</v>
      </c>
      <c r="L309" s="1" t="s">
        <v>4013</v>
      </c>
      <c r="M309" s="1" t="s">
        <v>4015</v>
      </c>
      <c r="N309" s="1" t="s">
        <v>4016</v>
      </c>
      <c r="O309" s="1" t="s">
        <v>13</v>
      </c>
      <c r="P309" s="1" t="s">
        <v>13</v>
      </c>
      <c r="Q309" s="1" t="s">
        <v>13</v>
      </c>
      <c r="R309" s="1" t="s">
        <v>13</v>
      </c>
      <c r="S309" s="1" t="s">
        <v>4009</v>
      </c>
      <c r="T309" s="4">
        <v>1.9</v>
      </c>
    </row>
    <row r="310" spans="1:20">
      <c r="A310" s="1" t="s">
        <v>3981</v>
      </c>
      <c r="B310" s="1" t="s">
        <v>312</v>
      </c>
      <c r="C310" s="1" t="s">
        <v>3982</v>
      </c>
      <c r="D310" s="1" t="s">
        <v>465</v>
      </c>
      <c r="E310" s="2">
        <v>45737</v>
      </c>
      <c r="F310" s="2">
        <v>45730</v>
      </c>
      <c r="G310" s="1" t="s">
        <v>4008</v>
      </c>
      <c r="H310" s="3" t="s">
        <v>25</v>
      </c>
      <c r="I310" s="1" t="s">
        <v>3984</v>
      </c>
      <c r="J310" s="1" t="s">
        <v>12</v>
      </c>
      <c r="K310" s="3" t="s">
        <v>3995</v>
      </c>
      <c r="L310" s="1" t="s">
        <v>4013</v>
      </c>
      <c r="M310" s="1" t="s">
        <v>4035</v>
      </c>
      <c r="N310" s="1" t="s">
        <v>4036</v>
      </c>
      <c r="O310" s="1" t="s">
        <v>13</v>
      </c>
      <c r="P310" s="1" t="s">
        <v>13</v>
      </c>
      <c r="Q310" s="1" t="s">
        <v>13</v>
      </c>
      <c r="R310" s="1" t="s">
        <v>13</v>
      </c>
      <c r="S310" s="1" t="s">
        <v>4009</v>
      </c>
      <c r="T310" s="4">
        <v>0.9</v>
      </c>
    </row>
    <row r="311" spans="1:20">
      <c r="A311" s="1" t="s">
        <v>3981</v>
      </c>
      <c r="B311" s="1" t="s">
        <v>312</v>
      </c>
      <c r="C311" s="1" t="s">
        <v>3982</v>
      </c>
      <c r="D311" s="1" t="s">
        <v>465</v>
      </c>
      <c r="E311" s="2">
        <v>45737</v>
      </c>
      <c r="F311" s="2">
        <v>45730</v>
      </c>
      <c r="G311" s="1" t="s">
        <v>4008</v>
      </c>
      <c r="H311" s="3" t="s">
        <v>25</v>
      </c>
      <c r="I311" s="1" t="s">
        <v>3984</v>
      </c>
      <c r="J311" s="1" t="s">
        <v>12</v>
      </c>
      <c r="K311" s="3" t="s">
        <v>3995</v>
      </c>
      <c r="L311" s="1" t="s">
        <v>3987</v>
      </c>
      <c r="M311" s="1" t="s">
        <v>3996</v>
      </c>
      <c r="N311" s="1" t="s">
        <v>13</v>
      </c>
      <c r="O311" s="1" t="s">
        <v>3996</v>
      </c>
      <c r="P311" s="1" t="s">
        <v>13</v>
      </c>
      <c r="Q311" s="1" t="s">
        <v>14</v>
      </c>
      <c r="R311" s="1" t="s">
        <v>37</v>
      </c>
      <c r="S311" s="1" t="s">
        <v>4009</v>
      </c>
      <c r="T311" s="4">
        <v>0.5</v>
      </c>
    </row>
    <row r="312" spans="1:20">
      <c r="A312" s="1" t="s">
        <v>3981</v>
      </c>
      <c r="B312" s="1" t="s">
        <v>312</v>
      </c>
      <c r="C312" s="1" t="s">
        <v>3982</v>
      </c>
      <c r="D312" s="1" t="s">
        <v>465</v>
      </c>
      <c r="E312" s="2">
        <v>45737</v>
      </c>
      <c r="F312" s="2">
        <v>45730</v>
      </c>
      <c r="G312" s="1" t="s">
        <v>4008</v>
      </c>
      <c r="H312" s="3" t="s">
        <v>25</v>
      </c>
      <c r="I312" s="1" t="s">
        <v>3984</v>
      </c>
      <c r="J312" s="1" t="s">
        <v>12</v>
      </c>
      <c r="K312" s="3" t="s">
        <v>3995</v>
      </c>
      <c r="L312" s="1" t="s">
        <v>3987</v>
      </c>
      <c r="M312" s="1" t="s">
        <v>3996</v>
      </c>
      <c r="N312" s="1" t="s">
        <v>13</v>
      </c>
      <c r="O312" s="1" t="s">
        <v>3996</v>
      </c>
      <c r="P312" s="1" t="s">
        <v>13</v>
      </c>
      <c r="Q312" s="1" t="s">
        <v>44</v>
      </c>
      <c r="R312" s="1" t="s">
        <v>45</v>
      </c>
      <c r="S312" s="1" t="s">
        <v>4009</v>
      </c>
      <c r="T312" s="4">
        <v>8</v>
      </c>
    </row>
    <row r="313" spans="1:20">
      <c r="A313" s="1" t="s">
        <v>3981</v>
      </c>
      <c r="B313" s="1" t="s">
        <v>312</v>
      </c>
      <c r="C313" s="1" t="s">
        <v>3982</v>
      </c>
      <c r="D313" s="1" t="s">
        <v>465</v>
      </c>
      <c r="E313" s="2">
        <v>45737</v>
      </c>
      <c r="F313" s="2">
        <v>45730</v>
      </c>
      <c r="G313" s="1" t="s">
        <v>4008</v>
      </c>
      <c r="H313" s="3" t="s">
        <v>25</v>
      </c>
      <c r="I313" s="1" t="s">
        <v>3984</v>
      </c>
      <c r="J313" s="1" t="s">
        <v>12</v>
      </c>
      <c r="K313" s="3" t="s">
        <v>3995</v>
      </c>
      <c r="L313" s="1" t="s">
        <v>3987</v>
      </c>
      <c r="M313" s="1" t="s">
        <v>3996</v>
      </c>
      <c r="N313" s="1" t="s">
        <v>13</v>
      </c>
      <c r="O313" s="1" t="s">
        <v>3996</v>
      </c>
      <c r="P313" s="1" t="s">
        <v>13</v>
      </c>
      <c r="Q313" s="1" t="s">
        <v>38</v>
      </c>
      <c r="R313" s="1" t="s">
        <v>46</v>
      </c>
      <c r="S313" s="1" t="s">
        <v>4009</v>
      </c>
      <c r="T313" s="4">
        <v>0.7</v>
      </c>
    </row>
    <row r="314" spans="1:20">
      <c r="A314" s="1" t="s">
        <v>3981</v>
      </c>
      <c r="B314" s="1" t="s">
        <v>312</v>
      </c>
      <c r="C314" s="1" t="s">
        <v>3982</v>
      </c>
      <c r="D314" s="1" t="s">
        <v>465</v>
      </c>
      <c r="E314" s="2">
        <v>45737</v>
      </c>
      <c r="F314" s="2">
        <v>45730</v>
      </c>
      <c r="G314" s="1" t="s">
        <v>4008</v>
      </c>
      <c r="H314" s="3" t="s">
        <v>25</v>
      </c>
      <c r="I314" s="1" t="s">
        <v>3984</v>
      </c>
      <c r="J314" s="1" t="s">
        <v>12</v>
      </c>
      <c r="K314" s="3" t="s">
        <v>3995</v>
      </c>
      <c r="L314" s="1" t="s">
        <v>3987</v>
      </c>
      <c r="M314" s="1" t="s">
        <v>3996</v>
      </c>
      <c r="N314" s="1" t="s">
        <v>13</v>
      </c>
      <c r="O314" s="1" t="s">
        <v>3996</v>
      </c>
      <c r="P314" s="1" t="s">
        <v>13</v>
      </c>
      <c r="Q314" s="1" t="s">
        <v>38</v>
      </c>
      <c r="R314" s="1" t="s">
        <v>51</v>
      </c>
      <c r="S314" s="1" t="s">
        <v>4009</v>
      </c>
      <c r="T314" s="4">
        <v>0.3</v>
      </c>
    </row>
    <row r="315" spans="1:20">
      <c r="A315" s="1" t="s">
        <v>3981</v>
      </c>
      <c r="B315" s="1" t="s">
        <v>312</v>
      </c>
      <c r="C315" s="1" t="s">
        <v>3982</v>
      </c>
      <c r="D315" s="1" t="s">
        <v>465</v>
      </c>
      <c r="E315" s="2">
        <v>45737</v>
      </c>
      <c r="F315" s="2">
        <v>45730</v>
      </c>
      <c r="G315" s="1" t="s">
        <v>4008</v>
      </c>
      <c r="H315" s="3" t="s">
        <v>25</v>
      </c>
      <c r="I315" s="1" t="s">
        <v>3984</v>
      </c>
      <c r="J315" s="1" t="s">
        <v>12</v>
      </c>
      <c r="K315" s="3" t="s">
        <v>3995</v>
      </c>
      <c r="L315" s="1" t="s">
        <v>3987</v>
      </c>
      <c r="M315" s="1" t="s">
        <v>3996</v>
      </c>
      <c r="N315" s="1" t="s">
        <v>13</v>
      </c>
      <c r="O315" s="1" t="s">
        <v>3996</v>
      </c>
      <c r="P315" s="1" t="s">
        <v>13</v>
      </c>
      <c r="Q315" s="1" t="s">
        <v>38</v>
      </c>
      <c r="R315" s="1" t="s">
        <v>52</v>
      </c>
      <c r="S315" s="1" t="s">
        <v>4009</v>
      </c>
      <c r="T315" s="4">
        <v>0.7</v>
      </c>
    </row>
    <row r="316" spans="1:20">
      <c r="A316" s="1" t="s">
        <v>3981</v>
      </c>
      <c r="B316" s="1" t="s">
        <v>312</v>
      </c>
      <c r="C316" s="1" t="s">
        <v>3982</v>
      </c>
      <c r="D316" s="1" t="s">
        <v>465</v>
      </c>
      <c r="E316" s="2">
        <v>45737</v>
      </c>
      <c r="F316" s="2">
        <v>45730</v>
      </c>
      <c r="G316" s="1" t="s">
        <v>4008</v>
      </c>
      <c r="H316" s="3" t="s">
        <v>25</v>
      </c>
      <c r="I316" s="1" t="s">
        <v>3984</v>
      </c>
      <c r="J316" s="1" t="s">
        <v>12</v>
      </c>
      <c r="K316" s="3" t="s">
        <v>3995</v>
      </c>
      <c r="L316" s="1" t="s">
        <v>3987</v>
      </c>
      <c r="M316" s="1" t="s">
        <v>3996</v>
      </c>
      <c r="N316" s="1" t="s">
        <v>13</v>
      </c>
      <c r="O316" s="1" t="s">
        <v>3996</v>
      </c>
      <c r="P316" s="1" t="s">
        <v>13</v>
      </c>
      <c r="Q316" s="1" t="s">
        <v>30</v>
      </c>
      <c r="R316" s="1" t="s">
        <v>31</v>
      </c>
      <c r="S316" s="1" t="s">
        <v>4009</v>
      </c>
      <c r="T316" s="4">
        <v>19.5</v>
      </c>
    </row>
    <row r="317" spans="1:20">
      <c r="A317" s="1" t="s">
        <v>3981</v>
      </c>
      <c r="B317" s="1" t="s">
        <v>312</v>
      </c>
      <c r="C317" s="1" t="s">
        <v>3982</v>
      </c>
      <c r="D317" s="1" t="s">
        <v>465</v>
      </c>
      <c r="E317" s="2">
        <v>45737</v>
      </c>
      <c r="F317" s="2">
        <v>45730</v>
      </c>
      <c r="G317" s="1" t="s">
        <v>4008</v>
      </c>
      <c r="H317" s="3" t="s">
        <v>25</v>
      </c>
      <c r="I317" s="1" t="s">
        <v>3984</v>
      </c>
      <c r="J317" s="1" t="s">
        <v>12</v>
      </c>
      <c r="K317" s="3" t="s">
        <v>3995</v>
      </c>
      <c r="L317" s="1" t="s">
        <v>3987</v>
      </c>
      <c r="M317" s="1" t="s">
        <v>3996</v>
      </c>
      <c r="N317" s="1" t="s">
        <v>13</v>
      </c>
      <c r="O317" s="1" t="s">
        <v>3996</v>
      </c>
      <c r="P317" s="1" t="s">
        <v>13</v>
      </c>
      <c r="Q317" s="1" t="s">
        <v>30</v>
      </c>
      <c r="R317" s="1" t="s">
        <v>62</v>
      </c>
      <c r="S317" s="1" t="s">
        <v>4009</v>
      </c>
      <c r="T317" s="4">
        <v>3.5</v>
      </c>
    </row>
    <row r="318" spans="1:20">
      <c r="A318" s="1" t="s">
        <v>3981</v>
      </c>
      <c r="B318" s="1" t="s">
        <v>312</v>
      </c>
      <c r="C318" s="1" t="s">
        <v>3982</v>
      </c>
      <c r="D318" s="1" t="s">
        <v>465</v>
      </c>
      <c r="E318" s="2">
        <v>45737</v>
      </c>
      <c r="F318" s="2">
        <v>45737</v>
      </c>
      <c r="G318" s="1" t="s">
        <v>3983</v>
      </c>
      <c r="H318" s="3" t="s">
        <v>32</v>
      </c>
      <c r="I318" s="1" t="s">
        <v>3984</v>
      </c>
      <c r="J318" s="1" t="s">
        <v>12</v>
      </c>
      <c r="K318" s="3" t="s">
        <v>3995</v>
      </c>
      <c r="L318" s="1" t="s">
        <v>3987</v>
      </c>
      <c r="M318" s="1" t="s">
        <v>3999</v>
      </c>
      <c r="N318" s="1" t="s">
        <v>13</v>
      </c>
      <c r="O318" s="1" t="s">
        <v>3999</v>
      </c>
      <c r="P318" s="1" t="s">
        <v>13</v>
      </c>
      <c r="Q318" s="1" t="s">
        <v>4044</v>
      </c>
      <c r="R318" s="1" t="s">
        <v>4037</v>
      </c>
      <c r="S318" s="1" t="s">
        <v>3989</v>
      </c>
      <c r="T318" s="4">
        <v>3</v>
      </c>
    </row>
    <row r="319" spans="1:20">
      <c r="A319" s="1" t="s">
        <v>3981</v>
      </c>
      <c r="B319" s="1" t="s">
        <v>312</v>
      </c>
      <c r="C319" s="1" t="s">
        <v>3982</v>
      </c>
      <c r="D319" s="1" t="s">
        <v>465</v>
      </c>
      <c r="E319" s="2">
        <v>45737</v>
      </c>
      <c r="F319" s="2">
        <v>45737</v>
      </c>
      <c r="G319" s="1" t="s">
        <v>3983</v>
      </c>
      <c r="H319" s="3" t="s">
        <v>32</v>
      </c>
      <c r="I319" s="1" t="s">
        <v>3984</v>
      </c>
      <c r="J319" s="1" t="s">
        <v>12</v>
      </c>
      <c r="K319" s="3" t="s">
        <v>3995</v>
      </c>
      <c r="L319" s="1" t="s">
        <v>3987</v>
      </c>
      <c r="M319" s="1" t="s">
        <v>3996</v>
      </c>
      <c r="N319" s="1" t="s">
        <v>13</v>
      </c>
      <c r="O319" s="1" t="s">
        <v>3996</v>
      </c>
      <c r="P319" s="1" t="s">
        <v>13</v>
      </c>
      <c r="Q319" s="1" t="s">
        <v>14</v>
      </c>
      <c r="R319" s="1" t="s">
        <v>54</v>
      </c>
      <c r="S319" s="1" t="s">
        <v>3989</v>
      </c>
      <c r="T319" s="4">
        <v>2</v>
      </c>
    </row>
    <row r="320" spans="1:20">
      <c r="A320" s="1" t="s">
        <v>3981</v>
      </c>
      <c r="B320" s="1" t="s">
        <v>312</v>
      </c>
      <c r="C320" s="1" t="s">
        <v>3982</v>
      </c>
      <c r="D320" s="1" t="s">
        <v>465</v>
      </c>
      <c r="E320" s="2">
        <v>45737</v>
      </c>
      <c r="F320" s="2">
        <v>45737</v>
      </c>
      <c r="G320" s="1" t="s">
        <v>3983</v>
      </c>
      <c r="H320" s="3" t="s">
        <v>32</v>
      </c>
      <c r="I320" s="1" t="s">
        <v>3984</v>
      </c>
      <c r="J320" s="1" t="s">
        <v>12</v>
      </c>
      <c r="K320" s="3" t="s">
        <v>3995</v>
      </c>
      <c r="L320" s="1" t="s">
        <v>3987</v>
      </c>
      <c r="M320" s="1" t="s">
        <v>3996</v>
      </c>
      <c r="N320" s="1" t="s">
        <v>13</v>
      </c>
      <c r="O320" s="1" t="s">
        <v>3996</v>
      </c>
      <c r="P320" s="1" t="s">
        <v>13</v>
      </c>
      <c r="Q320" s="1" t="s">
        <v>14</v>
      </c>
      <c r="R320" s="1" t="s">
        <v>42</v>
      </c>
      <c r="S320" s="1" t="s">
        <v>3989</v>
      </c>
      <c r="T320" s="4">
        <v>17.5</v>
      </c>
    </row>
    <row r="321" spans="1:20">
      <c r="A321" s="1" t="s">
        <v>3981</v>
      </c>
      <c r="B321" s="1" t="s">
        <v>312</v>
      </c>
      <c r="C321" s="1" t="s">
        <v>3982</v>
      </c>
      <c r="D321" s="1" t="s">
        <v>465</v>
      </c>
      <c r="E321" s="2">
        <v>45737</v>
      </c>
      <c r="F321" s="2">
        <v>45737</v>
      </c>
      <c r="G321" s="1" t="s">
        <v>3983</v>
      </c>
      <c r="H321" s="3" t="s">
        <v>32</v>
      </c>
      <c r="I321" s="1" t="s">
        <v>3984</v>
      </c>
      <c r="J321" s="1" t="s">
        <v>12</v>
      </c>
      <c r="K321" s="3" t="s">
        <v>3995</v>
      </c>
      <c r="L321" s="1" t="s">
        <v>3987</v>
      </c>
      <c r="M321" s="1" t="s">
        <v>3996</v>
      </c>
      <c r="N321" s="1" t="s">
        <v>13</v>
      </c>
      <c r="O321" s="1" t="s">
        <v>3996</v>
      </c>
      <c r="P321" s="1" t="s">
        <v>13</v>
      </c>
      <c r="Q321" s="1" t="s">
        <v>44</v>
      </c>
      <c r="R321" s="1" t="s">
        <v>47</v>
      </c>
      <c r="S321" s="1" t="s">
        <v>3989</v>
      </c>
      <c r="T321" s="4">
        <v>13</v>
      </c>
    </row>
    <row r="322" spans="1:20">
      <c r="A322" s="1" t="s">
        <v>3981</v>
      </c>
      <c r="B322" s="1" t="s">
        <v>312</v>
      </c>
      <c r="C322" s="1" t="s">
        <v>3982</v>
      </c>
      <c r="D322" s="1" t="s">
        <v>465</v>
      </c>
      <c r="E322" s="2">
        <v>45737</v>
      </c>
      <c r="F322" s="2">
        <v>45737</v>
      </c>
      <c r="G322" s="1" t="s">
        <v>3983</v>
      </c>
      <c r="H322" s="3" t="s">
        <v>32</v>
      </c>
      <c r="I322" s="1" t="s">
        <v>3984</v>
      </c>
      <c r="J322" s="1" t="s">
        <v>12</v>
      </c>
      <c r="K322" s="3" t="s">
        <v>3995</v>
      </c>
      <c r="L322" s="1" t="s">
        <v>3987</v>
      </c>
      <c r="M322" s="1" t="s">
        <v>4045</v>
      </c>
      <c r="N322" s="1" t="s">
        <v>13</v>
      </c>
      <c r="O322" s="1" t="s">
        <v>4045</v>
      </c>
      <c r="P322" s="1" t="s">
        <v>13</v>
      </c>
      <c r="Q322" s="1" t="s">
        <v>4046</v>
      </c>
      <c r="R322" s="1" t="s">
        <v>13</v>
      </c>
      <c r="S322" s="1" t="s">
        <v>3989</v>
      </c>
      <c r="T322" s="4">
        <v>0.5</v>
      </c>
    </row>
    <row r="323" spans="1:20">
      <c r="A323" s="1" t="s">
        <v>3981</v>
      </c>
      <c r="B323" s="1" t="s">
        <v>312</v>
      </c>
      <c r="C323" s="1" t="s">
        <v>3982</v>
      </c>
      <c r="D323" s="1" t="s">
        <v>465</v>
      </c>
      <c r="E323" s="2">
        <v>45737</v>
      </c>
      <c r="F323" s="2">
        <v>45737</v>
      </c>
      <c r="G323" s="1" t="s">
        <v>3983</v>
      </c>
      <c r="H323" s="3" t="s">
        <v>32</v>
      </c>
      <c r="I323" s="1" t="s">
        <v>3984</v>
      </c>
      <c r="J323" s="1" t="s">
        <v>12</v>
      </c>
      <c r="K323" s="3" t="s">
        <v>3995</v>
      </c>
      <c r="L323" s="1" t="s">
        <v>4002</v>
      </c>
      <c r="M323" s="1" t="s">
        <v>4003</v>
      </c>
      <c r="N323" s="1" t="s">
        <v>13</v>
      </c>
      <c r="O323" s="1" t="s">
        <v>4003</v>
      </c>
      <c r="P323" s="1" t="s">
        <v>13</v>
      </c>
      <c r="Q323" s="1" t="s">
        <v>4004</v>
      </c>
      <c r="R323" s="1" t="s">
        <v>4037</v>
      </c>
      <c r="S323" s="1" t="s">
        <v>3989</v>
      </c>
      <c r="T323" s="4">
        <v>1</v>
      </c>
    </row>
    <row r="324" spans="1:20">
      <c r="A324" s="1" t="s">
        <v>3981</v>
      </c>
      <c r="B324" s="1" t="s">
        <v>312</v>
      </c>
      <c r="C324" s="1" t="s">
        <v>3982</v>
      </c>
      <c r="D324" s="1" t="s">
        <v>465</v>
      </c>
      <c r="E324" s="2">
        <v>45737</v>
      </c>
      <c r="F324" s="2">
        <v>45737</v>
      </c>
      <c r="G324" s="1" t="s">
        <v>3983</v>
      </c>
      <c r="H324" s="3" t="s">
        <v>32</v>
      </c>
      <c r="I324" s="1" t="s">
        <v>3984</v>
      </c>
      <c r="J324" s="1" t="s">
        <v>12</v>
      </c>
      <c r="K324" s="3" t="s">
        <v>3995</v>
      </c>
      <c r="L324" s="1" t="s">
        <v>4048</v>
      </c>
      <c r="M324" s="1" t="s">
        <v>4003</v>
      </c>
      <c r="N324" s="1" t="s">
        <v>13</v>
      </c>
      <c r="O324" s="1" t="s">
        <v>4003</v>
      </c>
      <c r="P324" s="1" t="s">
        <v>13</v>
      </c>
      <c r="Q324" s="1" t="s">
        <v>4049</v>
      </c>
      <c r="R324" s="1" t="s">
        <v>4050</v>
      </c>
      <c r="S324" s="1" t="s">
        <v>3989</v>
      </c>
      <c r="T324" s="4">
        <v>3</v>
      </c>
    </row>
    <row r="325" spans="1:20">
      <c r="A325" s="1" t="s">
        <v>3981</v>
      </c>
      <c r="B325" s="1" t="s">
        <v>312</v>
      </c>
      <c r="C325" s="1" t="s">
        <v>3982</v>
      </c>
      <c r="D325" s="1" t="s">
        <v>465</v>
      </c>
      <c r="E325" s="2">
        <v>45737</v>
      </c>
      <c r="F325" s="2">
        <v>45737</v>
      </c>
      <c r="G325" s="1" t="s">
        <v>3990</v>
      </c>
      <c r="H325" s="3" t="s">
        <v>11</v>
      </c>
      <c r="I325" s="1" t="s">
        <v>3984</v>
      </c>
      <c r="J325" s="1" t="s">
        <v>3985</v>
      </c>
      <c r="K325" s="3" t="s">
        <v>3986</v>
      </c>
      <c r="L325" s="1" t="s">
        <v>3987</v>
      </c>
      <c r="M325" s="1" t="s">
        <v>13</v>
      </c>
      <c r="N325" s="1" t="s">
        <v>13</v>
      </c>
      <c r="O325" s="1" t="s">
        <v>3988</v>
      </c>
      <c r="P325" s="1" t="s">
        <v>13</v>
      </c>
      <c r="Q325" s="1" t="s">
        <v>13</v>
      </c>
      <c r="R325" s="1" t="s">
        <v>13</v>
      </c>
      <c r="S325" s="1" t="s">
        <v>3994</v>
      </c>
      <c r="T325" s="4">
        <v>5.5</v>
      </c>
    </row>
    <row r="326" spans="1:20">
      <c r="A326" s="1" t="s">
        <v>3981</v>
      </c>
      <c r="B326" s="1" t="s">
        <v>312</v>
      </c>
      <c r="C326" s="1" t="s">
        <v>3982</v>
      </c>
      <c r="D326" s="1" t="s">
        <v>465</v>
      </c>
      <c r="E326" s="2">
        <v>45737</v>
      </c>
      <c r="F326" s="2">
        <v>45737</v>
      </c>
      <c r="G326" s="1" t="s">
        <v>3990</v>
      </c>
      <c r="H326" s="3" t="s">
        <v>11</v>
      </c>
      <c r="I326" s="1" t="s">
        <v>3984</v>
      </c>
      <c r="J326" s="1" t="s">
        <v>12</v>
      </c>
      <c r="K326" s="3" t="s">
        <v>3995</v>
      </c>
      <c r="L326" s="1" t="s">
        <v>3987</v>
      </c>
      <c r="M326" s="1" t="s">
        <v>3996</v>
      </c>
      <c r="N326" s="1" t="s">
        <v>13</v>
      </c>
      <c r="O326" s="1" t="s">
        <v>3996</v>
      </c>
      <c r="P326" s="1" t="s">
        <v>13</v>
      </c>
      <c r="Q326" s="1" t="s">
        <v>14</v>
      </c>
      <c r="R326" s="1" t="s">
        <v>37</v>
      </c>
      <c r="S326" s="1" t="s">
        <v>3994</v>
      </c>
      <c r="T326" s="4">
        <v>1</v>
      </c>
    </row>
    <row r="327" spans="1:20">
      <c r="A327" s="1" t="s">
        <v>3981</v>
      </c>
      <c r="B327" s="1" t="s">
        <v>312</v>
      </c>
      <c r="C327" s="1" t="s">
        <v>3982</v>
      </c>
      <c r="D327" s="1" t="s">
        <v>465</v>
      </c>
      <c r="E327" s="2">
        <v>45737</v>
      </c>
      <c r="F327" s="2">
        <v>45737</v>
      </c>
      <c r="G327" s="1" t="s">
        <v>3990</v>
      </c>
      <c r="H327" s="3" t="s">
        <v>11</v>
      </c>
      <c r="I327" s="1" t="s">
        <v>3984</v>
      </c>
      <c r="J327" s="1" t="s">
        <v>12</v>
      </c>
      <c r="K327" s="3" t="s">
        <v>3995</v>
      </c>
      <c r="L327" s="1" t="s">
        <v>3987</v>
      </c>
      <c r="M327" s="1" t="s">
        <v>3996</v>
      </c>
      <c r="N327" s="1" t="s">
        <v>13</v>
      </c>
      <c r="O327" s="1" t="s">
        <v>3996</v>
      </c>
      <c r="P327" s="1" t="s">
        <v>13</v>
      </c>
      <c r="Q327" s="1" t="s">
        <v>14</v>
      </c>
      <c r="R327" s="1" t="s">
        <v>15</v>
      </c>
      <c r="S327" s="1" t="s">
        <v>3994</v>
      </c>
      <c r="T327" s="4">
        <v>25.6</v>
      </c>
    </row>
    <row r="328" spans="1:20">
      <c r="A328" s="1" t="s">
        <v>3981</v>
      </c>
      <c r="B328" s="1" t="s">
        <v>312</v>
      </c>
      <c r="C328" s="1" t="s">
        <v>3982</v>
      </c>
      <c r="D328" s="1" t="s">
        <v>465</v>
      </c>
      <c r="E328" s="2">
        <v>45737</v>
      </c>
      <c r="F328" s="2">
        <v>45737</v>
      </c>
      <c r="G328" s="1" t="s">
        <v>3990</v>
      </c>
      <c r="H328" s="3" t="s">
        <v>11</v>
      </c>
      <c r="I328" s="1" t="s">
        <v>3984</v>
      </c>
      <c r="J328" s="1" t="s">
        <v>12</v>
      </c>
      <c r="K328" s="3" t="s">
        <v>3995</v>
      </c>
      <c r="L328" s="1" t="s">
        <v>3987</v>
      </c>
      <c r="M328" s="1" t="s">
        <v>4017</v>
      </c>
      <c r="N328" s="1" t="s">
        <v>4018</v>
      </c>
      <c r="O328" s="1" t="s">
        <v>13</v>
      </c>
      <c r="P328" s="1" t="s">
        <v>13</v>
      </c>
      <c r="Q328" s="1" t="s">
        <v>4019</v>
      </c>
      <c r="R328" s="1" t="s">
        <v>4019</v>
      </c>
      <c r="S328" s="1" t="s">
        <v>3994</v>
      </c>
      <c r="T328" s="4">
        <v>2</v>
      </c>
    </row>
    <row r="329" spans="1:20">
      <c r="A329" s="1" t="s">
        <v>3981</v>
      </c>
      <c r="B329" s="1" t="s">
        <v>312</v>
      </c>
      <c r="C329" s="1" t="s">
        <v>3982</v>
      </c>
      <c r="D329" s="1" t="s">
        <v>465</v>
      </c>
      <c r="E329" s="2">
        <v>45737</v>
      </c>
      <c r="F329" s="2">
        <v>45737</v>
      </c>
      <c r="G329" s="1" t="s">
        <v>3990</v>
      </c>
      <c r="H329" s="3" t="s">
        <v>11</v>
      </c>
      <c r="I329" s="1" t="s">
        <v>3984</v>
      </c>
      <c r="J329" s="1" t="s">
        <v>12</v>
      </c>
      <c r="K329" s="3" t="s">
        <v>3995</v>
      </c>
      <c r="L329" s="1" t="s">
        <v>3987</v>
      </c>
      <c r="M329" s="1" t="s">
        <v>4010</v>
      </c>
      <c r="N329" s="1" t="s">
        <v>4011</v>
      </c>
      <c r="O329" s="1" t="s">
        <v>13</v>
      </c>
      <c r="P329" s="1" t="s">
        <v>13</v>
      </c>
      <c r="Q329" s="1" t="s">
        <v>4001</v>
      </c>
      <c r="R329" s="1" t="s">
        <v>4012</v>
      </c>
      <c r="S329" s="1" t="s">
        <v>3994</v>
      </c>
      <c r="T329" s="4">
        <v>5.6</v>
      </c>
    </row>
    <row r="330" spans="1:20">
      <c r="A330" s="1" t="s">
        <v>3981</v>
      </c>
      <c r="B330" s="1" t="s">
        <v>312</v>
      </c>
      <c r="C330" s="1" t="s">
        <v>3982</v>
      </c>
      <c r="D330" s="1" t="s">
        <v>465</v>
      </c>
      <c r="E330" s="2">
        <v>45737</v>
      </c>
      <c r="F330" s="2">
        <v>45737</v>
      </c>
      <c r="G330" s="1" t="s">
        <v>3990</v>
      </c>
      <c r="H330" s="3" t="s">
        <v>11</v>
      </c>
      <c r="I330" s="1" t="s">
        <v>3984</v>
      </c>
      <c r="J330" s="1" t="s">
        <v>12</v>
      </c>
      <c r="K330" s="3" t="s">
        <v>3995</v>
      </c>
      <c r="L330" s="1" t="s">
        <v>4032</v>
      </c>
      <c r="M330" s="1" t="s">
        <v>4033</v>
      </c>
      <c r="N330" s="1" t="s">
        <v>13</v>
      </c>
      <c r="O330" s="1" t="s">
        <v>4033</v>
      </c>
      <c r="P330" s="1" t="s">
        <v>13</v>
      </c>
      <c r="Q330" s="1" t="s">
        <v>4034</v>
      </c>
      <c r="R330" s="1" t="s">
        <v>4001</v>
      </c>
      <c r="S330" s="1" t="s">
        <v>3994</v>
      </c>
      <c r="T330" s="4">
        <v>5.3</v>
      </c>
    </row>
    <row r="331" spans="1:20">
      <c r="A331" s="1" t="s">
        <v>3981</v>
      </c>
      <c r="B331" s="1" t="s">
        <v>312</v>
      </c>
      <c r="C331" s="1" t="s">
        <v>3982</v>
      </c>
      <c r="D331" s="1" t="s">
        <v>465</v>
      </c>
      <c r="E331" s="2">
        <v>45737</v>
      </c>
      <c r="F331" s="2">
        <v>45737</v>
      </c>
      <c r="G331" s="1" t="s">
        <v>3997</v>
      </c>
      <c r="H331" s="3" t="s">
        <v>41</v>
      </c>
      <c r="I331" s="1" t="s">
        <v>3984</v>
      </c>
      <c r="J331" s="1" t="s">
        <v>3985</v>
      </c>
      <c r="K331" s="3" t="s">
        <v>3986</v>
      </c>
      <c r="L331" s="1" t="s">
        <v>3987</v>
      </c>
      <c r="M331" s="1" t="s">
        <v>13</v>
      </c>
      <c r="N331" s="1" t="s">
        <v>13</v>
      </c>
      <c r="O331" s="1" t="s">
        <v>3988</v>
      </c>
      <c r="P331" s="1" t="s">
        <v>13</v>
      </c>
      <c r="Q331" s="1" t="s">
        <v>13</v>
      </c>
      <c r="R331" s="1" t="s">
        <v>13</v>
      </c>
      <c r="S331" s="1" t="s">
        <v>3998</v>
      </c>
      <c r="T331" s="4">
        <v>2.5</v>
      </c>
    </row>
    <row r="332" spans="1:20">
      <c r="A332" s="1" t="s">
        <v>3981</v>
      </c>
      <c r="B332" s="1" t="s">
        <v>312</v>
      </c>
      <c r="C332" s="1" t="s">
        <v>3982</v>
      </c>
      <c r="D332" s="1" t="s">
        <v>465</v>
      </c>
      <c r="E332" s="2">
        <v>45737</v>
      </c>
      <c r="F332" s="2">
        <v>45737</v>
      </c>
      <c r="G332" s="1" t="s">
        <v>3997</v>
      </c>
      <c r="H332" s="3" t="s">
        <v>41</v>
      </c>
      <c r="I332" s="1" t="s">
        <v>3984</v>
      </c>
      <c r="J332" s="1" t="s">
        <v>12</v>
      </c>
      <c r="K332" s="3" t="s">
        <v>3995</v>
      </c>
      <c r="L332" s="1" t="s">
        <v>3987</v>
      </c>
      <c r="M332" s="1" t="s">
        <v>3999</v>
      </c>
      <c r="N332" s="1" t="s">
        <v>13</v>
      </c>
      <c r="O332" s="1" t="s">
        <v>3999</v>
      </c>
      <c r="P332" s="1" t="s">
        <v>13</v>
      </c>
      <c r="Q332" s="1" t="s">
        <v>4000</v>
      </c>
      <c r="R332" s="1" t="s">
        <v>4001</v>
      </c>
      <c r="S332" s="1" t="s">
        <v>3998</v>
      </c>
      <c r="T332" s="4">
        <v>14</v>
      </c>
    </row>
    <row r="333" spans="1:20">
      <c r="A333" s="1" t="s">
        <v>3981</v>
      </c>
      <c r="B333" s="1" t="s">
        <v>312</v>
      </c>
      <c r="C333" s="1" t="s">
        <v>3982</v>
      </c>
      <c r="D333" s="1" t="s">
        <v>465</v>
      </c>
      <c r="E333" s="2">
        <v>45737</v>
      </c>
      <c r="F333" s="2">
        <v>45737</v>
      </c>
      <c r="G333" s="1" t="s">
        <v>3997</v>
      </c>
      <c r="H333" s="3" t="s">
        <v>41</v>
      </c>
      <c r="I333" s="1" t="s">
        <v>3984</v>
      </c>
      <c r="J333" s="1" t="s">
        <v>12</v>
      </c>
      <c r="K333" s="3" t="s">
        <v>3995</v>
      </c>
      <c r="L333" s="1" t="s">
        <v>3987</v>
      </c>
      <c r="M333" s="1" t="s">
        <v>3996</v>
      </c>
      <c r="N333" s="1" t="s">
        <v>13</v>
      </c>
      <c r="O333" s="1" t="s">
        <v>3996</v>
      </c>
      <c r="P333" s="1" t="s">
        <v>13</v>
      </c>
      <c r="Q333" s="1" t="s">
        <v>14</v>
      </c>
      <c r="R333" s="1" t="s">
        <v>15</v>
      </c>
      <c r="S333" s="1" t="s">
        <v>3998</v>
      </c>
      <c r="T333" s="4">
        <v>6.5</v>
      </c>
    </row>
    <row r="334" spans="1:20">
      <c r="A334" s="1" t="s">
        <v>3981</v>
      </c>
      <c r="B334" s="1" t="s">
        <v>312</v>
      </c>
      <c r="C334" s="1" t="s">
        <v>3982</v>
      </c>
      <c r="D334" s="1" t="s">
        <v>465</v>
      </c>
      <c r="E334" s="2">
        <v>45737</v>
      </c>
      <c r="F334" s="2">
        <v>45737</v>
      </c>
      <c r="G334" s="1" t="s">
        <v>3997</v>
      </c>
      <c r="H334" s="3" t="s">
        <v>41</v>
      </c>
      <c r="I334" s="1" t="s">
        <v>3984</v>
      </c>
      <c r="J334" s="1" t="s">
        <v>12</v>
      </c>
      <c r="K334" s="3" t="s">
        <v>3995</v>
      </c>
      <c r="L334" s="1" t="s">
        <v>4002</v>
      </c>
      <c r="M334" s="1" t="s">
        <v>4003</v>
      </c>
      <c r="N334" s="1" t="s">
        <v>13</v>
      </c>
      <c r="O334" s="1" t="s">
        <v>4003</v>
      </c>
      <c r="P334" s="1" t="s">
        <v>13</v>
      </c>
      <c r="Q334" s="1" t="s">
        <v>4004</v>
      </c>
      <c r="R334" s="1" t="s">
        <v>4001</v>
      </c>
      <c r="S334" s="1" t="s">
        <v>3998</v>
      </c>
      <c r="T334" s="4">
        <v>18</v>
      </c>
    </row>
    <row r="335" spans="1:20">
      <c r="A335" s="1" t="s">
        <v>3981</v>
      </c>
      <c r="B335" s="1" t="s">
        <v>312</v>
      </c>
      <c r="C335" s="1" t="s">
        <v>3982</v>
      </c>
      <c r="D335" s="1" t="s">
        <v>465</v>
      </c>
      <c r="E335" s="2">
        <v>45737</v>
      </c>
      <c r="F335" s="2">
        <v>45737</v>
      </c>
      <c r="G335" s="1" t="s">
        <v>4005</v>
      </c>
      <c r="H335" s="3" t="s">
        <v>21</v>
      </c>
      <c r="I335" s="1" t="s">
        <v>3984</v>
      </c>
      <c r="J335" s="1" t="s">
        <v>12</v>
      </c>
      <c r="K335" s="3" t="s">
        <v>3995</v>
      </c>
      <c r="L335" s="1" t="s">
        <v>3987</v>
      </c>
      <c r="M335" s="1" t="s">
        <v>3996</v>
      </c>
      <c r="N335" s="1" t="s">
        <v>13</v>
      </c>
      <c r="O335" s="1" t="s">
        <v>3996</v>
      </c>
      <c r="P335" s="1" t="s">
        <v>13</v>
      </c>
      <c r="Q335" s="1" t="s">
        <v>14</v>
      </c>
      <c r="R335" s="1" t="s">
        <v>24</v>
      </c>
      <c r="S335" s="1" t="s">
        <v>4007</v>
      </c>
      <c r="T335" s="4">
        <v>15.4</v>
      </c>
    </row>
    <row r="336" spans="1:20">
      <c r="A336" s="1" t="s">
        <v>3981</v>
      </c>
      <c r="B336" s="1" t="s">
        <v>312</v>
      </c>
      <c r="C336" s="1" t="s">
        <v>3982</v>
      </c>
      <c r="D336" s="1" t="s">
        <v>465</v>
      </c>
      <c r="E336" s="2">
        <v>45737</v>
      </c>
      <c r="F336" s="2">
        <v>45737</v>
      </c>
      <c r="G336" s="1" t="s">
        <v>4005</v>
      </c>
      <c r="H336" s="3" t="s">
        <v>21</v>
      </c>
      <c r="I336" s="1" t="s">
        <v>3984</v>
      </c>
      <c r="J336" s="1" t="s">
        <v>12</v>
      </c>
      <c r="K336" s="3" t="s">
        <v>3995</v>
      </c>
      <c r="L336" s="1" t="s">
        <v>3987</v>
      </c>
      <c r="M336" s="1" t="s">
        <v>3996</v>
      </c>
      <c r="N336" s="1" t="s">
        <v>13</v>
      </c>
      <c r="O336" s="1" t="s">
        <v>3996</v>
      </c>
      <c r="P336" s="1" t="s">
        <v>13</v>
      </c>
      <c r="Q336" s="1" t="s">
        <v>14</v>
      </c>
      <c r="R336" s="1" t="s">
        <v>57</v>
      </c>
      <c r="S336" s="1" t="s">
        <v>4007</v>
      </c>
      <c r="T336" s="4">
        <v>1</v>
      </c>
    </row>
    <row r="337" spans="1:20">
      <c r="A337" s="1" t="s">
        <v>3981</v>
      </c>
      <c r="B337" s="1" t="s">
        <v>312</v>
      </c>
      <c r="C337" s="1" t="s">
        <v>3982</v>
      </c>
      <c r="D337" s="1" t="s">
        <v>465</v>
      </c>
      <c r="E337" s="2">
        <v>45737</v>
      </c>
      <c r="F337" s="2">
        <v>45737</v>
      </c>
      <c r="G337" s="1" t="s">
        <v>4005</v>
      </c>
      <c r="H337" s="3" t="s">
        <v>21</v>
      </c>
      <c r="I337" s="1" t="s">
        <v>3984</v>
      </c>
      <c r="J337" s="1" t="s">
        <v>12</v>
      </c>
      <c r="K337" s="3" t="s">
        <v>3995</v>
      </c>
      <c r="L337" s="1" t="s">
        <v>3987</v>
      </c>
      <c r="M337" s="1" t="s">
        <v>3996</v>
      </c>
      <c r="N337" s="1" t="s">
        <v>13</v>
      </c>
      <c r="O337" s="1" t="s">
        <v>3996</v>
      </c>
      <c r="P337" s="1" t="s">
        <v>13</v>
      </c>
      <c r="Q337" s="1" t="s">
        <v>14</v>
      </c>
      <c r="R337" s="1" t="s">
        <v>42</v>
      </c>
      <c r="S337" s="1" t="s">
        <v>4007</v>
      </c>
      <c r="T337" s="4">
        <v>18.8</v>
      </c>
    </row>
    <row r="338" spans="1:20">
      <c r="A338" s="1" t="s">
        <v>3981</v>
      </c>
      <c r="B338" s="1" t="s">
        <v>312</v>
      </c>
      <c r="C338" s="1" t="s">
        <v>3982</v>
      </c>
      <c r="D338" s="1" t="s">
        <v>465</v>
      </c>
      <c r="E338" s="2">
        <v>45737</v>
      </c>
      <c r="F338" s="2">
        <v>45737</v>
      </c>
      <c r="G338" s="1" t="s">
        <v>4005</v>
      </c>
      <c r="H338" s="3" t="s">
        <v>21</v>
      </c>
      <c r="I338" s="1" t="s">
        <v>3984</v>
      </c>
      <c r="J338" s="1" t="s">
        <v>12</v>
      </c>
      <c r="K338" s="3" t="s">
        <v>3995</v>
      </c>
      <c r="L338" s="1" t="s">
        <v>3987</v>
      </c>
      <c r="M338" s="1" t="s">
        <v>3996</v>
      </c>
      <c r="N338" s="1" t="s">
        <v>13</v>
      </c>
      <c r="O338" s="1" t="s">
        <v>3996</v>
      </c>
      <c r="P338" s="1" t="s">
        <v>13</v>
      </c>
      <c r="Q338" s="1" t="s">
        <v>28</v>
      </c>
      <c r="R338" s="1" t="s">
        <v>58</v>
      </c>
      <c r="S338" s="1" t="s">
        <v>4007</v>
      </c>
      <c r="T338" s="4">
        <v>5.7</v>
      </c>
    </row>
    <row r="339" spans="1:20">
      <c r="A339" s="1" t="s">
        <v>3981</v>
      </c>
      <c r="B339" s="1" t="s">
        <v>312</v>
      </c>
      <c r="C339" s="1" t="s">
        <v>3982</v>
      </c>
      <c r="D339" s="1" t="s">
        <v>465</v>
      </c>
      <c r="E339" s="2">
        <v>45737</v>
      </c>
      <c r="F339" s="2">
        <v>45737</v>
      </c>
      <c r="G339" s="1" t="s">
        <v>4005</v>
      </c>
      <c r="H339" s="3" t="s">
        <v>21</v>
      </c>
      <c r="I339" s="1" t="s">
        <v>3984</v>
      </c>
      <c r="J339" s="1" t="s">
        <v>12</v>
      </c>
      <c r="K339" s="3" t="s">
        <v>3995</v>
      </c>
      <c r="L339" s="1" t="s">
        <v>3987</v>
      </c>
      <c r="M339" s="1" t="s">
        <v>3996</v>
      </c>
      <c r="N339" s="1" t="s">
        <v>13</v>
      </c>
      <c r="O339" s="1" t="s">
        <v>3996</v>
      </c>
      <c r="P339" s="1" t="s">
        <v>13</v>
      </c>
      <c r="Q339" s="1" t="s">
        <v>28</v>
      </c>
      <c r="R339" s="1" t="s">
        <v>43</v>
      </c>
      <c r="S339" s="1" t="s">
        <v>4007</v>
      </c>
      <c r="T339" s="4">
        <v>7.3</v>
      </c>
    </row>
    <row r="340" spans="1:20">
      <c r="A340" s="1" t="s">
        <v>3981</v>
      </c>
      <c r="B340" s="1" t="s">
        <v>312</v>
      </c>
      <c r="C340" s="1" t="s">
        <v>3982</v>
      </c>
      <c r="D340" s="1" t="s">
        <v>465</v>
      </c>
      <c r="E340" s="2">
        <v>45737</v>
      </c>
      <c r="F340" s="2">
        <v>45737</v>
      </c>
      <c r="G340" s="1" t="s">
        <v>4008</v>
      </c>
      <c r="H340" s="3" t="s">
        <v>25</v>
      </c>
      <c r="I340" s="1" t="s">
        <v>3984</v>
      </c>
      <c r="J340" s="1" t="s">
        <v>12</v>
      </c>
      <c r="K340" s="3" t="s">
        <v>3995</v>
      </c>
      <c r="L340" s="1" t="s">
        <v>4013</v>
      </c>
      <c r="M340" s="1" t="s">
        <v>4035</v>
      </c>
      <c r="N340" s="1" t="s">
        <v>4036</v>
      </c>
      <c r="O340" s="1" t="s">
        <v>13</v>
      </c>
      <c r="P340" s="1" t="s">
        <v>13</v>
      </c>
      <c r="Q340" s="1" t="s">
        <v>13</v>
      </c>
      <c r="R340" s="1" t="s">
        <v>13</v>
      </c>
      <c r="S340" s="1" t="s">
        <v>4009</v>
      </c>
      <c r="T340" s="4">
        <v>1.1000000000000001</v>
      </c>
    </row>
    <row r="341" spans="1:20">
      <c r="A341" s="1" t="s">
        <v>3981</v>
      </c>
      <c r="B341" s="1" t="s">
        <v>312</v>
      </c>
      <c r="C341" s="1" t="s">
        <v>3982</v>
      </c>
      <c r="D341" s="1" t="s">
        <v>465</v>
      </c>
      <c r="E341" s="2">
        <v>45737</v>
      </c>
      <c r="F341" s="2">
        <v>45737</v>
      </c>
      <c r="G341" s="1" t="s">
        <v>4008</v>
      </c>
      <c r="H341" s="3" t="s">
        <v>25</v>
      </c>
      <c r="I341" s="1" t="s">
        <v>3984</v>
      </c>
      <c r="J341" s="1" t="s">
        <v>12</v>
      </c>
      <c r="K341" s="3" t="s">
        <v>3995</v>
      </c>
      <c r="L341" s="1" t="s">
        <v>4013</v>
      </c>
      <c r="M341" s="1" t="s">
        <v>4051</v>
      </c>
      <c r="N341" s="1" t="s">
        <v>4052</v>
      </c>
      <c r="O341" s="1" t="s">
        <v>13</v>
      </c>
      <c r="P341" s="1" t="s">
        <v>13</v>
      </c>
      <c r="Q341" s="1" t="s">
        <v>13</v>
      </c>
      <c r="R341" s="1" t="s">
        <v>13</v>
      </c>
      <c r="S341" s="1" t="s">
        <v>4009</v>
      </c>
      <c r="T341" s="4">
        <v>1.7</v>
      </c>
    </row>
    <row r="342" spans="1:20">
      <c r="A342" s="1" t="s">
        <v>3981</v>
      </c>
      <c r="B342" s="1" t="s">
        <v>312</v>
      </c>
      <c r="C342" s="1" t="s">
        <v>3982</v>
      </c>
      <c r="D342" s="1" t="s">
        <v>465</v>
      </c>
      <c r="E342" s="2">
        <v>45737</v>
      </c>
      <c r="F342" s="2">
        <v>45737</v>
      </c>
      <c r="G342" s="1" t="s">
        <v>4008</v>
      </c>
      <c r="H342" s="3" t="s">
        <v>25</v>
      </c>
      <c r="I342" s="1" t="s">
        <v>3984</v>
      </c>
      <c r="J342" s="1" t="s">
        <v>12</v>
      </c>
      <c r="K342" s="3" t="s">
        <v>3995</v>
      </c>
      <c r="L342" s="1" t="s">
        <v>3987</v>
      </c>
      <c r="M342" s="1" t="s">
        <v>3996</v>
      </c>
      <c r="N342" s="1" t="s">
        <v>13</v>
      </c>
      <c r="O342" s="1" t="s">
        <v>3996</v>
      </c>
      <c r="P342" s="1" t="s">
        <v>13</v>
      </c>
      <c r="Q342" s="1" t="s">
        <v>14</v>
      </c>
      <c r="R342" s="1" t="s">
        <v>37</v>
      </c>
      <c r="S342" s="1" t="s">
        <v>4009</v>
      </c>
      <c r="T342" s="4">
        <v>0.4</v>
      </c>
    </row>
    <row r="343" spans="1:20">
      <c r="A343" s="1" t="s">
        <v>3981</v>
      </c>
      <c r="B343" s="1" t="s">
        <v>312</v>
      </c>
      <c r="C343" s="1" t="s">
        <v>3982</v>
      </c>
      <c r="D343" s="1" t="s">
        <v>465</v>
      </c>
      <c r="E343" s="2">
        <v>45737</v>
      </c>
      <c r="F343" s="2">
        <v>45737</v>
      </c>
      <c r="G343" s="1" t="s">
        <v>4008</v>
      </c>
      <c r="H343" s="3" t="s">
        <v>25</v>
      </c>
      <c r="I343" s="1" t="s">
        <v>3984</v>
      </c>
      <c r="J343" s="1" t="s">
        <v>12</v>
      </c>
      <c r="K343" s="3" t="s">
        <v>3995</v>
      </c>
      <c r="L343" s="1" t="s">
        <v>3987</v>
      </c>
      <c r="M343" s="1" t="s">
        <v>3996</v>
      </c>
      <c r="N343" s="1" t="s">
        <v>13</v>
      </c>
      <c r="O343" s="1" t="s">
        <v>3996</v>
      </c>
      <c r="P343" s="1" t="s">
        <v>13</v>
      </c>
      <c r="Q343" s="1" t="s">
        <v>14</v>
      </c>
      <c r="R343" s="1" t="s">
        <v>15</v>
      </c>
      <c r="S343" s="1" t="s">
        <v>4009</v>
      </c>
      <c r="T343" s="4">
        <v>7.3</v>
      </c>
    </row>
    <row r="344" spans="1:20">
      <c r="A344" s="1" t="s">
        <v>3981</v>
      </c>
      <c r="B344" s="1" t="s">
        <v>312</v>
      </c>
      <c r="C344" s="1" t="s">
        <v>3982</v>
      </c>
      <c r="D344" s="1" t="s">
        <v>465</v>
      </c>
      <c r="E344" s="2">
        <v>45737</v>
      </c>
      <c r="F344" s="2">
        <v>45737</v>
      </c>
      <c r="G344" s="1" t="s">
        <v>4008</v>
      </c>
      <c r="H344" s="3" t="s">
        <v>25</v>
      </c>
      <c r="I344" s="1" t="s">
        <v>3984</v>
      </c>
      <c r="J344" s="1" t="s">
        <v>12</v>
      </c>
      <c r="K344" s="3" t="s">
        <v>3995</v>
      </c>
      <c r="L344" s="1" t="s">
        <v>3987</v>
      </c>
      <c r="M344" s="1" t="s">
        <v>3996</v>
      </c>
      <c r="N344" s="1" t="s">
        <v>13</v>
      </c>
      <c r="O344" s="1" t="s">
        <v>3996</v>
      </c>
      <c r="P344" s="1" t="s">
        <v>13</v>
      </c>
      <c r="Q344" s="1" t="s">
        <v>44</v>
      </c>
      <c r="R344" s="1" t="s">
        <v>45</v>
      </c>
      <c r="S344" s="1" t="s">
        <v>4009</v>
      </c>
      <c r="T344" s="4">
        <v>18</v>
      </c>
    </row>
    <row r="345" spans="1:20">
      <c r="A345" s="1" t="s">
        <v>3981</v>
      </c>
      <c r="B345" s="1" t="s">
        <v>312</v>
      </c>
      <c r="C345" s="1" t="s">
        <v>3982</v>
      </c>
      <c r="D345" s="1" t="s">
        <v>465</v>
      </c>
      <c r="E345" s="2">
        <v>45737</v>
      </c>
      <c r="F345" s="2">
        <v>45737</v>
      </c>
      <c r="G345" s="1" t="s">
        <v>4008</v>
      </c>
      <c r="H345" s="3" t="s">
        <v>25</v>
      </c>
      <c r="I345" s="1" t="s">
        <v>3984</v>
      </c>
      <c r="J345" s="1" t="s">
        <v>12</v>
      </c>
      <c r="K345" s="3" t="s">
        <v>3995</v>
      </c>
      <c r="L345" s="1" t="s">
        <v>3987</v>
      </c>
      <c r="M345" s="1" t="s">
        <v>3996</v>
      </c>
      <c r="N345" s="1" t="s">
        <v>13</v>
      </c>
      <c r="O345" s="1" t="s">
        <v>3996</v>
      </c>
      <c r="P345" s="1" t="s">
        <v>13</v>
      </c>
      <c r="Q345" s="1" t="s">
        <v>38</v>
      </c>
      <c r="R345" s="1" t="s">
        <v>46</v>
      </c>
      <c r="S345" s="1" t="s">
        <v>4009</v>
      </c>
      <c r="T345" s="4">
        <v>3.8</v>
      </c>
    </row>
    <row r="346" spans="1:20">
      <c r="A346" s="1" t="s">
        <v>3981</v>
      </c>
      <c r="B346" s="1" t="s">
        <v>312</v>
      </c>
      <c r="C346" s="1" t="s">
        <v>3982</v>
      </c>
      <c r="D346" s="1" t="s">
        <v>465</v>
      </c>
      <c r="E346" s="2">
        <v>45737</v>
      </c>
      <c r="F346" s="2">
        <v>45737</v>
      </c>
      <c r="G346" s="1" t="s">
        <v>4008</v>
      </c>
      <c r="H346" s="3" t="s">
        <v>25</v>
      </c>
      <c r="I346" s="1" t="s">
        <v>3984</v>
      </c>
      <c r="J346" s="1" t="s">
        <v>12</v>
      </c>
      <c r="K346" s="3" t="s">
        <v>3995</v>
      </c>
      <c r="L346" s="1" t="s">
        <v>3987</v>
      </c>
      <c r="M346" s="1" t="s">
        <v>3996</v>
      </c>
      <c r="N346" s="1" t="s">
        <v>13</v>
      </c>
      <c r="O346" s="1" t="s">
        <v>3996</v>
      </c>
      <c r="P346" s="1" t="s">
        <v>13</v>
      </c>
      <c r="Q346" s="1" t="s">
        <v>38</v>
      </c>
      <c r="R346" s="1" t="s">
        <v>51</v>
      </c>
      <c r="S346" s="1" t="s">
        <v>4009</v>
      </c>
      <c r="T346" s="4">
        <v>0.3</v>
      </c>
    </row>
    <row r="347" spans="1:20">
      <c r="A347" s="1" t="s">
        <v>3981</v>
      </c>
      <c r="B347" s="1" t="s">
        <v>312</v>
      </c>
      <c r="C347" s="1" t="s">
        <v>3982</v>
      </c>
      <c r="D347" s="1" t="s">
        <v>465</v>
      </c>
      <c r="E347" s="2">
        <v>45737</v>
      </c>
      <c r="F347" s="2">
        <v>45737</v>
      </c>
      <c r="G347" s="1" t="s">
        <v>4008</v>
      </c>
      <c r="H347" s="3" t="s">
        <v>25</v>
      </c>
      <c r="I347" s="1" t="s">
        <v>3984</v>
      </c>
      <c r="J347" s="1" t="s">
        <v>12</v>
      </c>
      <c r="K347" s="3" t="s">
        <v>3995</v>
      </c>
      <c r="L347" s="1" t="s">
        <v>3987</v>
      </c>
      <c r="M347" s="1" t="s">
        <v>3996</v>
      </c>
      <c r="N347" s="1" t="s">
        <v>13</v>
      </c>
      <c r="O347" s="1" t="s">
        <v>3996</v>
      </c>
      <c r="P347" s="1" t="s">
        <v>13</v>
      </c>
      <c r="Q347" s="1" t="s">
        <v>38</v>
      </c>
      <c r="R347" s="1" t="s">
        <v>52</v>
      </c>
      <c r="S347" s="1" t="s">
        <v>4009</v>
      </c>
      <c r="T347" s="4">
        <v>0.8</v>
      </c>
    </row>
    <row r="348" spans="1:20">
      <c r="A348" s="1" t="s">
        <v>3981</v>
      </c>
      <c r="B348" s="1" t="s">
        <v>312</v>
      </c>
      <c r="C348" s="1" t="s">
        <v>3982</v>
      </c>
      <c r="D348" s="1" t="s">
        <v>465</v>
      </c>
      <c r="E348" s="2">
        <v>45737</v>
      </c>
      <c r="F348" s="2">
        <v>45737</v>
      </c>
      <c r="G348" s="1" t="s">
        <v>4008</v>
      </c>
      <c r="H348" s="3" t="s">
        <v>25</v>
      </c>
      <c r="I348" s="1" t="s">
        <v>3984</v>
      </c>
      <c r="J348" s="1" t="s">
        <v>12</v>
      </c>
      <c r="K348" s="3" t="s">
        <v>3995</v>
      </c>
      <c r="L348" s="1" t="s">
        <v>3987</v>
      </c>
      <c r="M348" s="1" t="s">
        <v>3996</v>
      </c>
      <c r="N348" s="1" t="s">
        <v>13</v>
      </c>
      <c r="O348" s="1" t="s">
        <v>3996</v>
      </c>
      <c r="P348" s="1" t="s">
        <v>13</v>
      </c>
      <c r="Q348" s="1" t="s">
        <v>30</v>
      </c>
      <c r="R348" s="1" t="s">
        <v>31</v>
      </c>
      <c r="S348" s="1" t="s">
        <v>4009</v>
      </c>
      <c r="T348" s="4">
        <v>4.2</v>
      </c>
    </row>
    <row r="349" spans="1:20">
      <c r="A349" s="1" t="s">
        <v>3981</v>
      </c>
      <c r="B349" s="1" t="s">
        <v>312</v>
      </c>
      <c r="C349" s="1" t="s">
        <v>3982</v>
      </c>
      <c r="D349" s="1" t="s">
        <v>465</v>
      </c>
      <c r="E349" s="2">
        <v>45737</v>
      </c>
      <c r="F349" s="2">
        <v>45737</v>
      </c>
      <c r="G349" s="1" t="s">
        <v>4008</v>
      </c>
      <c r="H349" s="3" t="s">
        <v>25</v>
      </c>
      <c r="I349" s="1" t="s">
        <v>3984</v>
      </c>
      <c r="J349" s="1" t="s">
        <v>12</v>
      </c>
      <c r="K349" s="3" t="s">
        <v>3995</v>
      </c>
      <c r="L349" s="1" t="s">
        <v>3987</v>
      </c>
      <c r="M349" s="1" t="s">
        <v>3996</v>
      </c>
      <c r="N349" s="1" t="s">
        <v>13</v>
      </c>
      <c r="O349" s="1" t="s">
        <v>3996</v>
      </c>
      <c r="P349" s="1" t="s">
        <v>13</v>
      </c>
      <c r="Q349" s="1" t="s">
        <v>30</v>
      </c>
      <c r="R349" s="1" t="s">
        <v>62</v>
      </c>
      <c r="S349" s="1" t="s">
        <v>4009</v>
      </c>
      <c r="T349" s="4">
        <v>6.4</v>
      </c>
    </row>
    <row r="350" spans="1:20">
      <c r="A350" s="1" t="s">
        <v>3981</v>
      </c>
      <c r="B350" s="1" t="s">
        <v>312</v>
      </c>
      <c r="C350" s="1" t="s">
        <v>3982</v>
      </c>
      <c r="D350" s="1" t="s">
        <v>465</v>
      </c>
      <c r="E350" s="2">
        <v>45751</v>
      </c>
      <c r="F350" s="2">
        <v>45744</v>
      </c>
      <c r="G350" s="1" t="s">
        <v>3983</v>
      </c>
      <c r="H350" s="3" t="s">
        <v>32</v>
      </c>
      <c r="I350" s="1" t="s">
        <v>3984</v>
      </c>
      <c r="J350" s="1" t="s">
        <v>3985</v>
      </c>
      <c r="K350" s="3" t="s">
        <v>3986</v>
      </c>
      <c r="L350" s="1" t="s">
        <v>3987</v>
      </c>
      <c r="M350" s="1" t="s">
        <v>13</v>
      </c>
      <c r="N350" s="1" t="s">
        <v>13</v>
      </c>
      <c r="O350" s="1" t="s">
        <v>3988</v>
      </c>
      <c r="P350" s="1" t="s">
        <v>13</v>
      </c>
      <c r="Q350" s="1" t="s">
        <v>13</v>
      </c>
      <c r="R350" s="1" t="s">
        <v>13</v>
      </c>
      <c r="S350" s="1" t="s">
        <v>3989</v>
      </c>
      <c r="T350" s="4">
        <v>36</v>
      </c>
    </row>
    <row r="351" spans="1:20">
      <c r="A351" s="1" t="s">
        <v>3981</v>
      </c>
      <c r="B351" s="1" t="s">
        <v>312</v>
      </c>
      <c r="C351" s="1" t="s">
        <v>3982</v>
      </c>
      <c r="D351" s="1" t="s">
        <v>465</v>
      </c>
      <c r="E351" s="2">
        <v>45751</v>
      </c>
      <c r="F351" s="2">
        <v>45744</v>
      </c>
      <c r="G351" s="1" t="s">
        <v>3990</v>
      </c>
      <c r="H351" s="3" t="s">
        <v>11</v>
      </c>
      <c r="I351" s="1" t="s">
        <v>3984</v>
      </c>
      <c r="J351" s="1" t="s">
        <v>12</v>
      </c>
      <c r="K351" s="3" t="s">
        <v>3995</v>
      </c>
      <c r="L351" s="1" t="s">
        <v>3987</v>
      </c>
      <c r="M351" s="1" t="s">
        <v>3996</v>
      </c>
      <c r="N351" s="1" t="s">
        <v>13</v>
      </c>
      <c r="O351" s="1" t="s">
        <v>3996</v>
      </c>
      <c r="P351" s="1" t="s">
        <v>13</v>
      </c>
      <c r="Q351" s="1" t="s">
        <v>14</v>
      </c>
      <c r="R351" s="1" t="s">
        <v>27</v>
      </c>
      <c r="S351" s="1" t="s">
        <v>3994</v>
      </c>
      <c r="T351" s="4">
        <v>1</v>
      </c>
    </row>
    <row r="352" spans="1:20">
      <c r="A352" s="1" t="s">
        <v>3981</v>
      </c>
      <c r="B352" s="1" t="s">
        <v>312</v>
      </c>
      <c r="C352" s="1" t="s">
        <v>3982</v>
      </c>
      <c r="D352" s="1" t="s">
        <v>465</v>
      </c>
      <c r="E352" s="2">
        <v>45751</v>
      </c>
      <c r="F352" s="2">
        <v>45744</v>
      </c>
      <c r="G352" s="1" t="s">
        <v>3990</v>
      </c>
      <c r="H352" s="3" t="s">
        <v>11</v>
      </c>
      <c r="I352" s="1" t="s">
        <v>3984</v>
      </c>
      <c r="J352" s="1" t="s">
        <v>12</v>
      </c>
      <c r="K352" s="3" t="s">
        <v>3995</v>
      </c>
      <c r="L352" s="1" t="s">
        <v>3987</v>
      </c>
      <c r="M352" s="1" t="s">
        <v>3996</v>
      </c>
      <c r="N352" s="1" t="s">
        <v>13</v>
      </c>
      <c r="O352" s="1" t="s">
        <v>3996</v>
      </c>
      <c r="P352" s="1" t="s">
        <v>13</v>
      </c>
      <c r="Q352" s="1" t="s">
        <v>14</v>
      </c>
      <c r="R352" s="1" t="s">
        <v>37</v>
      </c>
      <c r="S352" s="1" t="s">
        <v>3994</v>
      </c>
      <c r="T352" s="4">
        <v>1.3</v>
      </c>
    </row>
    <row r="353" spans="1:20">
      <c r="A353" s="1" t="s">
        <v>3981</v>
      </c>
      <c r="B353" s="1" t="s">
        <v>312</v>
      </c>
      <c r="C353" s="1" t="s">
        <v>3982</v>
      </c>
      <c r="D353" s="1" t="s">
        <v>465</v>
      </c>
      <c r="E353" s="2">
        <v>45751</v>
      </c>
      <c r="F353" s="2">
        <v>45744</v>
      </c>
      <c r="G353" s="1" t="s">
        <v>3990</v>
      </c>
      <c r="H353" s="3" t="s">
        <v>11</v>
      </c>
      <c r="I353" s="1" t="s">
        <v>3984</v>
      </c>
      <c r="J353" s="1" t="s">
        <v>12</v>
      </c>
      <c r="K353" s="3" t="s">
        <v>3995</v>
      </c>
      <c r="L353" s="1" t="s">
        <v>3987</v>
      </c>
      <c r="M353" s="1" t="s">
        <v>3996</v>
      </c>
      <c r="N353" s="1" t="s">
        <v>13</v>
      </c>
      <c r="O353" s="1" t="s">
        <v>3996</v>
      </c>
      <c r="P353" s="1" t="s">
        <v>13</v>
      </c>
      <c r="Q353" s="1" t="s">
        <v>14</v>
      </c>
      <c r="R353" s="1" t="s">
        <v>15</v>
      </c>
      <c r="S353" s="1" t="s">
        <v>3994</v>
      </c>
      <c r="T353" s="4">
        <v>1.8</v>
      </c>
    </row>
    <row r="354" spans="1:20">
      <c r="A354" s="1" t="s">
        <v>3981</v>
      </c>
      <c r="B354" s="1" t="s">
        <v>312</v>
      </c>
      <c r="C354" s="1" t="s">
        <v>3982</v>
      </c>
      <c r="D354" s="1" t="s">
        <v>465</v>
      </c>
      <c r="E354" s="2">
        <v>45751</v>
      </c>
      <c r="F354" s="2">
        <v>45744</v>
      </c>
      <c r="G354" s="1" t="s">
        <v>3990</v>
      </c>
      <c r="H354" s="3" t="s">
        <v>11</v>
      </c>
      <c r="I354" s="1" t="s">
        <v>3984</v>
      </c>
      <c r="J354" s="1" t="s">
        <v>12</v>
      </c>
      <c r="K354" s="3" t="s">
        <v>3995</v>
      </c>
      <c r="L354" s="1" t="s">
        <v>3987</v>
      </c>
      <c r="M354" s="1" t="s">
        <v>3996</v>
      </c>
      <c r="N354" s="1" t="s">
        <v>13</v>
      </c>
      <c r="O354" s="1" t="s">
        <v>3996</v>
      </c>
      <c r="P354" s="1" t="s">
        <v>13</v>
      </c>
      <c r="Q354" s="1" t="s">
        <v>28</v>
      </c>
      <c r="R354" s="1" t="s">
        <v>63</v>
      </c>
      <c r="S354" s="1" t="s">
        <v>3994</v>
      </c>
      <c r="T354" s="4">
        <v>5.2</v>
      </c>
    </row>
    <row r="355" spans="1:20">
      <c r="A355" s="1" t="s">
        <v>3981</v>
      </c>
      <c r="B355" s="1" t="s">
        <v>312</v>
      </c>
      <c r="C355" s="1" t="s">
        <v>3982</v>
      </c>
      <c r="D355" s="1" t="s">
        <v>465</v>
      </c>
      <c r="E355" s="2">
        <v>45751</v>
      </c>
      <c r="F355" s="2">
        <v>45744</v>
      </c>
      <c r="G355" s="1" t="s">
        <v>3990</v>
      </c>
      <c r="H355" s="3" t="s">
        <v>11</v>
      </c>
      <c r="I355" s="1" t="s">
        <v>3984</v>
      </c>
      <c r="J355" s="1" t="s">
        <v>12</v>
      </c>
      <c r="K355" s="3" t="s">
        <v>3995</v>
      </c>
      <c r="L355" s="1" t="s">
        <v>3987</v>
      </c>
      <c r="M355" s="1" t="s">
        <v>3996</v>
      </c>
      <c r="N355" s="1" t="s">
        <v>13</v>
      </c>
      <c r="O355" s="1" t="s">
        <v>3996</v>
      </c>
      <c r="P355" s="1" t="s">
        <v>13</v>
      </c>
      <c r="Q355" s="1" t="s">
        <v>28</v>
      </c>
      <c r="R355" s="1" t="s">
        <v>43</v>
      </c>
      <c r="S355" s="1" t="s">
        <v>3994</v>
      </c>
      <c r="T355" s="4">
        <v>0.5</v>
      </c>
    </row>
    <row r="356" spans="1:20">
      <c r="A356" s="1" t="s">
        <v>3981</v>
      </c>
      <c r="B356" s="1" t="s">
        <v>312</v>
      </c>
      <c r="C356" s="1" t="s">
        <v>3982</v>
      </c>
      <c r="D356" s="1" t="s">
        <v>465</v>
      </c>
      <c r="E356" s="2">
        <v>45751</v>
      </c>
      <c r="F356" s="2">
        <v>45744</v>
      </c>
      <c r="G356" s="1" t="s">
        <v>3990</v>
      </c>
      <c r="H356" s="3" t="s">
        <v>11</v>
      </c>
      <c r="I356" s="1" t="s">
        <v>3984</v>
      </c>
      <c r="J356" s="1" t="s">
        <v>12</v>
      </c>
      <c r="K356" s="3" t="s">
        <v>3995</v>
      </c>
      <c r="L356" s="1" t="s">
        <v>3987</v>
      </c>
      <c r="M356" s="1" t="s">
        <v>3996</v>
      </c>
      <c r="N356" s="1" t="s">
        <v>13</v>
      </c>
      <c r="O356" s="1" t="s">
        <v>3996</v>
      </c>
      <c r="P356" s="1" t="s">
        <v>13</v>
      </c>
      <c r="Q356" s="1" t="s">
        <v>30</v>
      </c>
      <c r="R356" s="1" t="s">
        <v>31</v>
      </c>
      <c r="S356" s="1" t="s">
        <v>3994</v>
      </c>
      <c r="T356" s="4">
        <v>1.2</v>
      </c>
    </row>
    <row r="357" spans="1:20">
      <c r="A357" s="1" t="s">
        <v>3981</v>
      </c>
      <c r="B357" s="1" t="s">
        <v>312</v>
      </c>
      <c r="C357" s="1" t="s">
        <v>3982</v>
      </c>
      <c r="D357" s="1" t="s">
        <v>465</v>
      </c>
      <c r="E357" s="2">
        <v>45751</v>
      </c>
      <c r="F357" s="2">
        <v>45744</v>
      </c>
      <c r="G357" s="1" t="s">
        <v>3990</v>
      </c>
      <c r="H357" s="3" t="s">
        <v>11</v>
      </c>
      <c r="I357" s="1" t="s">
        <v>3984</v>
      </c>
      <c r="J357" s="1" t="s">
        <v>12</v>
      </c>
      <c r="K357" s="3" t="s">
        <v>3995</v>
      </c>
      <c r="L357" s="1" t="s">
        <v>3987</v>
      </c>
      <c r="M357" s="1" t="s">
        <v>4017</v>
      </c>
      <c r="N357" s="1" t="s">
        <v>4018</v>
      </c>
      <c r="O357" s="1" t="s">
        <v>13</v>
      </c>
      <c r="P357" s="1" t="s">
        <v>13</v>
      </c>
      <c r="Q357" s="1" t="s">
        <v>4019</v>
      </c>
      <c r="R357" s="1" t="s">
        <v>4019</v>
      </c>
      <c r="S357" s="1" t="s">
        <v>3994</v>
      </c>
      <c r="T357" s="4">
        <v>0.5</v>
      </c>
    </row>
    <row r="358" spans="1:20">
      <c r="A358" s="1" t="s">
        <v>3981</v>
      </c>
      <c r="B358" s="1" t="s">
        <v>312</v>
      </c>
      <c r="C358" s="1" t="s">
        <v>3982</v>
      </c>
      <c r="D358" s="1" t="s">
        <v>465</v>
      </c>
      <c r="E358" s="2">
        <v>45751</v>
      </c>
      <c r="F358" s="2">
        <v>45744</v>
      </c>
      <c r="G358" s="1" t="s">
        <v>3990</v>
      </c>
      <c r="H358" s="3" t="s">
        <v>11</v>
      </c>
      <c r="I358" s="1" t="s">
        <v>3984</v>
      </c>
      <c r="J358" s="1" t="s">
        <v>12</v>
      </c>
      <c r="K358" s="3" t="s">
        <v>3995</v>
      </c>
      <c r="L358" s="1" t="s">
        <v>3987</v>
      </c>
      <c r="M358" s="1" t="s">
        <v>4010</v>
      </c>
      <c r="N358" s="1" t="s">
        <v>4011</v>
      </c>
      <c r="O358" s="1" t="s">
        <v>13</v>
      </c>
      <c r="P358" s="1" t="s">
        <v>13</v>
      </c>
      <c r="Q358" s="1" t="s">
        <v>4001</v>
      </c>
      <c r="R358" s="1" t="s">
        <v>4012</v>
      </c>
      <c r="S358" s="1" t="s">
        <v>3994</v>
      </c>
      <c r="T358" s="4">
        <v>1.1000000000000001</v>
      </c>
    </row>
    <row r="359" spans="1:20">
      <c r="A359" s="1" t="s">
        <v>3981</v>
      </c>
      <c r="B359" s="1" t="s">
        <v>312</v>
      </c>
      <c r="C359" s="1" t="s">
        <v>3982</v>
      </c>
      <c r="D359" s="1" t="s">
        <v>465</v>
      </c>
      <c r="E359" s="2">
        <v>45751</v>
      </c>
      <c r="F359" s="2">
        <v>45744</v>
      </c>
      <c r="G359" s="1" t="s">
        <v>3990</v>
      </c>
      <c r="H359" s="3" t="s">
        <v>11</v>
      </c>
      <c r="I359" s="1" t="s">
        <v>3984</v>
      </c>
      <c r="J359" s="1" t="s">
        <v>12</v>
      </c>
      <c r="K359" s="3" t="s">
        <v>3995</v>
      </c>
      <c r="L359" s="1" t="s">
        <v>4032</v>
      </c>
      <c r="M359" s="1" t="s">
        <v>4033</v>
      </c>
      <c r="N359" s="1" t="s">
        <v>13</v>
      </c>
      <c r="O359" s="1" t="s">
        <v>4033</v>
      </c>
      <c r="P359" s="1" t="s">
        <v>13</v>
      </c>
      <c r="Q359" s="1" t="s">
        <v>4034</v>
      </c>
      <c r="R359" s="1" t="s">
        <v>4001</v>
      </c>
      <c r="S359" s="1" t="s">
        <v>3994</v>
      </c>
      <c r="T359" s="4">
        <v>23.4</v>
      </c>
    </row>
    <row r="360" spans="1:20">
      <c r="A360" s="1" t="s">
        <v>3981</v>
      </c>
      <c r="B360" s="1" t="s">
        <v>312</v>
      </c>
      <c r="C360" s="1" t="s">
        <v>3982</v>
      </c>
      <c r="D360" s="1" t="s">
        <v>465</v>
      </c>
      <c r="E360" s="2">
        <v>45751</v>
      </c>
      <c r="F360" s="2">
        <v>45744</v>
      </c>
      <c r="G360" s="1" t="s">
        <v>3997</v>
      </c>
      <c r="H360" s="3" t="s">
        <v>41</v>
      </c>
      <c r="I360" s="1" t="s">
        <v>3984</v>
      </c>
      <c r="J360" s="1" t="s">
        <v>3985</v>
      </c>
      <c r="K360" s="3" t="s">
        <v>3986</v>
      </c>
      <c r="L360" s="1" t="s">
        <v>3987</v>
      </c>
      <c r="M360" s="1" t="s">
        <v>13</v>
      </c>
      <c r="N360" s="1" t="s">
        <v>13</v>
      </c>
      <c r="O360" s="1" t="s">
        <v>3988</v>
      </c>
      <c r="P360" s="1" t="s">
        <v>13</v>
      </c>
      <c r="Q360" s="1" t="s">
        <v>13</v>
      </c>
      <c r="R360" s="1" t="s">
        <v>13</v>
      </c>
      <c r="S360" s="1" t="s">
        <v>3998</v>
      </c>
      <c r="T360" s="4">
        <v>1</v>
      </c>
    </row>
    <row r="361" spans="1:20">
      <c r="A361" s="1" t="s">
        <v>3981</v>
      </c>
      <c r="B361" s="1" t="s">
        <v>312</v>
      </c>
      <c r="C361" s="1" t="s">
        <v>3982</v>
      </c>
      <c r="D361" s="1" t="s">
        <v>465</v>
      </c>
      <c r="E361" s="2">
        <v>45751</v>
      </c>
      <c r="F361" s="2">
        <v>45744</v>
      </c>
      <c r="G361" s="1" t="s">
        <v>3997</v>
      </c>
      <c r="H361" s="3" t="s">
        <v>41</v>
      </c>
      <c r="I361" s="1" t="s">
        <v>3984</v>
      </c>
      <c r="J361" s="1" t="s">
        <v>12</v>
      </c>
      <c r="K361" s="3" t="s">
        <v>3995</v>
      </c>
      <c r="L361" s="1" t="s">
        <v>3987</v>
      </c>
      <c r="M361" s="1" t="s">
        <v>3999</v>
      </c>
      <c r="N361" s="1" t="s">
        <v>13</v>
      </c>
      <c r="O361" s="1" t="s">
        <v>3999</v>
      </c>
      <c r="P361" s="1" t="s">
        <v>13</v>
      </c>
      <c r="Q361" s="1" t="s">
        <v>4000</v>
      </c>
      <c r="R361" s="1" t="s">
        <v>4001</v>
      </c>
      <c r="S361" s="1" t="s">
        <v>3998</v>
      </c>
      <c r="T361" s="4">
        <v>12</v>
      </c>
    </row>
    <row r="362" spans="1:20">
      <c r="A362" s="1" t="s">
        <v>3981</v>
      </c>
      <c r="B362" s="1" t="s">
        <v>312</v>
      </c>
      <c r="C362" s="1" t="s">
        <v>3982</v>
      </c>
      <c r="D362" s="1" t="s">
        <v>465</v>
      </c>
      <c r="E362" s="2">
        <v>45751</v>
      </c>
      <c r="F362" s="2">
        <v>45744</v>
      </c>
      <c r="G362" s="1" t="s">
        <v>3997</v>
      </c>
      <c r="H362" s="3" t="s">
        <v>41</v>
      </c>
      <c r="I362" s="1" t="s">
        <v>3984</v>
      </c>
      <c r="J362" s="1" t="s">
        <v>12</v>
      </c>
      <c r="K362" s="3" t="s">
        <v>3995</v>
      </c>
      <c r="L362" s="1" t="s">
        <v>4002</v>
      </c>
      <c r="M362" s="1" t="s">
        <v>4003</v>
      </c>
      <c r="N362" s="1" t="s">
        <v>13</v>
      </c>
      <c r="O362" s="1" t="s">
        <v>4003</v>
      </c>
      <c r="P362" s="1" t="s">
        <v>13</v>
      </c>
      <c r="Q362" s="1" t="s">
        <v>4004</v>
      </c>
      <c r="R362" s="1" t="s">
        <v>4001</v>
      </c>
      <c r="S362" s="1" t="s">
        <v>3998</v>
      </c>
      <c r="T362" s="4">
        <v>20</v>
      </c>
    </row>
    <row r="363" spans="1:20">
      <c r="A363" s="1" t="s">
        <v>3981</v>
      </c>
      <c r="B363" s="1" t="s">
        <v>312</v>
      </c>
      <c r="C363" s="1" t="s">
        <v>3982</v>
      </c>
      <c r="D363" s="1" t="s">
        <v>465</v>
      </c>
      <c r="E363" s="2">
        <v>45751</v>
      </c>
      <c r="F363" s="2">
        <v>45744</v>
      </c>
      <c r="G363" s="1" t="s">
        <v>4005</v>
      </c>
      <c r="H363" s="3" t="s">
        <v>21</v>
      </c>
      <c r="I363" s="1" t="s">
        <v>3984</v>
      </c>
      <c r="J363" s="1" t="s">
        <v>12</v>
      </c>
      <c r="K363" s="3" t="s">
        <v>3995</v>
      </c>
      <c r="L363" s="1" t="s">
        <v>3987</v>
      </c>
      <c r="M363" s="1" t="s">
        <v>3996</v>
      </c>
      <c r="N363" s="1" t="s">
        <v>13</v>
      </c>
      <c r="O363" s="1" t="s">
        <v>3996</v>
      </c>
      <c r="P363" s="1" t="s">
        <v>13</v>
      </c>
      <c r="Q363" s="1" t="s">
        <v>14</v>
      </c>
      <c r="R363" s="1" t="s">
        <v>24</v>
      </c>
      <c r="S363" s="1" t="s">
        <v>4007</v>
      </c>
      <c r="T363" s="4">
        <v>6.7</v>
      </c>
    </row>
    <row r="364" spans="1:20">
      <c r="A364" s="1" t="s">
        <v>3981</v>
      </c>
      <c r="B364" s="1" t="s">
        <v>312</v>
      </c>
      <c r="C364" s="1" t="s">
        <v>3982</v>
      </c>
      <c r="D364" s="1" t="s">
        <v>465</v>
      </c>
      <c r="E364" s="2">
        <v>45751</v>
      </c>
      <c r="F364" s="2">
        <v>45744</v>
      </c>
      <c r="G364" s="1" t="s">
        <v>4005</v>
      </c>
      <c r="H364" s="3" t="s">
        <v>21</v>
      </c>
      <c r="I364" s="1" t="s">
        <v>3984</v>
      </c>
      <c r="J364" s="1" t="s">
        <v>12</v>
      </c>
      <c r="K364" s="3" t="s">
        <v>3995</v>
      </c>
      <c r="L364" s="1" t="s">
        <v>3987</v>
      </c>
      <c r="M364" s="1" t="s">
        <v>3996</v>
      </c>
      <c r="N364" s="1" t="s">
        <v>13</v>
      </c>
      <c r="O364" s="1" t="s">
        <v>3996</v>
      </c>
      <c r="P364" s="1" t="s">
        <v>13</v>
      </c>
      <c r="Q364" s="1" t="s">
        <v>14</v>
      </c>
      <c r="R364" s="1" t="s">
        <v>42</v>
      </c>
      <c r="S364" s="1" t="s">
        <v>4007</v>
      </c>
      <c r="T364" s="4">
        <v>4.0999999999999996</v>
      </c>
    </row>
    <row r="365" spans="1:20">
      <c r="A365" s="1" t="s">
        <v>3981</v>
      </c>
      <c r="B365" s="1" t="s">
        <v>312</v>
      </c>
      <c r="C365" s="1" t="s">
        <v>3982</v>
      </c>
      <c r="D365" s="1" t="s">
        <v>465</v>
      </c>
      <c r="E365" s="2">
        <v>45751</v>
      </c>
      <c r="F365" s="2">
        <v>45744</v>
      </c>
      <c r="G365" s="1" t="s">
        <v>4005</v>
      </c>
      <c r="H365" s="3" t="s">
        <v>21</v>
      </c>
      <c r="I365" s="1" t="s">
        <v>3984</v>
      </c>
      <c r="J365" s="1" t="s">
        <v>12</v>
      </c>
      <c r="K365" s="3" t="s">
        <v>3995</v>
      </c>
      <c r="L365" s="1" t="s">
        <v>3987</v>
      </c>
      <c r="M365" s="1" t="s">
        <v>3996</v>
      </c>
      <c r="N365" s="1" t="s">
        <v>13</v>
      </c>
      <c r="O365" s="1" t="s">
        <v>3996</v>
      </c>
      <c r="P365" s="1" t="s">
        <v>13</v>
      </c>
      <c r="Q365" s="1" t="s">
        <v>28</v>
      </c>
      <c r="R365" s="1" t="s">
        <v>58</v>
      </c>
      <c r="S365" s="1" t="s">
        <v>4007</v>
      </c>
      <c r="T365" s="4">
        <v>27.2</v>
      </c>
    </row>
    <row r="366" spans="1:20">
      <c r="A366" s="1" t="s">
        <v>3981</v>
      </c>
      <c r="B366" s="1" t="s">
        <v>312</v>
      </c>
      <c r="C366" s="1" t="s">
        <v>3982</v>
      </c>
      <c r="D366" s="1" t="s">
        <v>465</v>
      </c>
      <c r="E366" s="2">
        <v>45751</v>
      </c>
      <c r="F366" s="2">
        <v>45744</v>
      </c>
      <c r="G366" s="1" t="s">
        <v>4005</v>
      </c>
      <c r="H366" s="3" t="s">
        <v>21</v>
      </c>
      <c r="I366" s="1" t="s">
        <v>3984</v>
      </c>
      <c r="J366" s="1" t="s">
        <v>12</v>
      </c>
      <c r="K366" s="3" t="s">
        <v>3995</v>
      </c>
      <c r="L366" s="1" t="s">
        <v>3987</v>
      </c>
      <c r="M366" s="1" t="s">
        <v>3996</v>
      </c>
      <c r="N366" s="1" t="s">
        <v>13</v>
      </c>
      <c r="O366" s="1" t="s">
        <v>3996</v>
      </c>
      <c r="P366" s="1" t="s">
        <v>13</v>
      </c>
      <c r="Q366" s="1" t="s">
        <v>28</v>
      </c>
      <c r="R366" s="1" t="s">
        <v>43</v>
      </c>
      <c r="S366" s="1" t="s">
        <v>4007</v>
      </c>
      <c r="T366" s="4">
        <v>2.4</v>
      </c>
    </row>
    <row r="367" spans="1:20">
      <c r="A367" s="1" t="s">
        <v>3981</v>
      </c>
      <c r="B367" s="1" t="s">
        <v>312</v>
      </c>
      <c r="C367" s="1" t="s">
        <v>3982</v>
      </c>
      <c r="D367" s="1" t="s">
        <v>465</v>
      </c>
      <c r="E367" s="2">
        <v>45751</v>
      </c>
      <c r="F367" s="2">
        <v>45744</v>
      </c>
      <c r="G367" s="1" t="s">
        <v>4008</v>
      </c>
      <c r="H367" s="3" t="s">
        <v>25</v>
      </c>
      <c r="I367" s="1" t="s">
        <v>3984</v>
      </c>
      <c r="J367" s="1" t="s">
        <v>3985</v>
      </c>
      <c r="K367" s="3" t="s">
        <v>3986</v>
      </c>
      <c r="L367" s="1" t="s">
        <v>3987</v>
      </c>
      <c r="M367" s="1" t="s">
        <v>13</v>
      </c>
      <c r="N367" s="1" t="s">
        <v>13</v>
      </c>
      <c r="O367" s="1" t="s">
        <v>3988</v>
      </c>
      <c r="P367" s="1" t="s">
        <v>13</v>
      </c>
      <c r="Q367" s="1" t="s">
        <v>13</v>
      </c>
      <c r="R367" s="1" t="s">
        <v>13</v>
      </c>
      <c r="S367" s="1" t="s">
        <v>4009</v>
      </c>
      <c r="T367" s="4">
        <v>2.5</v>
      </c>
    </row>
    <row r="368" spans="1:20">
      <c r="A368" s="1" t="s">
        <v>3981</v>
      </c>
      <c r="B368" s="1" t="s">
        <v>312</v>
      </c>
      <c r="C368" s="1" t="s">
        <v>3982</v>
      </c>
      <c r="D368" s="1" t="s">
        <v>465</v>
      </c>
      <c r="E368" s="2">
        <v>45751</v>
      </c>
      <c r="F368" s="2">
        <v>45744</v>
      </c>
      <c r="G368" s="1" t="s">
        <v>4008</v>
      </c>
      <c r="H368" s="3" t="s">
        <v>25</v>
      </c>
      <c r="I368" s="1" t="s">
        <v>3984</v>
      </c>
      <c r="J368" s="1" t="s">
        <v>12</v>
      </c>
      <c r="K368" s="3" t="s">
        <v>3995</v>
      </c>
      <c r="L368" s="1" t="s">
        <v>3987</v>
      </c>
      <c r="M368" s="1" t="s">
        <v>3996</v>
      </c>
      <c r="N368" s="1" t="s">
        <v>13</v>
      </c>
      <c r="O368" s="1" t="s">
        <v>3996</v>
      </c>
      <c r="P368" s="1" t="s">
        <v>13</v>
      </c>
      <c r="Q368" s="1" t="s">
        <v>14</v>
      </c>
      <c r="R368" s="1" t="s">
        <v>37</v>
      </c>
      <c r="S368" s="1" t="s">
        <v>4009</v>
      </c>
      <c r="T368" s="4">
        <v>1</v>
      </c>
    </row>
    <row r="369" spans="1:20">
      <c r="A369" s="1" t="s">
        <v>3981</v>
      </c>
      <c r="B369" s="1" t="s">
        <v>312</v>
      </c>
      <c r="C369" s="1" t="s">
        <v>3982</v>
      </c>
      <c r="D369" s="1" t="s">
        <v>465</v>
      </c>
      <c r="E369" s="2">
        <v>45751</v>
      </c>
      <c r="F369" s="2">
        <v>45744</v>
      </c>
      <c r="G369" s="1" t="s">
        <v>4008</v>
      </c>
      <c r="H369" s="3" t="s">
        <v>25</v>
      </c>
      <c r="I369" s="1" t="s">
        <v>3984</v>
      </c>
      <c r="J369" s="1" t="s">
        <v>12</v>
      </c>
      <c r="K369" s="3" t="s">
        <v>3995</v>
      </c>
      <c r="L369" s="1" t="s">
        <v>3987</v>
      </c>
      <c r="M369" s="1" t="s">
        <v>3996</v>
      </c>
      <c r="N369" s="1" t="s">
        <v>13</v>
      </c>
      <c r="O369" s="1" t="s">
        <v>3996</v>
      </c>
      <c r="P369" s="1" t="s">
        <v>13</v>
      </c>
      <c r="Q369" s="1" t="s">
        <v>28</v>
      </c>
      <c r="R369" s="1" t="s">
        <v>29</v>
      </c>
      <c r="S369" s="1" t="s">
        <v>4009</v>
      </c>
      <c r="T369" s="4">
        <v>4.5</v>
      </c>
    </row>
    <row r="370" spans="1:20">
      <c r="A370" s="1" t="s">
        <v>3981</v>
      </c>
      <c r="B370" s="1" t="s">
        <v>312</v>
      </c>
      <c r="C370" s="1" t="s">
        <v>3982</v>
      </c>
      <c r="D370" s="1" t="s">
        <v>465</v>
      </c>
      <c r="E370" s="2">
        <v>45751</v>
      </c>
      <c r="F370" s="2">
        <v>45744</v>
      </c>
      <c r="G370" s="1" t="s">
        <v>4008</v>
      </c>
      <c r="H370" s="3" t="s">
        <v>25</v>
      </c>
      <c r="I370" s="1" t="s">
        <v>3984</v>
      </c>
      <c r="J370" s="1" t="s">
        <v>12</v>
      </c>
      <c r="K370" s="3" t="s">
        <v>3995</v>
      </c>
      <c r="L370" s="1" t="s">
        <v>3987</v>
      </c>
      <c r="M370" s="1" t="s">
        <v>3996</v>
      </c>
      <c r="N370" s="1" t="s">
        <v>13</v>
      </c>
      <c r="O370" s="1" t="s">
        <v>3996</v>
      </c>
      <c r="P370" s="1" t="s">
        <v>13</v>
      </c>
      <c r="Q370" s="1" t="s">
        <v>44</v>
      </c>
      <c r="R370" s="1" t="s">
        <v>45</v>
      </c>
      <c r="S370" s="1" t="s">
        <v>4009</v>
      </c>
      <c r="T370" s="4">
        <v>3.7</v>
      </c>
    </row>
    <row r="371" spans="1:20">
      <c r="A371" s="1" t="s">
        <v>3981</v>
      </c>
      <c r="B371" s="1" t="s">
        <v>312</v>
      </c>
      <c r="C371" s="1" t="s">
        <v>3982</v>
      </c>
      <c r="D371" s="1" t="s">
        <v>465</v>
      </c>
      <c r="E371" s="2">
        <v>45751</v>
      </c>
      <c r="F371" s="2">
        <v>45744</v>
      </c>
      <c r="G371" s="1" t="s">
        <v>4008</v>
      </c>
      <c r="H371" s="3" t="s">
        <v>25</v>
      </c>
      <c r="I371" s="1" t="s">
        <v>3984</v>
      </c>
      <c r="J371" s="1" t="s">
        <v>12</v>
      </c>
      <c r="K371" s="3" t="s">
        <v>3995</v>
      </c>
      <c r="L371" s="1" t="s">
        <v>3987</v>
      </c>
      <c r="M371" s="1" t="s">
        <v>3996</v>
      </c>
      <c r="N371" s="1" t="s">
        <v>13</v>
      </c>
      <c r="O371" s="1" t="s">
        <v>3996</v>
      </c>
      <c r="P371" s="1" t="s">
        <v>13</v>
      </c>
      <c r="Q371" s="1" t="s">
        <v>38</v>
      </c>
      <c r="R371" s="1" t="s">
        <v>46</v>
      </c>
      <c r="S371" s="1" t="s">
        <v>4009</v>
      </c>
      <c r="T371" s="4">
        <v>0.2</v>
      </c>
    </row>
    <row r="372" spans="1:20">
      <c r="A372" s="1" t="s">
        <v>3981</v>
      </c>
      <c r="B372" s="1" t="s">
        <v>312</v>
      </c>
      <c r="C372" s="1" t="s">
        <v>3982</v>
      </c>
      <c r="D372" s="1" t="s">
        <v>465</v>
      </c>
      <c r="E372" s="2">
        <v>45751</v>
      </c>
      <c r="F372" s="2">
        <v>45744</v>
      </c>
      <c r="G372" s="1" t="s">
        <v>4008</v>
      </c>
      <c r="H372" s="3" t="s">
        <v>25</v>
      </c>
      <c r="I372" s="1" t="s">
        <v>3984</v>
      </c>
      <c r="J372" s="1" t="s">
        <v>12</v>
      </c>
      <c r="K372" s="3" t="s">
        <v>3995</v>
      </c>
      <c r="L372" s="1" t="s">
        <v>3987</v>
      </c>
      <c r="M372" s="1" t="s">
        <v>3996</v>
      </c>
      <c r="N372" s="1" t="s">
        <v>13</v>
      </c>
      <c r="O372" s="1" t="s">
        <v>3996</v>
      </c>
      <c r="P372" s="1" t="s">
        <v>13</v>
      </c>
      <c r="Q372" s="1" t="s">
        <v>38</v>
      </c>
      <c r="R372" s="1" t="s">
        <v>52</v>
      </c>
      <c r="S372" s="1" t="s">
        <v>4009</v>
      </c>
      <c r="T372" s="4">
        <v>0.3</v>
      </c>
    </row>
    <row r="373" spans="1:20">
      <c r="A373" s="1" t="s">
        <v>3981</v>
      </c>
      <c r="B373" s="1" t="s">
        <v>312</v>
      </c>
      <c r="C373" s="1" t="s">
        <v>3982</v>
      </c>
      <c r="D373" s="1" t="s">
        <v>465</v>
      </c>
      <c r="E373" s="2">
        <v>45751</v>
      </c>
      <c r="F373" s="2">
        <v>45744</v>
      </c>
      <c r="G373" s="1" t="s">
        <v>4008</v>
      </c>
      <c r="H373" s="3" t="s">
        <v>25</v>
      </c>
      <c r="I373" s="1" t="s">
        <v>3984</v>
      </c>
      <c r="J373" s="1" t="s">
        <v>12</v>
      </c>
      <c r="K373" s="3" t="s">
        <v>3995</v>
      </c>
      <c r="L373" s="1" t="s">
        <v>3987</v>
      </c>
      <c r="M373" s="1" t="s">
        <v>3996</v>
      </c>
      <c r="N373" s="1" t="s">
        <v>13</v>
      </c>
      <c r="O373" s="1" t="s">
        <v>3996</v>
      </c>
      <c r="P373" s="1" t="s">
        <v>13</v>
      </c>
      <c r="Q373" s="1" t="s">
        <v>30</v>
      </c>
      <c r="R373" s="1" t="s">
        <v>66</v>
      </c>
      <c r="S373" s="1" t="s">
        <v>4009</v>
      </c>
      <c r="T373" s="4">
        <v>1</v>
      </c>
    </row>
    <row r="374" spans="1:20">
      <c r="A374" s="1" t="s">
        <v>3981</v>
      </c>
      <c r="B374" s="1" t="s">
        <v>312</v>
      </c>
      <c r="C374" s="1" t="s">
        <v>3982</v>
      </c>
      <c r="D374" s="1" t="s">
        <v>465</v>
      </c>
      <c r="E374" s="2">
        <v>45751</v>
      </c>
      <c r="F374" s="2">
        <v>45744</v>
      </c>
      <c r="G374" s="1" t="s">
        <v>4008</v>
      </c>
      <c r="H374" s="3" t="s">
        <v>25</v>
      </c>
      <c r="I374" s="1" t="s">
        <v>3984</v>
      </c>
      <c r="J374" s="1" t="s">
        <v>12</v>
      </c>
      <c r="K374" s="3" t="s">
        <v>3995</v>
      </c>
      <c r="L374" s="1" t="s">
        <v>3987</v>
      </c>
      <c r="M374" s="1" t="s">
        <v>3996</v>
      </c>
      <c r="N374" s="1" t="s">
        <v>13</v>
      </c>
      <c r="O374" s="1" t="s">
        <v>3996</v>
      </c>
      <c r="P374" s="1" t="s">
        <v>13</v>
      </c>
      <c r="Q374" s="1" t="s">
        <v>30</v>
      </c>
      <c r="R374" s="1" t="s">
        <v>67</v>
      </c>
      <c r="S374" s="1" t="s">
        <v>4009</v>
      </c>
      <c r="T374" s="4">
        <v>0.2</v>
      </c>
    </row>
    <row r="375" spans="1:20">
      <c r="A375" s="1" t="s">
        <v>3981</v>
      </c>
      <c r="B375" s="1" t="s">
        <v>312</v>
      </c>
      <c r="C375" s="1" t="s">
        <v>3982</v>
      </c>
      <c r="D375" s="1" t="s">
        <v>465</v>
      </c>
      <c r="E375" s="2">
        <v>45751</v>
      </c>
      <c r="F375" s="2">
        <v>45744</v>
      </c>
      <c r="G375" s="1" t="s">
        <v>4008</v>
      </c>
      <c r="H375" s="3" t="s">
        <v>25</v>
      </c>
      <c r="I375" s="1" t="s">
        <v>3984</v>
      </c>
      <c r="J375" s="1" t="s">
        <v>12</v>
      </c>
      <c r="K375" s="3" t="s">
        <v>3995</v>
      </c>
      <c r="L375" s="1" t="s">
        <v>3987</v>
      </c>
      <c r="M375" s="1" t="s">
        <v>3996</v>
      </c>
      <c r="N375" s="1" t="s">
        <v>13</v>
      </c>
      <c r="O375" s="1" t="s">
        <v>3996</v>
      </c>
      <c r="P375" s="1" t="s">
        <v>13</v>
      </c>
      <c r="Q375" s="1" t="s">
        <v>30</v>
      </c>
      <c r="R375" s="1" t="s">
        <v>31</v>
      </c>
      <c r="S375" s="1" t="s">
        <v>4009</v>
      </c>
      <c r="T375" s="4">
        <v>3.3</v>
      </c>
    </row>
    <row r="376" spans="1:20">
      <c r="A376" s="1" t="s">
        <v>3981</v>
      </c>
      <c r="B376" s="1" t="s">
        <v>312</v>
      </c>
      <c r="C376" s="1" t="s">
        <v>3982</v>
      </c>
      <c r="D376" s="1" t="s">
        <v>465</v>
      </c>
      <c r="E376" s="2">
        <v>45751</v>
      </c>
      <c r="F376" s="2">
        <v>45744</v>
      </c>
      <c r="G376" s="1" t="s">
        <v>4008</v>
      </c>
      <c r="H376" s="3" t="s">
        <v>25</v>
      </c>
      <c r="I376" s="1" t="s">
        <v>3984</v>
      </c>
      <c r="J376" s="1" t="s">
        <v>12</v>
      </c>
      <c r="K376" s="3" t="s">
        <v>3995</v>
      </c>
      <c r="L376" s="1" t="s">
        <v>3987</v>
      </c>
      <c r="M376" s="1" t="s">
        <v>3996</v>
      </c>
      <c r="N376" s="1" t="s">
        <v>13</v>
      </c>
      <c r="O376" s="1" t="s">
        <v>3996</v>
      </c>
      <c r="P376" s="1" t="s">
        <v>13</v>
      </c>
      <c r="Q376" s="1" t="s">
        <v>30</v>
      </c>
      <c r="R376" s="1" t="s">
        <v>62</v>
      </c>
      <c r="S376" s="1" t="s">
        <v>4009</v>
      </c>
      <c r="T376" s="4">
        <v>1</v>
      </c>
    </row>
    <row r="377" spans="1:20">
      <c r="A377" s="1" t="s">
        <v>3981</v>
      </c>
      <c r="B377" s="1" t="s">
        <v>312</v>
      </c>
      <c r="C377" s="1" t="s">
        <v>3982</v>
      </c>
      <c r="D377" s="1" t="s">
        <v>465</v>
      </c>
      <c r="E377" s="2">
        <v>45751</v>
      </c>
      <c r="F377" s="2">
        <v>45744</v>
      </c>
      <c r="G377" s="1" t="s">
        <v>4008</v>
      </c>
      <c r="H377" s="3" t="s">
        <v>25</v>
      </c>
      <c r="I377" s="1" t="s">
        <v>3984</v>
      </c>
      <c r="J377" s="1" t="s">
        <v>12</v>
      </c>
      <c r="K377" s="3" t="s">
        <v>3995</v>
      </c>
      <c r="L377" s="1" t="s">
        <v>3987</v>
      </c>
      <c r="M377" s="1" t="s">
        <v>3996</v>
      </c>
      <c r="N377" s="1" t="s">
        <v>13</v>
      </c>
      <c r="O377" s="1" t="s">
        <v>3996</v>
      </c>
      <c r="P377" s="1" t="s">
        <v>13</v>
      </c>
      <c r="Q377" s="1" t="s">
        <v>30</v>
      </c>
      <c r="R377" s="1" t="s">
        <v>68</v>
      </c>
      <c r="S377" s="1" t="s">
        <v>4009</v>
      </c>
      <c r="T377" s="4">
        <v>0.3</v>
      </c>
    </row>
    <row r="378" spans="1:20">
      <c r="A378" s="1" t="s">
        <v>3981</v>
      </c>
      <c r="B378" s="1" t="s">
        <v>312</v>
      </c>
      <c r="C378" s="1" t="s">
        <v>3982</v>
      </c>
      <c r="D378" s="1" t="s">
        <v>425</v>
      </c>
      <c r="E378" s="2">
        <v>45751</v>
      </c>
      <c r="F378" s="2">
        <v>45751</v>
      </c>
      <c r="G378" s="1" t="s">
        <v>3983</v>
      </c>
      <c r="H378" s="3" t="s">
        <v>32</v>
      </c>
      <c r="I378" s="1" t="s">
        <v>3984</v>
      </c>
      <c r="J378" s="1" t="s">
        <v>12</v>
      </c>
      <c r="K378" s="3" t="s">
        <v>3995</v>
      </c>
      <c r="L378" s="1" t="s">
        <v>3987</v>
      </c>
      <c r="M378" s="1" t="s">
        <v>3996</v>
      </c>
      <c r="N378" s="1" t="s">
        <v>13</v>
      </c>
      <c r="O378" s="1" t="s">
        <v>3996</v>
      </c>
      <c r="P378" s="1" t="s">
        <v>13</v>
      </c>
      <c r="Q378" s="1" t="s">
        <v>14</v>
      </c>
      <c r="R378" s="1" t="s">
        <v>54</v>
      </c>
      <c r="S378" s="1" t="s">
        <v>3989</v>
      </c>
      <c r="T378" s="4">
        <v>2</v>
      </c>
    </row>
    <row r="379" spans="1:20">
      <c r="A379" s="1" t="s">
        <v>3981</v>
      </c>
      <c r="B379" s="1" t="s">
        <v>312</v>
      </c>
      <c r="C379" s="1" t="s">
        <v>3982</v>
      </c>
      <c r="D379" s="1" t="s">
        <v>425</v>
      </c>
      <c r="E379" s="2">
        <v>45751</v>
      </c>
      <c r="F379" s="2">
        <v>45751</v>
      </c>
      <c r="G379" s="1" t="s">
        <v>3983</v>
      </c>
      <c r="H379" s="3" t="s">
        <v>32</v>
      </c>
      <c r="I379" s="1" t="s">
        <v>3984</v>
      </c>
      <c r="J379" s="1" t="s">
        <v>12</v>
      </c>
      <c r="K379" s="3" t="s">
        <v>3995</v>
      </c>
      <c r="L379" s="1" t="s">
        <v>3987</v>
      </c>
      <c r="M379" s="1" t="s">
        <v>3996</v>
      </c>
      <c r="N379" s="1" t="s">
        <v>13</v>
      </c>
      <c r="O379" s="1" t="s">
        <v>3996</v>
      </c>
      <c r="P379" s="1" t="s">
        <v>13</v>
      </c>
      <c r="Q379" s="1" t="s">
        <v>14</v>
      </c>
      <c r="R379" s="1" t="s">
        <v>42</v>
      </c>
      <c r="S379" s="1" t="s">
        <v>3989</v>
      </c>
      <c r="T379" s="4">
        <v>2</v>
      </c>
    </row>
    <row r="380" spans="1:20">
      <c r="A380" s="1" t="s">
        <v>3981</v>
      </c>
      <c r="B380" s="1" t="s">
        <v>312</v>
      </c>
      <c r="C380" s="1" t="s">
        <v>3982</v>
      </c>
      <c r="D380" s="1" t="s">
        <v>425</v>
      </c>
      <c r="E380" s="2">
        <v>45751</v>
      </c>
      <c r="F380" s="2">
        <v>45751</v>
      </c>
      <c r="G380" s="1" t="s">
        <v>3983</v>
      </c>
      <c r="H380" s="3" t="s">
        <v>32</v>
      </c>
      <c r="I380" s="1" t="s">
        <v>3984</v>
      </c>
      <c r="J380" s="1" t="s">
        <v>12</v>
      </c>
      <c r="K380" s="3" t="s">
        <v>3995</v>
      </c>
      <c r="L380" s="1" t="s">
        <v>3987</v>
      </c>
      <c r="M380" s="1" t="s">
        <v>3996</v>
      </c>
      <c r="N380" s="1" t="s">
        <v>13</v>
      </c>
      <c r="O380" s="1" t="s">
        <v>3996</v>
      </c>
      <c r="P380" s="1" t="s">
        <v>13</v>
      </c>
      <c r="Q380" s="1" t="s">
        <v>44</v>
      </c>
      <c r="R380" s="1" t="s">
        <v>47</v>
      </c>
      <c r="S380" s="1" t="s">
        <v>3989</v>
      </c>
      <c r="T380" s="4">
        <v>6</v>
      </c>
    </row>
    <row r="381" spans="1:20">
      <c r="A381" s="1" t="s">
        <v>3981</v>
      </c>
      <c r="B381" s="1" t="s">
        <v>312</v>
      </c>
      <c r="C381" s="1" t="s">
        <v>3982</v>
      </c>
      <c r="D381" s="1" t="s">
        <v>425</v>
      </c>
      <c r="E381" s="2">
        <v>45751</v>
      </c>
      <c r="F381" s="2">
        <v>45751</v>
      </c>
      <c r="G381" s="1" t="s">
        <v>3990</v>
      </c>
      <c r="H381" s="3" t="s">
        <v>11</v>
      </c>
      <c r="I381" s="1" t="s">
        <v>3984</v>
      </c>
      <c r="J381" s="1" t="s">
        <v>3985</v>
      </c>
      <c r="K381" s="3" t="s">
        <v>3986</v>
      </c>
      <c r="L381" s="1" t="s">
        <v>3987</v>
      </c>
      <c r="M381" s="1" t="s">
        <v>13</v>
      </c>
      <c r="N381" s="1" t="s">
        <v>13</v>
      </c>
      <c r="O381" s="1" t="s">
        <v>3988</v>
      </c>
      <c r="P381" s="1" t="s">
        <v>13</v>
      </c>
      <c r="Q381" s="1" t="s">
        <v>13</v>
      </c>
      <c r="R381" s="1" t="s">
        <v>13</v>
      </c>
      <c r="S381" s="1" t="s">
        <v>3994</v>
      </c>
      <c r="T381" s="4">
        <v>1.4</v>
      </c>
    </row>
    <row r="382" spans="1:20">
      <c r="A382" s="1" t="s">
        <v>3981</v>
      </c>
      <c r="B382" s="1" t="s">
        <v>312</v>
      </c>
      <c r="C382" s="1" t="s">
        <v>3982</v>
      </c>
      <c r="D382" s="1" t="s">
        <v>425</v>
      </c>
      <c r="E382" s="2">
        <v>45751</v>
      </c>
      <c r="F382" s="2">
        <v>45751</v>
      </c>
      <c r="G382" s="1" t="s">
        <v>3990</v>
      </c>
      <c r="H382" s="3" t="s">
        <v>11</v>
      </c>
      <c r="I382" s="1" t="s">
        <v>3984</v>
      </c>
      <c r="J382" s="1" t="s">
        <v>12</v>
      </c>
      <c r="K382" s="3" t="s">
        <v>3995</v>
      </c>
      <c r="L382" s="1" t="s">
        <v>3987</v>
      </c>
      <c r="M382" s="1" t="s">
        <v>3996</v>
      </c>
      <c r="N382" s="1" t="s">
        <v>13</v>
      </c>
      <c r="O382" s="1" t="s">
        <v>3996</v>
      </c>
      <c r="P382" s="1" t="s">
        <v>13</v>
      </c>
      <c r="Q382" s="1" t="s">
        <v>14</v>
      </c>
      <c r="R382" s="1" t="s">
        <v>69</v>
      </c>
      <c r="S382" s="1" t="s">
        <v>3994</v>
      </c>
      <c r="T382" s="4">
        <v>1.7</v>
      </c>
    </row>
    <row r="383" spans="1:20">
      <c r="A383" s="1" t="s">
        <v>3981</v>
      </c>
      <c r="B383" s="1" t="s">
        <v>312</v>
      </c>
      <c r="C383" s="1" t="s">
        <v>3982</v>
      </c>
      <c r="D383" s="1" t="s">
        <v>425</v>
      </c>
      <c r="E383" s="2">
        <v>45751</v>
      </c>
      <c r="F383" s="2">
        <v>45751</v>
      </c>
      <c r="G383" s="1" t="s">
        <v>3990</v>
      </c>
      <c r="H383" s="3" t="s">
        <v>11</v>
      </c>
      <c r="I383" s="1" t="s">
        <v>3984</v>
      </c>
      <c r="J383" s="1" t="s">
        <v>12</v>
      </c>
      <c r="K383" s="3" t="s">
        <v>3995</v>
      </c>
      <c r="L383" s="1" t="s">
        <v>3987</v>
      </c>
      <c r="M383" s="1" t="s">
        <v>3996</v>
      </c>
      <c r="N383" s="1" t="s">
        <v>13</v>
      </c>
      <c r="O383" s="1" t="s">
        <v>3996</v>
      </c>
      <c r="P383" s="1" t="s">
        <v>13</v>
      </c>
      <c r="Q383" s="1" t="s">
        <v>14</v>
      </c>
      <c r="R383" s="1" t="s">
        <v>37</v>
      </c>
      <c r="S383" s="1" t="s">
        <v>3994</v>
      </c>
      <c r="T383" s="4">
        <v>0.6</v>
      </c>
    </row>
    <row r="384" spans="1:20">
      <c r="A384" s="1" t="s">
        <v>3981</v>
      </c>
      <c r="B384" s="1" t="s">
        <v>312</v>
      </c>
      <c r="C384" s="1" t="s">
        <v>3982</v>
      </c>
      <c r="D384" s="1" t="s">
        <v>425</v>
      </c>
      <c r="E384" s="2">
        <v>45751</v>
      </c>
      <c r="F384" s="2">
        <v>45751</v>
      </c>
      <c r="G384" s="1" t="s">
        <v>3990</v>
      </c>
      <c r="H384" s="3" t="s">
        <v>11</v>
      </c>
      <c r="I384" s="1" t="s">
        <v>3984</v>
      </c>
      <c r="J384" s="1" t="s">
        <v>12</v>
      </c>
      <c r="K384" s="3" t="s">
        <v>3995</v>
      </c>
      <c r="L384" s="1" t="s">
        <v>3987</v>
      </c>
      <c r="M384" s="1" t="s">
        <v>3996</v>
      </c>
      <c r="N384" s="1" t="s">
        <v>13</v>
      </c>
      <c r="O384" s="1" t="s">
        <v>3996</v>
      </c>
      <c r="P384" s="1" t="s">
        <v>13</v>
      </c>
      <c r="Q384" s="1" t="s">
        <v>14</v>
      </c>
      <c r="R384" s="1" t="s">
        <v>15</v>
      </c>
      <c r="S384" s="1" t="s">
        <v>3994</v>
      </c>
      <c r="T384" s="4">
        <v>2.2999999999999998</v>
      </c>
    </row>
    <row r="385" spans="1:20">
      <c r="A385" s="1" t="s">
        <v>3981</v>
      </c>
      <c r="B385" s="1" t="s">
        <v>312</v>
      </c>
      <c r="C385" s="1" t="s">
        <v>3982</v>
      </c>
      <c r="D385" s="1" t="s">
        <v>425</v>
      </c>
      <c r="E385" s="2">
        <v>45751</v>
      </c>
      <c r="F385" s="2">
        <v>45751</v>
      </c>
      <c r="G385" s="1" t="s">
        <v>3990</v>
      </c>
      <c r="H385" s="3" t="s">
        <v>11</v>
      </c>
      <c r="I385" s="1" t="s">
        <v>3984</v>
      </c>
      <c r="J385" s="1" t="s">
        <v>12</v>
      </c>
      <c r="K385" s="3" t="s">
        <v>3995</v>
      </c>
      <c r="L385" s="1" t="s">
        <v>3987</v>
      </c>
      <c r="M385" s="1" t="s">
        <v>3996</v>
      </c>
      <c r="N385" s="1" t="s">
        <v>13</v>
      </c>
      <c r="O385" s="1" t="s">
        <v>3996</v>
      </c>
      <c r="P385" s="1" t="s">
        <v>13</v>
      </c>
      <c r="Q385" s="1" t="s">
        <v>44</v>
      </c>
      <c r="R385" s="1" t="s">
        <v>64</v>
      </c>
      <c r="S385" s="1" t="s">
        <v>3994</v>
      </c>
      <c r="T385" s="4">
        <v>0.3</v>
      </c>
    </row>
    <row r="386" spans="1:20">
      <c r="A386" s="1" t="s">
        <v>3981</v>
      </c>
      <c r="B386" s="1" t="s">
        <v>312</v>
      </c>
      <c r="C386" s="1" t="s">
        <v>3982</v>
      </c>
      <c r="D386" s="1" t="s">
        <v>425</v>
      </c>
      <c r="E386" s="2">
        <v>45751</v>
      </c>
      <c r="F386" s="2">
        <v>45751</v>
      </c>
      <c r="G386" s="1" t="s">
        <v>3990</v>
      </c>
      <c r="H386" s="3" t="s">
        <v>11</v>
      </c>
      <c r="I386" s="1" t="s">
        <v>3984</v>
      </c>
      <c r="J386" s="1" t="s">
        <v>12</v>
      </c>
      <c r="K386" s="3" t="s">
        <v>3995</v>
      </c>
      <c r="L386" s="1" t="s">
        <v>4032</v>
      </c>
      <c r="M386" s="1" t="s">
        <v>4033</v>
      </c>
      <c r="N386" s="1" t="s">
        <v>13</v>
      </c>
      <c r="O386" s="1" t="s">
        <v>4033</v>
      </c>
      <c r="P386" s="1" t="s">
        <v>13</v>
      </c>
      <c r="Q386" s="1" t="s">
        <v>4034</v>
      </c>
      <c r="R386" s="1" t="s">
        <v>4001</v>
      </c>
      <c r="S386" s="1" t="s">
        <v>3994</v>
      </c>
      <c r="T386" s="4">
        <v>2.7</v>
      </c>
    </row>
    <row r="387" spans="1:20">
      <c r="A387" s="1" t="s">
        <v>3981</v>
      </c>
      <c r="B387" s="1" t="s">
        <v>312</v>
      </c>
      <c r="C387" s="1" t="s">
        <v>3982</v>
      </c>
      <c r="D387" s="1" t="s">
        <v>425</v>
      </c>
      <c r="E387" s="2">
        <v>45751</v>
      </c>
      <c r="F387" s="2">
        <v>45751</v>
      </c>
      <c r="G387" s="1" t="s">
        <v>3997</v>
      </c>
      <c r="H387" s="3" t="s">
        <v>41</v>
      </c>
      <c r="I387" s="1" t="s">
        <v>3984</v>
      </c>
      <c r="J387" s="1" t="s">
        <v>12</v>
      </c>
      <c r="K387" s="3" t="s">
        <v>3995</v>
      </c>
      <c r="L387" s="1" t="s">
        <v>3987</v>
      </c>
      <c r="M387" s="1" t="s">
        <v>3999</v>
      </c>
      <c r="N387" s="1" t="s">
        <v>13</v>
      </c>
      <c r="O387" s="1" t="s">
        <v>3999</v>
      </c>
      <c r="P387" s="1" t="s">
        <v>13</v>
      </c>
      <c r="Q387" s="1" t="s">
        <v>4000</v>
      </c>
      <c r="R387" s="1" t="s">
        <v>4001</v>
      </c>
      <c r="S387" s="1" t="s">
        <v>3998</v>
      </c>
      <c r="T387" s="4">
        <v>3</v>
      </c>
    </row>
    <row r="388" spans="1:20">
      <c r="A388" s="1" t="s">
        <v>3981</v>
      </c>
      <c r="B388" s="1" t="s">
        <v>312</v>
      </c>
      <c r="C388" s="1" t="s">
        <v>3982</v>
      </c>
      <c r="D388" s="1" t="s">
        <v>425</v>
      </c>
      <c r="E388" s="2">
        <v>45751</v>
      </c>
      <c r="F388" s="2">
        <v>45751</v>
      </c>
      <c r="G388" s="1" t="s">
        <v>3997</v>
      </c>
      <c r="H388" s="3" t="s">
        <v>41</v>
      </c>
      <c r="I388" s="1" t="s">
        <v>3984</v>
      </c>
      <c r="J388" s="1" t="s">
        <v>12</v>
      </c>
      <c r="K388" s="3" t="s">
        <v>3995</v>
      </c>
      <c r="L388" s="1" t="s">
        <v>3987</v>
      </c>
      <c r="M388" s="1" t="s">
        <v>4045</v>
      </c>
      <c r="N388" s="1" t="s">
        <v>13</v>
      </c>
      <c r="O388" s="1" t="s">
        <v>4045</v>
      </c>
      <c r="P388" s="1" t="s">
        <v>13</v>
      </c>
      <c r="Q388" s="1" t="s">
        <v>4046</v>
      </c>
      <c r="R388" s="1" t="s">
        <v>13</v>
      </c>
      <c r="S388" s="1" t="s">
        <v>3998</v>
      </c>
      <c r="T388" s="4">
        <v>3</v>
      </c>
    </row>
    <row r="389" spans="1:20">
      <c r="A389" s="1" t="s">
        <v>3981</v>
      </c>
      <c r="B389" s="1" t="s">
        <v>312</v>
      </c>
      <c r="C389" s="1" t="s">
        <v>3982</v>
      </c>
      <c r="D389" s="1" t="s">
        <v>425</v>
      </c>
      <c r="E389" s="2">
        <v>45751</v>
      </c>
      <c r="F389" s="2">
        <v>45751</v>
      </c>
      <c r="G389" s="1" t="s">
        <v>3997</v>
      </c>
      <c r="H389" s="3" t="s">
        <v>41</v>
      </c>
      <c r="I389" s="1" t="s">
        <v>3984</v>
      </c>
      <c r="J389" s="1" t="s">
        <v>12</v>
      </c>
      <c r="K389" s="3" t="s">
        <v>3995</v>
      </c>
      <c r="L389" s="1" t="s">
        <v>4002</v>
      </c>
      <c r="M389" s="1" t="s">
        <v>4003</v>
      </c>
      <c r="N389" s="1" t="s">
        <v>13</v>
      </c>
      <c r="O389" s="1" t="s">
        <v>4003</v>
      </c>
      <c r="P389" s="1" t="s">
        <v>13</v>
      </c>
      <c r="Q389" s="1" t="s">
        <v>4004</v>
      </c>
      <c r="R389" s="1" t="s">
        <v>4001</v>
      </c>
      <c r="S389" s="1" t="s">
        <v>3998</v>
      </c>
      <c r="T389" s="4">
        <v>5</v>
      </c>
    </row>
    <row r="390" spans="1:20">
      <c r="A390" s="1" t="s">
        <v>3981</v>
      </c>
      <c r="B390" s="1" t="s">
        <v>312</v>
      </c>
      <c r="C390" s="1" t="s">
        <v>3982</v>
      </c>
      <c r="D390" s="1" t="s">
        <v>425</v>
      </c>
      <c r="E390" s="2">
        <v>45751</v>
      </c>
      <c r="F390" s="2">
        <v>45751</v>
      </c>
      <c r="G390" s="1" t="s">
        <v>4005</v>
      </c>
      <c r="H390" s="3" t="s">
        <v>21</v>
      </c>
      <c r="I390" s="1" t="s">
        <v>3984</v>
      </c>
      <c r="J390" s="1" t="s">
        <v>12</v>
      </c>
      <c r="K390" s="3" t="s">
        <v>3995</v>
      </c>
      <c r="L390" s="1" t="s">
        <v>3987</v>
      </c>
      <c r="M390" s="1" t="s">
        <v>3996</v>
      </c>
      <c r="N390" s="1" t="s">
        <v>13</v>
      </c>
      <c r="O390" s="1" t="s">
        <v>3996</v>
      </c>
      <c r="P390" s="1" t="s">
        <v>13</v>
      </c>
      <c r="Q390" s="1" t="s">
        <v>14</v>
      </c>
      <c r="R390" s="1" t="s">
        <v>42</v>
      </c>
      <c r="S390" s="1" t="s">
        <v>4007</v>
      </c>
      <c r="T390" s="4">
        <v>10</v>
      </c>
    </row>
    <row r="391" spans="1:20">
      <c r="A391" s="1" t="s">
        <v>3981</v>
      </c>
      <c r="B391" s="1" t="s">
        <v>312</v>
      </c>
      <c r="C391" s="1" t="s">
        <v>3982</v>
      </c>
      <c r="D391" s="1" t="s">
        <v>425</v>
      </c>
      <c r="E391" s="2">
        <v>45751</v>
      </c>
      <c r="F391" s="2">
        <v>45751</v>
      </c>
      <c r="G391" s="1" t="s">
        <v>4008</v>
      </c>
      <c r="H391" s="3" t="s">
        <v>25</v>
      </c>
      <c r="I391" s="1" t="s">
        <v>3984</v>
      </c>
      <c r="J391" s="1" t="s">
        <v>12</v>
      </c>
      <c r="K391" s="3" t="s">
        <v>3995</v>
      </c>
      <c r="L391" s="1" t="s">
        <v>3987</v>
      </c>
      <c r="M391" s="1" t="s">
        <v>3996</v>
      </c>
      <c r="N391" s="1" t="s">
        <v>13</v>
      </c>
      <c r="O391" s="1" t="s">
        <v>3996</v>
      </c>
      <c r="P391" s="1" t="s">
        <v>13</v>
      </c>
      <c r="Q391" s="1" t="s">
        <v>14</v>
      </c>
      <c r="R391" s="1" t="s">
        <v>15</v>
      </c>
      <c r="S391" s="1" t="s">
        <v>4009</v>
      </c>
      <c r="T391" s="4">
        <v>2.5</v>
      </c>
    </row>
    <row r="392" spans="1:20">
      <c r="A392" s="1" t="s">
        <v>3981</v>
      </c>
      <c r="B392" s="1" t="s">
        <v>312</v>
      </c>
      <c r="C392" s="1" t="s">
        <v>3982</v>
      </c>
      <c r="D392" s="1" t="s">
        <v>425</v>
      </c>
      <c r="E392" s="2">
        <v>45751</v>
      </c>
      <c r="F392" s="2">
        <v>45751</v>
      </c>
      <c r="G392" s="1" t="s">
        <v>4008</v>
      </c>
      <c r="H392" s="3" t="s">
        <v>25</v>
      </c>
      <c r="I392" s="1" t="s">
        <v>3984</v>
      </c>
      <c r="J392" s="1" t="s">
        <v>12</v>
      </c>
      <c r="K392" s="3" t="s">
        <v>3995</v>
      </c>
      <c r="L392" s="1" t="s">
        <v>3987</v>
      </c>
      <c r="M392" s="1" t="s">
        <v>3996</v>
      </c>
      <c r="N392" s="1" t="s">
        <v>13</v>
      </c>
      <c r="O392" s="1" t="s">
        <v>3996</v>
      </c>
      <c r="P392" s="1" t="s">
        <v>13</v>
      </c>
      <c r="Q392" s="1" t="s">
        <v>28</v>
      </c>
      <c r="R392" s="1" t="s">
        <v>29</v>
      </c>
      <c r="S392" s="1" t="s">
        <v>4009</v>
      </c>
      <c r="T392" s="4">
        <v>5.5</v>
      </c>
    </row>
    <row r="393" spans="1:20">
      <c r="A393" s="1" t="s">
        <v>3981</v>
      </c>
      <c r="B393" s="1" t="s">
        <v>312</v>
      </c>
      <c r="C393" s="1" t="s">
        <v>3982</v>
      </c>
      <c r="D393" s="1" t="s">
        <v>425</v>
      </c>
      <c r="E393" s="2">
        <v>45751</v>
      </c>
      <c r="F393" s="2">
        <v>45751</v>
      </c>
      <c r="G393" s="1" t="s">
        <v>4008</v>
      </c>
      <c r="H393" s="3" t="s">
        <v>25</v>
      </c>
      <c r="I393" s="1" t="s">
        <v>3984</v>
      </c>
      <c r="J393" s="1" t="s">
        <v>12</v>
      </c>
      <c r="K393" s="3" t="s">
        <v>3995</v>
      </c>
      <c r="L393" s="1" t="s">
        <v>3987</v>
      </c>
      <c r="M393" s="1" t="s">
        <v>3996</v>
      </c>
      <c r="N393" s="1" t="s">
        <v>13</v>
      </c>
      <c r="O393" s="1" t="s">
        <v>3996</v>
      </c>
      <c r="P393" s="1" t="s">
        <v>13</v>
      </c>
      <c r="Q393" s="1" t="s">
        <v>44</v>
      </c>
      <c r="R393" s="1" t="s">
        <v>45</v>
      </c>
      <c r="S393" s="1" t="s">
        <v>4009</v>
      </c>
      <c r="T393" s="4">
        <v>4.5</v>
      </c>
    </row>
    <row r="394" spans="1:20">
      <c r="A394" s="1" t="s">
        <v>3981</v>
      </c>
      <c r="B394" s="1" t="s">
        <v>312</v>
      </c>
      <c r="C394" s="1" t="s">
        <v>3982</v>
      </c>
      <c r="D394" s="1" t="s">
        <v>425</v>
      </c>
      <c r="E394" s="2">
        <v>45751</v>
      </c>
      <c r="F394" s="2">
        <v>45751</v>
      </c>
      <c r="G394" s="1" t="s">
        <v>4008</v>
      </c>
      <c r="H394" s="3" t="s">
        <v>25</v>
      </c>
      <c r="I394" s="1" t="s">
        <v>3984</v>
      </c>
      <c r="J394" s="1" t="s">
        <v>12</v>
      </c>
      <c r="K394" s="3" t="s">
        <v>3995</v>
      </c>
      <c r="L394" s="1" t="s">
        <v>3987</v>
      </c>
      <c r="M394" s="1" t="s">
        <v>3996</v>
      </c>
      <c r="N394" s="1" t="s">
        <v>13</v>
      </c>
      <c r="O394" s="1" t="s">
        <v>3996</v>
      </c>
      <c r="P394" s="1" t="s">
        <v>13</v>
      </c>
      <c r="Q394" s="1" t="s">
        <v>38</v>
      </c>
      <c r="R394" s="1" t="s">
        <v>46</v>
      </c>
      <c r="S394" s="1" t="s">
        <v>4009</v>
      </c>
      <c r="T394" s="4">
        <v>1</v>
      </c>
    </row>
    <row r="395" spans="1:20">
      <c r="A395" s="1" t="s">
        <v>3981</v>
      </c>
      <c r="B395" s="1" t="s">
        <v>312</v>
      </c>
      <c r="C395" s="1" t="s">
        <v>3982</v>
      </c>
      <c r="D395" s="1" t="s">
        <v>425</v>
      </c>
      <c r="E395" s="2">
        <v>45751</v>
      </c>
      <c r="F395" s="2">
        <v>45751</v>
      </c>
      <c r="G395" s="1" t="s">
        <v>4008</v>
      </c>
      <c r="H395" s="3" t="s">
        <v>25</v>
      </c>
      <c r="I395" s="1" t="s">
        <v>3984</v>
      </c>
      <c r="J395" s="1" t="s">
        <v>12</v>
      </c>
      <c r="K395" s="3" t="s">
        <v>3995</v>
      </c>
      <c r="L395" s="1" t="s">
        <v>3987</v>
      </c>
      <c r="M395" s="1" t="s">
        <v>3996</v>
      </c>
      <c r="N395" s="1" t="s">
        <v>13</v>
      </c>
      <c r="O395" s="1" t="s">
        <v>3996</v>
      </c>
      <c r="P395" s="1" t="s">
        <v>13</v>
      </c>
      <c r="Q395" s="1" t="s">
        <v>38</v>
      </c>
      <c r="R395" s="1" t="s">
        <v>51</v>
      </c>
      <c r="S395" s="1" t="s">
        <v>4009</v>
      </c>
      <c r="T395" s="4">
        <v>0.5</v>
      </c>
    </row>
    <row r="396" spans="1:20">
      <c r="A396" s="1" t="s">
        <v>3981</v>
      </c>
      <c r="B396" s="1" t="s">
        <v>312</v>
      </c>
      <c r="C396" s="1" t="s">
        <v>3982</v>
      </c>
      <c r="D396" s="1" t="s">
        <v>425</v>
      </c>
      <c r="E396" s="2">
        <v>45751</v>
      </c>
      <c r="F396" s="2">
        <v>45751</v>
      </c>
      <c r="G396" s="1" t="s">
        <v>4008</v>
      </c>
      <c r="H396" s="3" t="s">
        <v>25</v>
      </c>
      <c r="I396" s="1" t="s">
        <v>3984</v>
      </c>
      <c r="J396" s="1" t="s">
        <v>12</v>
      </c>
      <c r="K396" s="3" t="s">
        <v>3995</v>
      </c>
      <c r="L396" s="1" t="s">
        <v>3987</v>
      </c>
      <c r="M396" s="1" t="s">
        <v>3996</v>
      </c>
      <c r="N396" s="1" t="s">
        <v>13</v>
      </c>
      <c r="O396" s="1" t="s">
        <v>3996</v>
      </c>
      <c r="P396" s="1" t="s">
        <v>13</v>
      </c>
      <c r="Q396" s="1" t="s">
        <v>38</v>
      </c>
      <c r="R396" s="1" t="s">
        <v>52</v>
      </c>
      <c r="S396" s="1" t="s">
        <v>4009</v>
      </c>
      <c r="T396" s="4">
        <v>0.5</v>
      </c>
    </row>
    <row r="397" spans="1:20">
      <c r="A397" s="1" t="s">
        <v>3981</v>
      </c>
      <c r="B397" s="1" t="s">
        <v>312</v>
      </c>
      <c r="C397" s="1" t="s">
        <v>3982</v>
      </c>
      <c r="D397" s="1" t="s">
        <v>425</v>
      </c>
      <c r="E397" s="2">
        <v>45751</v>
      </c>
      <c r="F397" s="2">
        <v>45751</v>
      </c>
      <c r="G397" s="1" t="s">
        <v>4008</v>
      </c>
      <c r="H397" s="3" t="s">
        <v>25</v>
      </c>
      <c r="I397" s="1" t="s">
        <v>3984</v>
      </c>
      <c r="J397" s="1" t="s">
        <v>12</v>
      </c>
      <c r="K397" s="3" t="s">
        <v>3995</v>
      </c>
      <c r="L397" s="1" t="s">
        <v>3987</v>
      </c>
      <c r="M397" s="1" t="s">
        <v>3996</v>
      </c>
      <c r="N397" s="1" t="s">
        <v>13</v>
      </c>
      <c r="O397" s="1" t="s">
        <v>3996</v>
      </c>
      <c r="P397" s="1" t="s">
        <v>13</v>
      </c>
      <c r="Q397" s="1" t="s">
        <v>30</v>
      </c>
      <c r="R397" s="1" t="s">
        <v>67</v>
      </c>
      <c r="S397" s="1" t="s">
        <v>4009</v>
      </c>
      <c r="T397" s="4">
        <v>1</v>
      </c>
    </row>
    <row r="398" spans="1:20">
      <c r="A398" s="1" t="s">
        <v>3981</v>
      </c>
      <c r="B398" s="1" t="s">
        <v>312</v>
      </c>
      <c r="C398" s="1" t="s">
        <v>3982</v>
      </c>
      <c r="D398" s="1" t="s">
        <v>425</v>
      </c>
      <c r="E398" s="2">
        <v>45751</v>
      </c>
      <c r="F398" s="2">
        <v>45751</v>
      </c>
      <c r="G398" s="1" t="s">
        <v>4008</v>
      </c>
      <c r="H398" s="3" t="s">
        <v>25</v>
      </c>
      <c r="I398" s="1" t="s">
        <v>3984</v>
      </c>
      <c r="J398" s="1" t="s">
        <v>12</v>
      </c>
      <c r="K398" s="3" t="s">
        <v>3995</v>
      </c>
      <c r="L398" s="1" t="s">
        <v>3987</v>
      </c>
      <c r="M398" s="1" t="s">
        <v>3996</v>
      </c>
      <c r="N398" s="1" t="s">
        <v>13</v>
      </c>
      <c r="O398" s="1" t="s">
        <v>3996</v>
      </c>
      <c r="P398" s="1" t="s">
        <v>13</v>
      </c>
      <c r="Q398" s="1" t="s">
        <v>30</v>
      </c>
      <c r="R398" s="1" t="s">
        <v>62</v>
      </c>
      <c r="S398" s="1" t="s">
        <v>4009</v>
      </c>
      <c r="T398" s="4">
        <v>4</v>
      </c>
    </row>
    <row r="399" spans="1:20">
      <c r="A399" s="1" t="s">
        <v>3981</v>
      </c>
      <c r="B399" s="1" t="s">
        <v>312</v>
      </c>
      <c r="C399" s="1" t="s">
        <v>3982</v>
      </c>
      <c r="D399" s="1" t="s">
        <v>425</v>
      </c>
      <c r="E399" s="2">
        <v>45751</v>
      </c>
      <c r="F399" s="2">
        <v>45751</v>
      </c>
      <c r="G399" s="1" t="s">
        <v>4008</v>
      </c>
      <c r="H399" s="3" t="s">
        <v>25</v>
      </c>
      <c r="I399" s="1" t="s">
        <v>3984</v>
      </c>
      <c r="J399" s="1" t="s">
        <v>12</v>
      </c>
      <c r="K399" s="3" t="s">
        <v>3995</v>
      </c>
      <c r="L399" s="1" t="s">
        <v>3987</v>
      </c>
      <c r="M399" s="1" t="s">
        <v>3996</v>
      </c>
      <c r="N399" s="1" t="s">
        <v>13</v>
      </c>
      <c r="O399" s="1" t="s">
        <v>3996</v>
      </c>
      <c r="P399" s="1" t="s">
        <v>13</v>
      </c>
      <c r="Q399" s="1" t="s">
        <v>30</v>
      </c>
      <c r="R399" s="1" t="s">
        <v>68</v>
      </c>
      <c r="S399" s="1" t="s">
        <v>4009</v>
      </c>
      <c r="T399" s="4">
        <v>1</v>
      </c>
    </row>
    <row r="400" spans="1:20">
      <c r="A400" s="1" t="s">
        <v>3981</v>
      </c>
      <c r="B400" s="1" t="s">
        <v>312</v>
      </c>
      <c r="C400" s="1" t="s">
        <v>3982</v>
      </c>
      <c r="D400" s="1" t="s">
        <v>425</v>
      </c>
      <c r="E400" s="2">
        <v>45751</v>
      </c>
      <c r="F400" s="2">
        <v>45751</v>
      </c>
      <c r="G400" s="1" t="s">
        <v>4008</v>
      </c>
      <c r="H400" s="3" t="s">
        <v>25</v>
      </c>
      <c r="I400" s="1" t="s">
        <v>3984</v>
      </c>
      <c r="J400" s="1" t="s">
        <v>12</v>
      </c>
      <c r="K400" s="3" t="s">
        <v>3995</v>
      </c>
      <c r="L400" s="1" t="s">
        <v>3987</v>
      </c>
      <c r="M400" s="1" t="s">
        <v>4035</v>
      </c>
      <c r="N400" s="1" t="s">
        <v>4036</v>
      </c>
      <c r="O400" s="1" t="s">
        <v>13</v>
      </c>
      <c r="P400" s="1" t="s">
        <v>13</v>
      </c>
      <c r="Q400" s="1" t="s">
        <v>13</v>
      </c>
      <c r="R400" s="1" t="s">
        <v>13</v>
      </c>
      <c r="S400" s="1" t="s">
        <v>4009</v>
      </c>
      <c r="T400" s="4">
        <v>1</v>
      </c>
    </row>
    <row r="401" spans="1:20">
      <c r="A401" s="1" t="s">
        <v>3981</v>
      </c>
      <c r="B401" s="1" t="s">
        <v>301</v>
      </c>
      <c r="C401" s="1" t="s">
        <v>3982</v>
      </c>
      <c r="D401" s="1" t="s">
        <v>425</v>
      </c>
      <c r="E401" s="2">
        <v>45751</v>
      </c>
      <c r="F401" s="2">
        <v>45751</v>
      </c>
      <c r="G401" s="1" t="s">
        <v>3983</v>
      </c>
      <c r="H401" s="3" t="s">
        <v>32</v>
      </c>
      <c r="I401" s="1" t="s">
        <v>3984</v>
      </c>
      <c r="J401" s="1" t="s">
        <v>12</v>
      </c>
      <c r="K401" s="3" t="s">
        <v>3995</v>
      </c>
      <c r="L401" s="1" t="s">
        <v>3987</v>
      </c>
      <c r="M401" s="1" t="s">
        <v>3996</v>
      </c>
      <c r="N401" s="1" t="s">
        <v>13</v>
      </c>
      <c r="O401" s="1" t="s">
        <v>3996</v>
      </c>
      <c r="P401" s="1" t="s">
        <v>13</v>
      </c>
      <c r="Q401" s="1" t="s">
        <v>14</v>
      </c>
      <c r="R401" s="1" t="s">
        <v>54</v>
      </c>
      <c r="S401" s="1" t="s">
        <v>3989</v>
      </c>
      <c r="T401" s="4">
        <v>5</v>
      </c>
    </row>
    <row r="402" spans="1:20">
      <c r="A402" s="1" t="s">
        <v>3981</v>
      </c>
      <c r="B402" s="1" t="s">
        <v>301</v>
      </c>
      <c r="C402" s="1" t="s">
        <v>3982</v>
      </c>
      <c r="D402" s="1" t="s">
        <v>425</v>
      </c>
      <c r="E402" s="2">
        <v>45751</v>
      </c>
      <c r="F402" s="2">
        <v>45751</v>
      </c>
      <c r="G402" s="1" t="s">
        <v>3983</v>
      </c>
      <c r="H402" s="3" t="s">
        <v>32</v>
      </c>
      <c r="I402" s="1" t="s">
        <v>3984</v>
      </c>
      <c r="J402" s="1" t="s">
        <v>12</v>
      </c>
      <c r="K402" s="3" t="s">
        <v>3995</v>
      </c>
      <c r="L402" s="1" t="s">
        <v>3987</v>
      </c>
      <c r="M402" s="1" t="s">
        <v>3996</v>
      </c>
      <c r="N402" s="1" t="s">
        <v>13</v>
      </c>
      <c r="O402" s="1" t="s">
        <v>3996</v>
      </c>
      <c r="P402" s="1" t="s">
        <v>13</v>
      </c>
      <c r="Q402" s="1" t="s">
        <v>14</v>
      </c>
      <c r="R402" s="1" t="s">
        <v>42</v>
      </c>
      <c r="S402" s="1" t="s">
        <v>3989</v>
      </c>
      <c r="T402" s="4">
        <v>1</v>
      </c>
    </row>
    <row r="403" spans="1:20">
      <c r="A403" s="1" t="s">
        <v>3981</v>
      </c>
      <c r="B403" s="1" t="s">
        <v>301</v>
      </c>
      <c r="C403" s="1" t="s">
        <v>3982</v>
      </c>
      <c r="D403" s="1" t="s">
        <v>425</v>
      </c>
      <c r="E403" s="2">
        <v>45751</v>
      </c>
      <c r="F403" s="2">
        <v>45751</v>
      </c>
      <c r="G403" s="1" t="s">
        <v>3983</v>
      </c>
      <c r="H403" s="3" t="s">
        <v>32</v>
      </c>
      <c r="I403" s="1" t="s">
        <v>3984</v>
      </c>
      <c r="J403" s="1" t="s">
        <v>12</v>
      </c>
      <c r="K403" s="3" t="s">
        <v>3995</v>
      </c>
      <c r="L403" s="1" t="s">
        <v>3987</v>
      </c>
      <c r="M403" s="1" t="s">
        <v>3996</v>
      </c>
      <c r="N403" s="1" t="s">
        <v>13</v>
      </c>
      <c r="O403" s="1" t="s">
        <v>3996</v>
      </c>
      <c r="P403" s="1" t="s">
        <v>13</v>
      </c>
      <c r="Q403" s="1" t="s">
        <v>44</v>
      </c>
      <c r="R403" s="1" t="s">
        <v>47</v>
      </c>
      <c r="S403" s="1" t="s">
        <v>3989</v>
      </c>
      <c r="T403" s="4">
        <v>27</v>
      </c>
    </row>
    <row r="404" spans="1:20">
      <c r="A404" s="1" t="s">
        <v>3981</v>
      </c>
      <c r="B404" s="1" t="s">
        <v>301</v>
      </c>
      <c r="C404" s="1" t="s">
        <v>3982</v>
      </c>
      <c r="D404" s="1" t="s">
        <v>425</v>
      </c>
      <c r="E404" s="2">
        <v>45751</v>
      </c>
      <c r="F404" s="2">
        <v>45751</v>
      </c>
      <c r="G404" s="1" t="s">
        <v>3983</v>
      </c>
      <c r="H404" s="3" t="s">
        <v>32</v>
      </c>
      <c r="I404" s="1" t="s">
        <v>3984</v>
      </c>
      <c r="J404" s="1" t="s">
        <v>12</v>
      </c>
      <c r="K404" s="3" t="s">
        <v>3995</v>
      </c>
      <c r="L404" s="1" t="s">
        <v>4032</v>
      </c>
      <c r="M404" s="1" t="s">
        <v>4033</v>
      </c>
      <c r="N404" s="1" t="s">
        <v>13</v>
      </c>
      <c r="O404" s="1" t="s">
        <v>4033</v>
      </c>
      <c r="P404" s="1" t="s">
        <v>13</v>
      </c>
      <c r="Q404" s="1" t="s">
        <v>4034</v>
      </c>
      <c r="R404" s="1" t="s">
        <v>4001</v>
      </c>
      <c r="S404" s="1" t="s">
        <v>3989</v>
      </c>
      <c r="T404" s="4">
        <v>1</v>
      </c>
    </row>
    <row r="405" spans="1:20">
      <c r="A405" s="1" t="s">
        <v>3981</v>
      </c>
      <c r="B405" s="1" t="s">
        <v>301</v>
      </c>
      <c r="C405" s="1" t="s">
        <v>3982</v>
      </c>
      <c r="D405" s="1" t="s">
        <v>425</v>
      </c>
      <c r="E405" s="2">
        <v>45751</v>
      </c>
      <c r="F405" s="2">
        <v>45751</v>
      </c>
      <c r="G405" s="1" t="s">
        <v>3990</v>
      </c>
      <c r="H405" s="3" t="s">
        <v>11</v>
      </c>
      <c r="I405" s="1" t="s">
        <v>3984</v>
      </c>
      <c r="J405" s="1" t="s">
        <v>3985</v>
      </c>
      <c r="K405" s="3" t="s">
        <v>3986</v>
      </c>
      <c r="L405" s="1" t="s">
        <v>3987</v>
      </c>
      <c r="M405" s="1" t="s">
        <v>13</v>
      </c>
      <c r="N405" s="1" t="s">
        <v>13</v>
      </c>
      <c r="O405" s="1" t="s">
        <v>3988</v>
      </c>
      <c r="P405" s="1" t="s">
        <v>13</v>
      </c>
      <c r="Q405" s="1" t="s">
        <v>13</v>
      </c>
      <c r="R405" s="1" t="s">
        <v>13</v>
      </c>
      <c r="S405" s="1" t="s">
        <v>3994</v>
      </c>
      <c r="T405" s="4">
        <v>5.9</v>
      </c>
    </row>
    <row r="406" spans="1:20">
      <c r="A406" s="1" t="s">
        <v>3981</v>
      </c>
      <c r="B406" s="1" t="s">
        <v>301</v>
      </c>
      <c r="C406" s="1" t="s">
        <v>3982</v>
      </c>
      <c r="D406" s="1" t="s">
        <v>425</v>
      </c>
      <c r="E406" s="2">
        <v>45751</v>
      </c>
      <c r="F406" s="2">
        <v>45751</v>
      </c>
      <c r="G406" s="1" t="s">
        <v>3990</v>
      </c>
      <c r="H406" s="3" t="s">
        <v>11</v>
      </c>
      <c r="I406" s="1" t="s">
        <v>3984</v>
      </c>
      <c r="J406" s="1" t="s">
        <v>12</v>
      </c>
      <c r="K406" s="3" t="s">
        <v>3995</v>
      </c>
      <c r="L406" s="1" t="s">
        <v>3987</v>
      </c>
      <c r="M406" s="1" t="s">
        <v>3996</v>
      </c>
      <c r="N406" s="1" t="s">
        <v>13</v>
      </c>
      <c r="O406" s="1" t="s">
        <v>3996</v>
      </c>
      <c r="P406" s="1" t="s">
        <v>13</v>
      </c>
      <c r="Q406" s="1" t="s">
        <v>14</v>
      </c>
      <c r="R406" s="1" t="s">
        <v>27</v>
      </c>
      <c r="S406" s="1" t="s">
        <v>3994</v>
      </c>
      <c r="T406" s="4">
        <v>3.2</v>
      </c>
    </row>
    <row r="407" spans="1:20">
      <c r="A407" s="1" t="s">
        <v>3981</v>
      </c>
      <c r="B407" s="1" t="s">
        <v>301</v>
      </c>
      <c r="C407" s="1" t="s">
        <v>3982</v>
      </c>
      <c r="D407" s="1" t="s">
        <v>425</v>
      </c>
      <c r="E407" s="2">
        <v>45751</v>
      </c>
      <c r="F407" s="2">
        <v>45751</v>
      </c>
      <c r="G407" s="1" t="s">
        <v>3990</v>
      </c>
      <c r="H407" s="3" t="s">
        <v>11</v>
      </c>
      <c r="I407" s="1" t="s">
        <v>3984</v>
      </c>
      <c r="J407" s="1" t="s">
        <v>12</v>
      </c>
      <c r="K407" s="3" t="s">
        <v>3995</v>
      </c>
      <c r="L407" s="1" t="s">
        <v>3987</v>
      </c>
      <c r="M407" s="1" t="s">
        <v>3996</v>
      </c>
      <c r="N407" s="1" t="s">
        <v>13</v>
      </c>
      <c r="O407" s="1" t="s">
        <v>3996</v>
      </c>
      <c r="P407" s="1" t="s">
        <v>13</v>
      </c>
      <c r="Q407" s="1" t="s">
        <v>14</v>
      </c>
      <c r="R407" s="1" t="s">
        <v>37</v>
      </c>
      <c r="S407" s="1" t="s">
        <v>3994</v>
      </c>
      <c r="T407" s="4">
        <v>0.5</v>
      </c>
    </row>
    <row r="408" spans="1:20">
      <c r="A408" s="1" t="s">
        <v>3981</v>
      </c>
      <c r="B408" s="1" t="s">
        <v>301</v>
      </c>
      <c r="C408" s="1" t="s">
        <v>3982</v>
      </c>
      <c r="D408" s="1" t="s">
        <v>425</v>
      </c>
      <c r="E408" s="2">
        <v>45751</v>
      </c>
      <c r="F408" s="2">
        <v>45751</v>
      </c>
      <c r="G408" s="1" t="s">
        <v>3990</v>
      </c>
      <c r="H408" s="3" t="s">
        <v>11</v>
      </c>
      <c r="I408" s="1" t="s">
        <v>3984</v>
      </c>
      <c r="J408" s="1" t="s">
        <v>12</v>
      </c>
      <c r="K408" s="3" t="s">
        <v>3995</v>
      </c>
      <c r="L408" s="1" t="s">
        <v>3987</v>
      </c>
      <c r="M408" s="1" t="s">
        <v>3996</v>
      </c>
      <c r="N408" s="1" t="s">
        <v>13</v>
      </c>
      <c r="O408" s="1" t="s">
        <v>3996</v>
      </c>
      <c r="P408" s="1" t="s">
        <v>13</v>
      </c>
      <c r="Q408" s="1" t="s">
        <v>14</v>
      </c>
      <c r="R408" s="1" t="s">
        <v>15</v>
      </c>
      <c r="S408" s="1" t="s">
        <v>3994</v>
      </c>
      <c r="T408" s="4">
        <v>1</v>
      </c>
    </row>
    <row r="409" spans="1:20">
      <c r="A409" s="1" t="s">
        <v>3981</v>
      </c>
      <c r="B409" s="1" t="s">
        <v>301</v>
      </c>
      <c r="C409" s="1" t="s">
        <v>3982</v>
      </c>
      <c r="D409" s="1" t="s">
        <v>425</v>
      </c>
      <c r="E409" s="2">
        <v>45751</v>
      </c>
      <c r="F409" s="2">
        <v>45751</v>
      </c>
      <c r="G409" s="1" t="s">
        <v>3990</v>
      </c>
      <c r="H409" s="3" t="s">
        <v>11</v>
      </c>
      <c r="I409" s="1" t="s">
        <v>3984</v>
      </c>
      <c r="J409" s="1" t="s">
        <v>12</v>
      </c>
      <c r="K409" s="3" t="s">
        <v>3995</v>
      </c>
      <c r="L409" s="1" t="s">
        <v>3987</v>
      </c>
      <c r="M409" s="1" t="s">
        <v>3996</v>
      </c>
      <c r="N409" s="1" t="s">
        <v>13</v>
      </c>
      <c r="O409" s="1" t="s">
        <v>3996</v>
      </c>
      <c r="P409" s="1" t="s">
        <v>13</v>
      </c>
      <c r="Q409" s="1" t="s">
        <v>16</v>
      </c>
      <c r="R409" s="1" t="s">
        <v>17</v>
      </c>
      <c r="S409" s="1" t="s">
        <v>3994</v>
      </c>
      <c r="T409" s="4">
        <v>0.6</v>
      </c>
    </row>
    <row r="410" spans="1:20">
      <c r="A410" s="1" t="s">
        <v>3981</v>
      </c>
      <c r="B410" s="1" t="s">
        <v>301</v>
      </c>
      <c r="C410" s="1" t="s">
        <v>3982</v>
      </c>
      <c r="D410" s="1" t="s">
        <v>425</v>
      </c>
      <c r="E410" s="2">
        <v>45751</v>
      </c>
      <c r="F410" s="2">
        <v>45751</v>
      </c>
      <c r="G410" s="1" t="s">
        <v>3990</v>
      </c>
      <c r="H410" s="3" t="s">
        <v>11</v>
      </c>
      <c r="I410" s="1" t="s">
        <v>3984</v>
      </c>
      <c r="J410" s="1" t="s">
        <v>12</v>
      </c>
      <c r="K410" s="3" t="s">
        <v>3995</v>
      </c>
      <c r="L410" s="1" t="s">
        <v>3987</v>
      </c>
      <c r="M410" s="1" t="s">
        <v>3996</v>
      </c>
      <c r="N410" s="1" t="s">
        <v>13</v>
      </c>
      <c r="O410" s="1" t="s">
        <v>3996</v>
      </c>
      <c r="P410" s="1" t="s">
        <v>13</v>
      </c>
      <c r="Q410" s="1" t="s">
        <v>16</v>
      </c>
      <c r="R410" s="1" t="s">
        <v>70</v>
      </c>
      <c r="S410" s="1" t="s">
        <v>3994</v>
      </c>
      <c r="T410" s="4">
        <v>2.8</v>
      </c>
    </row>
    <row r="411" spans="1:20">
      <c r="A411" s="1" t="s">
        <v>3981</v>
      </c>
      <c r="B411" s="1" t="s">
        <v>301</v>
      </c>
      <c r="C411" s="1" t="s">
        <v>3982</v>
      </c>
      <c r="D411" s="1" t="s">
        <v>425</v>
      </c>
      <c r="E411" s="2">
        <v>45751</v>
      </c>
      <c r="F411" s="2">
        <v>45751</v>
      </c>
      <c r="G411" s="1" t="s">
        <v>3990</v>
      </c>
      <c r="H411" s="3" t="s">
        <v>11</v>
      </c>
      <c r="I411" s="1" t="s">
        <v>3984</v>
      </c>
      <c r="J411" s="1" t="s">
        <v>12</v>
      </c>
      <c r="K411" s="3" t="s">
        <v>3995</v>
      </c>
      <c r="L411" s="1" t="s">
        <v>3987</v>
      </c>
      <c r="M411" s="1" t="s">
        <v>4010</v>
      </c>
      <c r="N411" s="1" t="s">
        <v>4011</v>
      </c>
      <c r="O411" s="1" t="s">
        <v>13</v>
      </c>
      <c r="P411" s="1" t="s">
        <v>13</v>
      </c>
      <c r="Q411" s="1" t="s">
        <v>4001</v>
      </c>
      <c r="R411" s="1" t="s">
        <v>4012</v>
      </c>
      <c r="S411" s="1" t="s">
        <v>3994</v>
      </c>
      <c r="T411" s="4">
        <v>1</v>
      </c>
    </row>
    <row r="412" spans="1:20">
      <c r="A412" s="1" t="s">
        <v>3981</v>
      </c>
      <c r="B412" s="1" t="s">
        <v>301</v>
      </c>
      <c r="C412" s="1" t="s">
        <v>3982</v>
      </c>
      <c r="D412" s="1" t="s">
        <v>425</v>
      </c>
      <c r="E412" s="2">
        <v>45751</v>
      </c>
      <c r="F412" s="2">
        <v>45751</v>
      </c>
      <c r="G412" s="1" t="s">
        <v>3990</v>
      </c>
      <c r="H412" s="3" t="s">
        <v>11</v>
      </c>
      <c r="I412" s="1" t="s">
        <v>3984</v>
      </c>
      <c r="J412" s="1" t="s">
        <v>12</v>
      </c>
      <c r="K412" s="3" t="s">
        <v>3995</v>
      </c>
      <c r="L412" s="1" t="s">
        <v>4032</v>
      </c>
      <c r="M412" s="1" t="s">
        <v>4033</v>
      </c>
      <c r="N412" s="1" t="s">
        <v>13</v>
      </c>
      <c r="O412" s="1" t="s">
        <v>4033</v>
      </c>
      <c r="P412" s="1" t="s">
        <v>13</v>
      </c>
      <c r="Q412" s="1" t="s">
        <v>4034</v>
      </c>
      <c r="R412" s="1" t="s">
        <v>4001</v>
      </c>
      <c r="S412" s="1" t="s">
        <v>3994</v>
      </c>
      <c r="T412" s="4">
        <v>20</v>
      </c>
    </row>
    <row r="413" spans="1:20">
      <c r="A413" s="1" t="s">
        <v>3981</v>
      </c>
      <c r="B413" s="1" t="s">
        <v>301</v>
      </c>
      <c r="C413" s="1" t="s">
        <v>3982</v>
      </c>
      <c r="D413" s="1" t="s">
        <v>425</v>
      </c>
      <c r="E413" s="2">
        <v>45751</v>
      </c>
      <c r="F413" s="2">
        <v>45751</v>
      </c>
      <c r="G413" s="1" t="s">
        <v>3997</v>
      </c>
      <c r="H413" s="3" t="s">
        <v>41</v>
      </c>
      <c r="I413" s="1" t="s">
        <v>3984</v>
      </c>
      <c r="J413" s="1" t="s">
        <v>3985</v>
      </c>
      <c r="K413" s="3" t="s">
        <v>3986</v>
      </c>
      <c r="L413" s="1" t="s">
        <v>3987</v>
      </c>
      <c r="M413" s="1" t="s">
        <v>13</v>
      </c>
      <c r="N413" s="1" t="s">
        <v>13</v>
      </c>
      <c r="O413" s="1" t="s">
        <v>3988</v>
      </c>
      <c r="P413" s="1" t="s">
        <v>13</v>
      </c>
      <c r="Q413" s="1" t="s">
        <v>13</v>
      </c>
      <c r="R413" s="1" t="s">
        <v>13</v>
      </c>
      <c r="S413" s="1" t="s">
        <v>3998</v>
      </c>
      <c r="T413" s="4">
        <v>1</v>
      </c>
    </row>
    <row r="414" spans="1:20">
      <c r="A414" s="1" t="s">
        <v>3981</v>
      </c>
      <c r="B414" s="1" t="s">
        <v>301</v>
      </c>
      <c r="C414" s="1" t="s">
        <v>3982</v>
      </c>
      <c r="D414" s="1" t="s">
        <v>425</v>
      </c>
      <c r="E414" s="2">
        <v>45751</v>
      </c>
      <c r="F414" s="2">
        <v>45751</v>
      </c>
      <c r="G414" s="1" t="s">
        <v>3997</v>
      </c>
      <c r="H414" s="3" t="s">
        <v>41</v>
      </c>
      <c r="I414" s="1" t="s">
        <v>3984</v>
      </c>
      <c r="J414" s="1" t="s">
        <v>12</v>
      </c>
      <c r="K414" s="3" t="s">
        <v>3995</v>
      </c>
      <c r="L414" s="1" t="s">
        <v>3987</v>
      </c>
      <c r="M414" s="1" t="s">
        <v>3999</v>
      </c>
      <c r="N414" s="1" t="s">
        <v>13</v>
      </c>
      <c r="O414" s="1" t="s">
        <v>3999</v>
      </c>
      <c r="P414" s="1" t="s">
        <v>13</v>
      </c>
      <c r="Q414" s="1" t="s">
        <v>4000</v>
      </c>
      <c r="R414" s="1" t="s">
        <v>4001</v>
      </c>
      <c r="S414" s="1" t="s">
        <v>3998</v>
      </c>
      <c r="T414" s="4">
        <v>8</v>
      </c>
    </row>
    <row r="415" spans="1:20">
      <c r="A415" s="1" t="s">
        <v>3981</v>
      </c>
      <c r="B415" s="1" t="s">
        <v>301</v>
      </c>
      <c r="C415" s="1" t="s">
        <v>3982</v>
      </c>
      <c r="D415" s="1" t="s">
        <v>425</v>
      </c>
      <c r="E415" s="2">
        <v>45751</v>
      </c>
      <c r="F415" s="2">
        <v>45751</v>
      </c>
      <c r="G415" s="1" t="s">
        <v>3997</v>
      </c>
      <c r="H415" s="3" t="s">
        <v>41</v>
      </c>
      <c r="I415" s="1" t="s">
        <v>3984</v>
      </c>
      <c r="J415" s="1" t="s">
        <v>12</v>
      </c>
      <c r="K415" s="3" t="s">
        <v>3995</v>
      </c>
      <c r="L415" s="1" t="s">
        <v>3987</v>
      </c>
      <c r="M415" s="1" t="s">
        <v>3996</v>
      </c>
      <c r="N415" s="1" t="s">
        <v>13</v>
      </c>
      <c r="O415" s="1" t="s">
        <v>3996</v>
      </c>
      <c r="P415" s="1" t="s">
        <v>13</v>
      </c>
      <c r="Q415" s="1" t="s">
        <v>44</v>
      </c>
      <c r="R415" s="1" t="s">
        <v>45</v>
      </c>
      <c r="S415" s="1" t="s">
        <v>3998</v>
      </c>
      <c r="T415" s="4">
        <v>3</v>
      </c>
    </row>
    <row r="416" spans="1:20">
      <c r="A416" s="1" t="s">
        <v>3981</v>
      </c>
      <c r="B416" s="1" t="s">
        <v>301</v>
      </c>
      <c r="C416" s="1" t="s">
        <v>3982</v>
      </c>
      <c r="D416" s="1" t="s">
        <v>425</v>
      </c>
      <c r="E416" s="2">
        <v>45751</v>
      </c>
      <c r="F416" s="2">
        <v>45751</v>
      </c>
      <c r="G416" s="1" t="s">
        <v>3997</v>
      </c>
      <c r="H416" s="3" t="s">
        <v>41</v>
      </c>
      <c r="I416" s="1" t="s">
        <v>3984</v>
      </c>
      <c r="J416" s="1" t="s">
        <v>12</v>
      </c>
      <c r="K416" s="3" t="s">
        <v>3995</v>
      </c>
      <c r="L416" s="1" t="s">
        <v>3987</v>
      </c>
      <c r="M416" s="1" t="s">
        <v>4045</v>
      </c>
      <c r="N416" s="1" t="s">
        <v>13</v>
      </c>
      <c r="O416" s="1" t="s">
        <v>4045</v>
      </c>
      <c r="P416" s="1" t="s">
        <v>13</v>
      </c>
      <c r="Q416" s="1" t="s">
        <v>4046</v>
      </c>
      <c r="R416" s="1" t="s">
        <v>13</v>
      </c>
      <c r="S416" s="1" t="s">
        <v>3998</v>
      </c>
      <c r="T416" s="4">
        <v>3</v>
      </c>
    </row>
    <row r="417" spans="1:20">
      <c r="A417" s="1" t="s">
        <v>3981</v>
      </c>
      <c r="B417" s="1" t="s">
        <v>301</v>
      </c>
      <c r="C417" s="1" t="s">
        <v>3982</v>
      </c>
      <c r="D417" s="1" t="s">
        <v>425</v>
      </c>
      <c r="E417" s="2">
        <v>45751</v>
      </c>
      <c r="F417" s="2">
        <v>45751</v>
      </c>
      <c r="G417" s="1" t="s">
        <v>3997</v>
      </c>
      <c r="H417" s="3" t="s">
        <v>41</v>
      </c>
      <c r="I417" s="1" t="s">
        <v>3984</v>
      </c>
      <c r="J417" s="1" t="s">
        <v>12</v>
      </c>
      <c r="K417" s="3" t="s">
        <v>3995</v>
      </c>
      <c r="L417" s="1" t="s">
        <v>4002</v>
      </c>
      <c r="M417" s="1" t="s">
        <v>4003</v>
      </c>
      <c r="N417" s="1" t="s">
        <v>13</v>
      </c>
      <c r="O417" s="1" t="s">
        <v>4003</v>
      </c>
      <c r="P417" s="1" t="s">
        <v>13</v>
      </c>
      <c r="Q417" s="1" t="s">
        <v>4004</v>
      </c>
      <c r="R417" s="1" t="s">
        <v>4001</v>
      </c>
      <c r="S417" s="1" t="s">
        <v>3998</v>
      </c>
      <c r="T417" s="4">
        <v>18</v>
      </c>
    </row>
    <row r="418" spans="1:20">
      <c r="A418" s="1" t="s">
        <v>3981</v>
      </c>
      <c r="B418" s="1" t="s">
        <v>301</v>
      </c>
      <c r="C418" s="1" t="s">
        <v>3982</v>
      </c>
      <c r="D418" s="1" t="s">
        <v>425</v>
      </c>
      <c r="E418" s="2">
        <v>45751</v>
      </c>
      <c r="F418" s="2">
        <v>45751</v>
      </c>
      <c r="G418" s="1" t="s">
        <v>3997</v>
      </c>
      <c r="H418" s="3" t="s">
        <v>41</v>
      </c>
      <c r="I418" s="1" t="s">
        <v>3984</v>
      </c>
      <c r="J418" s="1" t="s">
        <v>12</v>
      </c>
      <c r="K418" s="3" t="s">
        <v>3995</v>
      </c>
      <c r="L418" s="1" t="s">
        <v>4032</v>
      </c>
      <c r="M418" s="1" t="s">
        <v>4033</v>
      </c>
      <c r="N418" s="1" t="s">
        <v>13</v>
      </c>
      <c r="O418" s="1" t="s">
        <v>4033</v>
      </c>
      <c r="P418" s="1" t="s">
        <v>13</v>
      </c>
      <c r="Q418" s="1" t="s">
        <v>4034</v>
      </c>
      <c r="R418" s="1" t="s">
        <v>4001</v>
      </c>
      <c r="S418" s="1" t="s">
        <v>3998</v>
      </c>
      <c r="T418" s="4">
        <v>3</v>
      </c>
    </row>
    <row r="419" spans="1:20">
      <c r="A419" s="1" t="s">
        <v>3981</v>
      </c>
      <c r="B419" s="1" t="s">
        <v>301</v>
      </c>
      <c r="C419" s="1" t="s">
        <v>3982</v>
      </c>
      <c r="D419" s="1" t="s">
        <v>425</v>
      </c>
      <c r="E419" s="2">
        <v>45751</v>
      </c>
      <c r="F419" s="2">
        <v>45751</v>
      </c>
      <c r="G419" s="1" t="s">
        <v>4005</v>
      </c>
      <c r="H419" s="3" t="s">
        <v>21</v>
      </c>
      <c r="I419" s="1" t="s">
        <v>3984</v>
      </c>
      <c r="J419" s="1" t="s">
        <v>12</v>
      </c>
      <c r="K419" s="3" t="s">
        <v>3995</v>
      </c>
      <c r="L419" s="1" t="s">
        <v>3987</v>
      </c>
      <c r="M419" s="1" t="s">
        <v>3996</v>
      </c>
      <c r="N419" s="1" t="s">
        <v>13</v>
      </c>
      <c r="O419" s="1" t="s">
        <v>3996</v>
      </c>
      <c r="P419" s="1" t="s">
        <v>13</v>
      </c>
      <c r="Q419" s="1" t="s">
        <v>14</v>
      </c>
      <c r="R419" s="1" t="s">
        <v>24</v>
      </c>
      <c r="S419" s="1" t="s">
        <v>4007</v>
      </c>
      <c r="T419" s="4">
        <v>3.2</v>
      </c>
    </row>
    <row r="420" spans="1:20">
      <c r="A420" s="1" t="s">
        <v>3981</v>
      </c>
      <c r="B420" s="1" t="s">
        <v>301</v>
      </c>
      <c r="C420" s="1" t="s">
        <v>3982</v>
      </c>
      <c r="D420" s="1" t="s">
        <v>425</v>
      </c>
      <c r="E420" s="2">
        <v>45751</v>
      </c>
      <c r="F420" s="2">
        <v>45751</v>
      </c>
      <c r="G420" s="1" t="s">
        <v>4005</v>
      </c>
      <c r="H420" s="3" t="s">
        <v>21</v>
      </c>
      <c r="I420" s="1" t="s">
        <v>3984</v>
      </c>
      <c r="J420" s="1" t="s">
        <v>12</v>
      </c>
      <c r="K420" s="3" t="s">
        <v>3995</v>
      </c>
      <c r="L420" s="1" t="s">
        <v>3987</v>
      </c>
      <c r="M420" s="1" t="s">
        <v>3996</v>
      </c>
      <c r="N420" s="1" t="s">
        <v>13</v>
      </c>
      <c r="O420" s="1" t="s">
        <v>3996</v>
      </c>
      <c r="P420" s="1" t="s">
        <v>13</v>
      </c>
      <c r="Q420" s="1" t="s">
        <v>14</v>
      </c>
      <c r="R420" s="1" t="s">
        <v>57</v>
      </c>
      <c r="S420" s="1" t="s">
        <v>4007</v>
      </c>
      <c r="T420" s="4">
        <v>0.5</v>
      </c>
    </row>
    <row r="421" spans="1:20">
      <c r="A421" s="1" t="s">
        <v>3981</v>
      </c>
      <c r="B421" s="1" t="s">
        <v>301</v>
      </c>
      <c r="C421" s="1" t="s">
        <v>3982</v>
      </c>
      <c r="D421" s="1" t="s">
        <v>425</v>
      </c>
      <c r="E421" s="2">
        <v>45751</v>
      </c>
      <c r="F421" s="2">
        <v>45751</v>
      </c>
      <c r="G421" s="1" t="s">
        <v>4005</v>
      </c>
      <c r="H421" s="3" t="s">
        <v>21</v>
      </c>
      <c r="I421" s="1" t="s">
        <v>3984</v>
      </c>
      <c r="J421" s="1" t="s">
        <v>12</v>
      </c>
      <c r="K421" s="3" t="s">
        <v>3995</v>
      </c>
      <c r="L421" s="1" t="s">
        <v>3987</v>
      </c>
      <c r="M421" s="1" t="s">
        <v>3996</v>
      </c>
      <c r="N421" s="1" t="s">
        <v>13</v>
      </c>
      <c r="O421" s="1" t="s">
        <v>3996</v>
      </c>
      <c r="P421" s="1" t="s">
        <v>13</v>
      </c>
      <c r="Q421" s="1" t="s">
        <v>14</v>
      </c>
      <c r="R421" s="1" t="s">
        <v>42</v>
      </c>
      <c r="S421" s="1" t="s">
        <v>4007</v>
      </c>
      <c r="T421" s="4">
        <v>17</v>
      </c>
    </row>
    <row r="422" spans="1:20">
      <c r="A422" s="1" t="s">
        <v>3981</v>
      </c>
      <c r="B422" s="1" t="s">
        <v>301</v>
      </c>
      <c r="C422" s="1" t="s">
        <v>3982</v>
      </c>
      <c r="D422" s="1" t="s">
        <v>425</v>
      </c>
      <c r="E422" s="2">
        <v>45751</v>
      </c>
      <c r="F422" s="2">
        <v>45751</v>
      </c>
      <c r="G422" s="1" t="s">
        <v>4005</v>
      </c>
      <c r="H422" s="3" t="s">
        <v>21</v>
      </c>
      <c r="I422" s="1" t="s">
        <v>3984</v>
      </c>
      <c r="J422" s="1" t="s">
        <v>12</v>
      </c>
      <c r="K422" s="3" t="s">
        <v>3995</v>
      </c>
      <c r="L422" s="1" t="s">
        <v>3987</v>
      </c>
      <c r="M422" s="1" t="s">
        <v>3996</v>
      </c>
      <c r="N422" s="1" t="s">
        <v>13</v>
      </c>
      <c r="O422" s="1" t="s">
        <v>3996</v>
      </c>
      <c r="P422" s="1" t="s">
        <v>13</v>
      </c>
      <c r="Q422" s="1" t="s">
        <v>28</v>
      </c>
      <c r="R422" s="1" t="s">
        <v>58</v>
      </c>
      <c r="S422" s="1" t="s">
        <v>4007</v>
      </c>
      <c r="T422" s="4">
        <v>2.1</v>
      </c>
    </row>
    <row r="423" spans="1:20">
      <c r="A423" s="1" t="s">
        <v>3981</v>
      </c>
      <c r="B423" s="1" t="s">
        <v>301</v>
      </c>
      <c r="C423" s="1" t="s">
        <v>3982</v>
      </c>
      <c r="D423" s="1" t="s">
        <v>425</v>
      </c>
      <c r="E423" s="2">
        <v>45751</v>
      </c>
      <c r="F423" s="2">
        <v>45751</v>
      </c>
      <c r="G423" s="1" t="s">
        <v>4005</v>
      </c>
      <c r="H423" s="3" t="s">
        <v>21</v>
      </c>
      <c r="I423" s="1" t="s">
        <v>3984</v>
      </c>
      <c r="J423" s="1" t="s">
        <v>12</v>
      </c>
      <c r="K423" s="3" t="s">
        <v>3995</v>
      </c>
      <c r="L423" s="1" t="s">
        <v>3987</v>
      </c>
      <c r="M423" s="1" t="s">
        <v>3996</v>
      </c>
      <c r="N423" s="1" t="s">
        <v>13</v>
      </c>
      <c r="O423" s="1" t="s">
        <v>3996</v>
      </c>
      <c r="P423" s="1" t="s">
        <v>13</v>
      </c>
      <c r="Q423" s="1" t="s">
        <v>28</v>
      </c>
      <c r="R423" s="1" t="s">
        <v>43</v>
      </c>
      <c r="S423" s="1" t="s">
        <v>4007</v>
      </c>
      <c r="T423" s="4">
        <v>2</v>
      </c>
    </row>
    <row r="424" spans="1:20">
      <c r="A424" s="1" t="s">
        <v>3981</v>
      </c>
      <c r="B424" s="1" t="s">
        <v>301</v>
      </c>
      <c r="C424" s="1" t="s">
        <v>3982</v>
      </c>
      <c r="D424" s="1" t="s">
        <v>425</v>
      </c>
      <c r="E424" s="2">
        <v>45751</v>
      </c>
      <c r="F424" s="2">
        <v>45751</v>
      </c>
      <c r="G424" s="1" t="s">
        <v>4005</v>
      </c>
      <c r="H424" s="3" t="s">
        <v>21</v>
      </c>
      <c r="I424" s="1" t="s">
        <v>3984</v>
      </c>
      <c r="J424" s="1" t="s">
        <v>12</v>
      </c>
      <c r="K424" s="3" t="s">
        <v>3995</v>
      </c>
      <c r="L424" s="1" t="s">
        <v>3987</v>
      </c>
      <c r="M424" s="1" t="s">
        <v>3996</v>
      </c>
      <c r="N424" s="1" t="s">
        <v>13</v>
      </c>
      <c r="O424" s="1" t="s">
        <v>3996</v>
      </c>
      <c r="P424" s="1" t="s">
        <v>13</v>
      </c>
      <c r="Q424" s="1" t="s">
        <v>28</v>
      </c>
      <c r="R424" s="1" t="s">
        <v>29</v>
      </c>
      <c r="S424" s="1" t="s">
        <v>4007</v>
      </c>
      <c r="T424" s="4">
        <v>5.7</v>
      </c>
    </row>
    <row r="425" spans="1:20">
      <c r="A425" s="1" t="s">
        <v>3981</v>
      </c>
      <c r="B425" s="1" t="s">
        <v>301</v>
      </c>
      <c r="C425" s="1" t="s">
        <v>3982</v>
      </c>
      <c r="D425" s="1" t="s">
        <v>425</v>
      </c>
      <c r="E425" s="2">
        <v>45751</v>
      </c>
      <c r="F425" s="2">
        <v>45751</v>
      </c>
      <c r="G425" s="1" t="s">
        <v>4008</v>
      </c>
      <c r="H425" s="3" t="s">
        <v>25</v>
      </c>
      <c r="I425" s="1" t="s">
        <v>3984</v>
      </c>
      <c r="J425" s="1" t="s">
        <v>3985</v>
      </c>
      <c r="K425" s="3" t="s">
        <v>3986</v>
      </c>
      <c r="L425" s="1" t="s">
        <v>3987</v>
      </c>
      <c r="M425" s="1" t="s">
        <v>13</v>
      </c>
      <c r="N425" s="1" t="s">
        <v>13</v>
      </c>
      <c r="O425" s="1" t="s">
        <v>3988</v>
      </c>
      <c r="P425" s="1" t="s">
        <v>13</v>
      </c>
      <c r="Q425" s="1" t="s">
        <v>13</v>
      </c>
      <c r="R425" s="1" t="s">
        <v>13</v>
      </c>
      <c r="S425" s="1" t="s">
        <v>4009</v>
      </c>
      <c r="T425" s="4">
        <v>2</v>
      </c>
    </row>
    <row r="426" spans="1:20">
      <c r="A426" s="1" t="s">
        <v>3981</v>
      </c>
      <c r="B426" s="1" t="s">
        <v>301</v>
      </c>
      <c r="C426" s="1" t="s">
        <v>3982</v>
      </c>
      <c r="D426" s="1" t="s">
        <v>425</v>
      </c>
      <c r="E426" s="2">
        <v>45751</v>
      </c>
      <c r="F426" s="2">
        <v>45751</v>
      </c>
      <c r="G426" s="1" t="s">
        <v>4008</v>
      </c>
      <c r="H426" s="3" t="s">
        <v>25</v>
      </c>
      <c r="I426" s="1" t="s">
        <v>3984</v>
      </c>
      <c r="J426" s="1" t="s">
        <v>12</v>
      </c>
      <c r="K426" s="3" t="s">
        <v>3995</v>
      </c>
      <c r="L426" s="1" t="s">
        <v>4013</v>
      </c>
      <c r="M426" s="1" t="s">
        <v>4014</v>
      </c>
      <c r="N426" s="1" t="s">
        <v>13</v>
      </c>
      <c r="O426" s="1" t="s">
        <v>4014</v>
      </c>
      <c r="P426" s="1" t="s">
        <v>13</v>
      </c>
      <c r="Q426" s="1" t="s">
        <v>13</v>
      </c>
      <c r="R426" s="1" t="s">
        <v>13</v>
      </c>
      <c r="S426" s="1" t="s">
        <v>4009</v>
      </c>
      <c r="T426" s="4">
        <v>0.3</v>
      </c>
    </row>
    <row r="427" spans="1:20">
      <c r="A427" s="1" t="s">
        <v>3981</v>
      </c>
      <c r="B427" s="1" t="s">
        <v>301</v>
      </c>
      <c r="C427" s="1" t="s">
        <v>3982</v>
      </c>
      <c r="D427" s="1" t="s">
        <v>425</v>
      </c>
      <c r="E427" s="2">
        <v>45751</v>
      </c>
      <c r="F427" s="2">
        <v>45751</v>
      </c>
      <c r="G427" s="1" t="s">
        <v>4008</v>
      </c>
      <c r="H427" s="3" t="s">
        <v>25</v>
      </c>
      <c r="I427" s="1" t="s">
        <v>3984</v>
      </c>
      <c r="J427" s="1" t="s">
        <v>12</v>
      </c>
      <c r="K427" s="3" t="s">
        <v>3995</v>
      </c>
      <c r="L427" s="1" t="s">
        <v>4013</v>
      </c>
      <c r="M427" s="1" t="s">
        <v>4053</v>
      </c>
      <c r="N427" s="1" t="s">
        <v>4054</v>
      </c>
      <c r="O427" s="1" t="s">
        <v>13</v>
      </c>
      <c r="P427" s="1" t="s">
        <v>13</v>
      </c>
      <c r="Q427" s="1" t="s">
        <v>13</v>
      </c>
      <c r="R427" s="1" t="s">
        <v>13</v>
      </c>
      <c r="S427" s="1" t="s">
        <v>4009</v>
      </c>
      <c r="T427" s="4">
        <v>0.5</v>
      </c>
    </row>
    <row r="428" spans="1:20">
      <c r="A428" s="1" t="s">
        <v>3981</v>
      </c>
      <c r="B428" s="1" t="s">
        <v>301</v>
      </c>
      <c r="C428" s="1" t="s">
        <v>3982</v>
      </c>
      <c r="D428" s="1" t="s">
        <v>425</v>
      </c>
      <c r="E428" s="2">
        <v>45751</v>
      </c>
      <c r="F428" s="2">
        <v>45751</v>
      </c>
      <c r="G428" s="1" t="s">
        <v>4008</v>
      </c>
      <c r="H428" s="3" t="s">
        <v>25</v>
      </c>
      <c r="I428" s="1" t="s">
        <v>3984</v>
      </c>
      <c r="J428" s="1" t="s">
        <v>12</v>
      </c>
      <c r="K428" s="3" t="s">
        <v>3995</v>
      </c>
      <c r="L428" s="1" t="s">
        <v>4013</v>
      </c>
      <c r="M428" s="1" t="s">
        <v>4051</v>
      </c>
      <c r="N428" s="1" t="s">
        <v>4052</v>
      </c>
      <c r="O428" s="1" t="s">
        <v>13</v>
      </c>
      <c r="P428" s="1" t="s">
        <v>13</v>
      </c>
      <c r="Q428" s="1" t="s">
        <v>13</v>
      </c>
      <c r="R428" s="1" t="s">
        <v>13</v>
      </c>
      <c r="S428" s="1" t="s">
        <v>4009</v>
      </c>
      <c r="T428" s="4">
        <v>0.3</v>
      </c>
    </row>
    <row r="429" spans="1:20">
      <c r="A429" s="1" t="s">
        <v>3981</v>
      </c>
      <c r="B429" s="1" t="s">
        <v>301</v>
      </c>
      <c r="C429" s="1" t="s">
        <v>3982</v>
      </c>
      <c r="D429" s="1" t="s">
        <v>425</v>
      </c>
      <c r="E429" s="2">
        <v>45751</v>
      </c>
      <c r="F429" s="2">
        <v>45751</v>
      </c>
      <c r="G429" s="1" t="s">
        <v>4008</v>
      </c>
      <c r="H429" s="3" t="s">
        <v>25</v>
      </c>
      <c r="I429" s="1" t="s">
        <v>3984</v>
      </c>
      <c r="J429" s="1" t="s">
        <v>12</v>
      </c>
      <c r="K429" s="3" t="s">
        <v>3995</v>
      </c>
      <c r="L429" s="1" t="s">
        <v>3987</v>
      </c>
      <c r="M429" s="1" t="s">
        <v>3996</v>
      </c>
      <c r="N429" s="1" t="s">
        <v>13</v>
      </c>
      <c r="O429" s="1" t="s">
        <v>3996</v>
      </c>
      <c r="P429" s="1" t="s">
        <v>13</v>
      </c>
      <c r="Q429" s="1" t="s">
        <v>14</v>
      </c>
      <c r="R429" s="1" t="s">
        <v>37</v>
      </c>
      <c r="S429" s="1" t="s">
        <v>4009</v>
      </c>
      <c r="T429" s="4">
        <v>0.9</v>
      </c>
    </row>
    <row r="430" spans="1:20">
      <c r="A430" s="1" t="s">
        <v>3981</v>
      </c>
      <c r="B430" s="1" t="s">
        <v>301</v>
      </c>
      <c r="C430" s="1" t="s">
        <v>3982</v>
      </c>
      <c r="D430" s="1" t="s">
        <v>425</v>
      </c>
      <c r="E430" s="2">
        <v>45751</v>
      </c>
      <c r="F430" s="2">
        <v>45751</v>
      </c>
      <c r="G430" s="1" t="s">
        <v>4008</v>
      </c>
      <c r="H430" s="3" t="s">
        <v>25</v>
      </c>
      <c r="I430" s="1" t="s">
        <v>3984</v>
      </c>
      <c r="J430" s="1" t="s">
        <v>12</v>
      </c>
      <c r="K430" s="3" t="s">
        <v>3995</v>
      </c>
      <c r="L430" s="1" t="s">
        <v>3987</v>
      </c>
      <c r="M430" s="1" t="s">
        <v>3996</v>
      </c>
      <c r="N430" s="1" t="s">
        <v>13</v>
      </c>
      <c r="O430" s="1" t="s">
        <v>3996</v>
      </c>
      <c r="P430" s="1" t="s">
        <v>13</v>
      </c>
      <c r="Q430" s="1" t="s">
        <v>14</v>
      </c>
      <c r="R430" s="1" t="s">
        <v>15</v>
      </c>
      <c r="S430" s="1" t="s">
        <v>4009</v>
      </c>
      <c r="T430" s="4">
        <v>0.9</v>
      </c>
    </row>
    <row r="431" spans="1:20">
      <c r="A431" s="1" t="s">
        <v>3981</v>
      </c>
      <c r="B431" s="1" t="s">
        <v>301</v>
      </c>
      <c r="C431" s="1" t="s">
        <v>3982</v>
      </c>
      <c r="D431" s="1" t="s">
        <v>425</v>
      </c>
      <c r="E431" s="2">
        <v>45751</v>
      </c>
      <c r="F431" s="2">
        <v>45751</v>
      </c>
      <c r="G431" s="1" t="s">
        <v>4008</v>
      </c>
      <c r="H431" s="3" t="s">
        <v>25</v>
      </c>
      <c r="I431" s="1" t="s">
        <v>3984</v>
      </c>
      <c r="J431" s="1" t="s">
        <v>12</v>
      </c>
      <c r="K431" s="3" t="s">
        <v>3995</v>
      </c>
      <c r="L431" s="1" t="s">
        <v>3987</v>
      </c>
      <c r="M431" s="1" t="s">
        <v>3996</v>
      </c>
      <c r="N431" s="1" t="s">
        <v>13</v>
      </c>
      <c r="O431" s="1" t="s">
        <v>3996</v>
      </c>
      <c r="P431" s="1" t="s">
        <v>13</v>
      </c>
      <c r="Q431" s="1" t="s">
        <v>28</v>
      </c>
      <c r="R431" s="1" t="s">
        <v>29</v>
      </c>
      <c r="S431" s="1" t="s">
        <v>4009</v>
      </c>
      <c r="T431" s="4">
        <v>3.5</v>
      </c>
    </row>
    <row r="432" spans="1:20">
      <c r="A432" s="1" t="s">
        <v>3981</v>
      </c>
      <c r="B432" s="1" t="s">
        <v>301</v>
      </c>
      <c r="C432" s="1" t="s">
        <v>3982</v>
      </c>
      <c r="D432" s="1" t="s">
        <v>425</v>
      </c>
      <c r="E432" s="2">
        <v>45751</v>
      </c>
      <c r="F432" s="2">
        <v>45751</v>
      </c>
      <c r="G432" s="1" t="s">
        <v>4008</v>
      </c>
      <c r="H432" s="3" t="s">
        <v>25</v>
      </c>
      <c r="I432" s="1" t="s">
        <v>3984</v>
      </c>
      <c r="J432" s="1" t="s">
        <v>12</v>
      </c>
      <c r="K432" s="3" t="s">
        <v>3995</v>
      </c>
      <c r="L432" s="1" t="s">
        <v>3987</v>
      </c>
      <c r="M432" s="1" t="s">
        <v>3996</v>
      </c>
      <c r="N432" s="1" t="s">
        <v>13</v>
      </c>
      <c r="O432" s="1" t="s">
        <v>3996</v>
      </c>
      <c r="P432" s="1" t="s">
        <v>13</v>
      </c>
      <c r="Q432" s="1" t="s">
        <v>44</v>
      </c>
      <c r="R432" s="1" t="s">
        <v>45</v>
      </c>
      <c r="S432" s="1" t="s">
        <v>4009</v>
      </c>
      <c r="T432" s="4">
        <v>9.1999999999999993</v>
      </c>
    </row>
    <row r="433" spans="1:20">
      <c r="A433" s="1" t="s">
        <v>3981</v>
      </c>
      <c r="B433" s="1" t="s">
        <v>301</v>
      </c>
      <c r="C433" s="1" t="s">
        <v>3982</v>
      </c>
      <c r="D433" s="1" t="s">
        <v>425</v>
      </c>
      <c r="E433" s="2">
        <v>45751</v>
      </c>
      <c r="F433" s="2">
        <v>45751</v>
      </c>
      <c r="G433" s="1" t="s">
        <v>4008</v>
      </c>
      <c r="H433" s="3" t="s">
        <v>25</v>
      </c>
      <c r="I433" s="1" t="s">
        <v>3984</v>
      </c>
      <c r="J433" s="1" t="s">
        <v>12</v>
      </c>
      <c r="K433" s="3" t="s">
        <v>3995</v>
      </c>
      <c r="L433" s="1" t="s">
        <v>3987</v>
      </c>
      <c r="M433" s="1" t="s">
        <v>3996</v>
      </c>
      <c r="N433" s="1" t="s">
        <v>13</v>
      </c>
      <c r="O433" s="1" t="s">
        <v>3996</v>
      </c>
      <c r="P433" s="1" t="s">
        <v>13</v>
      </c>
      <c r="Q433" s="1" t="s">
        <v>38</v>
      </c>
      <c r="R433" s="1" t="s">
        <v>46</v>
      </c>
      <c r="S433" s="1" t="s">
        <v>4009</v>
      </c>
      <c r="T433" s="4">
        <v>6.6</v>
      </c>
    </row>
    <row r="434" spans="1:20">
      <c r="A434" s="1" t="s">
        <v>3981</v>
      </c>
      <c r="B434" s="1" t="s">
        <v>301</v>
      </c>
      <c r="C434" s="1" t="s">
        <v>3982</v>
      </c>
      <c r="D434" s="1" t="s">
        <v>425</v>
      </c>
      <c r="E434" s="2">
        <v>45751</v>
      </c>
      <c r="F434" s="2">
        <v>45751</v>
      </c>
      <c r="G434" s="1" t="s">
        <v>4008</v>
      </c>
      <c r="H434" s="3" t="s">
        <v>25</v>
      </c>
      <c r="I434" s="1" t="s">
        <v>3984</v>
      </c>
      <c r="J434" s="1" t="s">
        <v>12</v>
      </c>
      <c r="K434" s="3" t="s">
        <v>3995</v>
      </c>
      <c r="L434" s="1" t="s">
        <v>3987</v>
      </c>
      <c r="M434" s="1" t="s">
        <v>3996</v>
      </c>
      <c r="N434" s="1" t="s">
        <v>13</v>
      </c>
      <c r="O434" s="1" t="s">
        <v>3996</v>
      </c>
      <c r="P434" s="1" t="s">
        <v>13</v>
      </c>
      <c r="Q434" s="1" t="s">
        <v>38</v>
      </c>
      <c r="R434" s="1" t="s">
        <v>51</v>
      </c>
      <c r="S434" s="1" t="s">
        <v>4009</v>
      </c>
      <c r="T434" s="4">
        <v>0.2</v>
      </c>
    </row>
    <row r="435" spans="1:20">
      <c r="A435" s="1" t="s">
        <v>3981</v>
      </c>
      <c r="B435" s="1" t="s">
        <v>301</v>
      </c>
      <c r="C435" s="1" t="s">
        <v>3982</v>
      </c>
      <c r="D435" s="1" t="s">
        <v>425</v>
      </c>
      <c r="E435" s="2">
        <v>45751</v>
      </c>
      <c r="F435" s="2">
        <v>45751</v>
      </c>
      <c r="G435" s="1" t="s">
        <v>4008</v>
      </c>
      <c r="H435" s="3" t="s">
        <v>25</v>
      </c>
      <c r="I435" s="1" t="s">
        <v>3984</v>
      </c>
      <c r="J435" s="1" t="s">
        <v>12</v>
      </c>
      <c r="K435" s="3" t="s">
        <v>3995</v>
      </c>
      <c r="L435" s="1" t="s">
        <v>3987</v>
      </c>
      <c r="M435" s="1" t="s">
        <v>3996</v>
      </c>
      <c r="N435" s="1" t="s">
        <v>13</v>
      </c>
      <c r="O435" s="1" t="s">
        <v>3996</v>
      </c>
      <c r="P435" s="1" t="s">
        <v>13</v>
      </c>
      <c r="Q435" s="1" t="s">
        <v>38</v>
      </c>
      <c r="R435" s="1" t="s">
        <v>52</v>
      </c>
      <c r="S435" s="1" t="s">
        <v>4009</v>
      </c>
      <c r="T435" s="4">
        <v>0.7</v>
      </c>
    </row>
    <row r="436" spans="1:20">
      <c r="A436" s="1" t="s">
        <v>3981</v>
      </c>
      <c r="B436" s="1" t="s">
        <v>301</v>
      </c>
      <c r="C436" s="1" t="s">
        <v>3982</v>
      </c>
      <c r="D436" s="1" t="s">
        <v>425</v>
      </c>
      <c r="E436" s="2">
        <v>45751</v>
      </c>
      <c r="F436" s="2">
        <v>45751</v>
      </c>
      <c r="G436" s="1" t="s">
        <v>4008</v>
      </c>
      <c r="H436" s="3" t="s">
        <v>25</v>
      </c>
      <c r="I436" s="1" t="s">
        <v>3984</v>
      </c>
      <c r="J436" s="1" t="s">
        <v>12</v>
      </c>
      <c r="K436" s="3" t="s">
        <v>3995</v>
      </c>
      <c r="L436" s="1" t="s">
        <v>3987</v>
      </c>
      <c r="M436" s="1" t="s">
        <v>3996</v>
      </c>
      <c r="N436" s="1" t="s">
        <v>13</v>
      </c>
      <c r="O436" s="1" t="s">
        <v>3996</v>
      </c>
      <c r="P436" s="1" t="s">
        <v>13</v>
      </c>
      <c r="Q436" s="1" t="s">
        <v>30</v>
      </c>
      <c r="R436" s="1" t="s">
        <v>67</v>
      </c>
      <c r="S436" s="1" t="s">
        <v>4009</v>
      </c>
      <c r="T436" s="4">
        <v>4</v>
      </c>
    </row>
    <row r="437" spans="1:20">
      <c r="A437" s="1" t="s">
        <v>3981</v>
      </c>
      <c r="B437" s="1" t="s">
        <v>301</v>
      </c>
      <c r="C437" s="1" t="s">
        <v>3982</v>
      </c>
      <c r="D437" s="1" t="s">
        <v>425</v>
      </c>
      <c r="E437" s="2">
        <v>45751</v>
      </c>
      <c r="F437" s="2">
        <v>45751</v>
      </c>
      <c r="G437" s="1" t="s">
        <v>4008</v>
      </c>
      <c r="H437" s="3" t="s">
        <v>25</v>
      </c>
      <c r="I437" s="1" t="s">
        <v>3984</v>
      </c>
      <c r="J437" s="1" t="s">
        <v>12</v>
      </c>
      <c r="K437" s="3" t="s">
        <v>3995</v>
      </c>
      <c r="L437" s="1" t="s">
        <v>3987</v>
      </c>
      <c r="M437" s="1" t="s">
        <v>3996</v>
      </c>
      <c r="N437" s="1" t="s">
        <v>13</v>
      </c>
      <c r="O437" s="1" t="s">
        <v>3996</v>
      </c>
      <c r="P437" s="1" t="s">
        <v>13</v>
      </c>
      <c r="Q437" s="1" t="s">
        <v>30</v>
      </c>
      <c r="R437" s="1" t="s">
        <v>62</v>
      </c>
      <c r="S437" s="1" t="s">
        <v>4009</v>
      </c>
      <c r="T437" s="4">
        <v>4.0999999999999996</v>
      </c>
    </row>
    <row r="438" spans="1:20">
      <c r="A438" s="1" t="s">
        <v>3981</v>
      </c>
      <c r="B438" s="1" t="s">
        <v>301</v>
      </c>
      <c r="C438" s="1" t="s">
        <v>3982</v>
      </c>
      <c r="D438" s="1" t="s">
        <v>425</v>
      </c>
      <c r="E438" s="2">
        <v>45751</v>
      </c>
      <c r="F438" s="2">
        <v>45751</v>
      </c>
      <c r="G438" s="1" t="s">
        <v>4008</v>
      </c>
      <c r="H438" s="3" t="s">
        <v>25</v>
      </c>
      <c r="I438" s="1" t="s">
        <v>3984</v>
      </c>
      <c r="J438" s="1" t="s">
        <v>12</v>
      </c>
      <c r="K438" s="3" t="s">
        <v>3995</v>
      </c>
      <c r="L438" s="1" t="s">
        <v>3987</v>
      </c>
      <c r="M438" s="1" t="s">
        <v>3996</v>
      </c>
      <c r="N438" s="1" t="s">
        <v>13</v>
      </c>
      <c r="O438" s="1" t="s">
        <v>3996</v>
      </c>
      <c r="P438" s="1" t="s">
        <v>13</v>
      </c>
      <c r="Q438" s="1" t="s">
        <v>30</v>
      </c>
      <c r="R438" s="1" t="s">
        <v>68</v>
      </c>
      <c r="S438" s="1" t="s">
        <v>4009</v>
      </c>
      <c r="T438" s="4">
        <v>5.7</v>
      </c>
    </row>
    <row r="439" spans="1:20">
      <c r="A439" s="1" t="s">
        <v>3981</v>
      </c>
      <c r="B439" s="1" t="s">
        <v>301</v>
      </c>
      <c r="C439" s="1" t="s">
        <v>3982</v>
      </c>
      <c r="D439" s="1" t="s">
        <v>425</v>
      </c>
      <c r="E439" s="2">
        <v>45751</v>
      </c>
      <c r="F439" s="2">
        <v>45751</v>
      </c>
      <c r="G439" s="1" t="s">
        <v>4008</v>
      </c>
      <c r="H439" s="3" t="s">
        <v>25</v>
      </c>
      <c r="I439" s="1" t="s">
        <v>3984</v>
      </c>
      <c r="J439" s="1" t="s">
        <v>12</v>
      </c>
      <c r="K439" s="3" t="s">
        <v>3995</v>
      </c>
      <c r="L439" s="1" t="s">
        <v>3987</v>
      </c>
      <c r="M439" s="1" t="s">
        <v>4035</v>
      </c>
      <c r="N439" s="1" t="s">
        <v>4036</v>
      </c>
      <c r="O439" s="1" t="s">
        <v>13</v>
      </c>
      <c r="P439" s="1" t="s">
        <v>13</v>
      </c>
      <c r="Q439" s="1" t="s">
        <v>13</v>
      </c>
      <c r="R439" s="1" t="s">
        <v>13</v>
      </c>
      <c r="S439" s="1" t="s">
        <v>4009</v>
      </c>
      <c r="T439" s="4">
        <v>1.6</v>
      </c>
    </row>
    <row r="440" spans="1:20">
      <c r="A440" s="1" t="s">
        <v>3981</v>
      </c>
      <c r="B440" s="1" t="s">
        <v>301</v>
      </c>
      <c r="C440" s="1" t="s">
        <v>3982</v>
      </c>
      <c r="D440" s="1" t="s">
        <v>425</v>
      </c>
      <c r="E440" s="2">
        <v>45765</v>
      </c>
      <c r="F440" s="2">
        <v>45758</v>
      </c>
      <c r="G440" s="1" t="s">
        <v>3983</v>
      </c>
      <c r="H440" s="3" t="s">
        <v>32</v>
      </c>
      <c r="I440" s="1" t="s">
        <v>3984</v>
      </c>
      <c r="J440" s="1" t="s">
        <v>12</v>
      </c>
      <c r="K440" s="3" t="s">
        <v>3995</v>
      </c>
      <c r="L440" s="1" t="s">
        <v>3987</v>
      </c>
      <c r="M440" s="1" t="s">
        <v>3999</v>
      </c>
      <c r="N440" s="1" t="s">
        <v>13</v>
      </c>
      <c r="O440" s="1" t="s">
        <v>3999</v>
      </c>
      <c r="P440" s="1" t="s">
        <v>13</v>
      </c>
      <c r="Q440" s="1" t="s">
        <v>4044</v>
      </c>
      <c r="R440" s="1" t="s">
        <v>4037</v>
      </c>
      <c r="S440" s="1" t="s">
        <v>3989</v>
      </c>
      <c r="T440" s="4">
        <v>2.5</v>
      </c>
    </row>
    <row r="441" spans="1:20">
      <c r="A441" s="1" t="s">
        <v>3981</v>
      </c>
      <c r="B441" s="1" t="s">
        <v>301</v>
      </c>
      <c r="C441" s="1" t="s">
        <v>3982</v>
      </c>
      <c r="D441" s="1" t="s">
        <v>425</v>
      </c>
      <c r="E441" s="2">
        <v>45765</v>
      </c>
      <c r="F441" s="2">
        <v>45758</v>
      </c>
      <c r="G441" s="1" t="s">
        <v>3983</v>
      </c>
      <c r="H441" s="3" t="s">
        <v>32</v>
      </c>
      <c r="I441" s="1" t="s">
        <v>3984</v>
      </c>
      <c r="J441" s="1" t="s">
        <v>12</v>
      </c>
      <c r="K441" s="3" t="s">
        <v>3995</v>
      </c>
      <c r="L441" s="1" t="s">
        <v>3987</v>
      </c>
      <c r="M441" s="1" t="s">
        <v>3996</v>
      </c>
      <c r="N441" s="1" t="s">
        <v>13</v>
      </c>
      <c r="O441" s="1" t="s">
        <v>3996</v>
      </c>
      <c r="P441" s="1" t="s">
        <v>13</v>
      </c>
      <c r="Q441" s="1" t="s">
        <v>14</v>
      </c>
      <c r="R441" s="1" t="s">
        <v>54</v>
      </c>
      <c r="S441" s="1" t="s">
        <v>3989</v>
      </c>
      <c r="T441" s="4">
        <v>7.5</v>
      </c>
    </row>
    <row r="442" spans="1:20">
      <c r="A442" s="1" t="s">
        <v>3981</v>
      </c>
      <c r="B442" s="1" t="s">
        <v>301</v>
      </c>
      <c r="C442" s="1" t="s">
        <v>3982</v>
      </c>
      <c r="D442" s="1" t="s">
        <v>425</v>
      </c>
      <c r="E442" s="2">
        <v>45765</v>
      </c>
      <c r="F442" s="2">
        <v>45758</v>
      </c>
      <c r="G442" s="1" t="s">
        <v>3983</v>
      </c>
      <c r="H442" s="3" t="s">
        <v>32</v>
      </c>
      <c r="I442" s="1" t="s">
        <v>3984</v>
      </c>
      <c r="J442" s="1" t="s">
        <v>12</v>
      </c>
      <c r="K442" s="3" t="s">
        <v>3995</v>
      </c>
      <c r="L442" s="1" t="s">
        <v>3987</v>
      </c>
      <c r="M442" s="1" t="s">
        <v>3996</v>
      </c>
      <c r="N442" s="1" t="s">
        <v>13</v>
      </c>
      <c r="O442" s="1" t="s">
        <v>3996</v>
      </c>
      <c r="P442" s="1" t="s">
        <v>13</v>
      </c>
      <c r="Q442" s="1" t="s">
        <v>14</v>
      </c>
      <c r="R442" s="1" t="s">
        <v>42</v>
      </c>
      <c r="S442" s="1" t="s">
        <v>3989</v>
      </c>
      <c r="T442" s="4">
        <v>2</v>
      </c>
    </row>
    <row r="443" spans="1:20">
      <c r="A443" s="1" t="s">
        <v>3981</v>
      </c>
      <c r="B443" s="1" t="s">
        <v>301</v>
      </c>
      <c r="C443" s="1" t="s">
        <v>3982</v>
      </c>
      <c r="D443" s="1" t="s">
        <v>425</v>
      </c>
      <c r="E443" s="2">
        <v>45765</v>
      </c>
      <c r="F443" s="2">
        <v>45758</v>
      </c>
      <c r="G443" s="1" t="s">
        <v>3983</v>
      </c>
      <c r="H443" s="3" t="s">
        <v>32</v>
      </c>
      <c r="I443" s="1" t="s">
        <v>3984</v>
      </c>
      <c r="J443" s="1" t="s">
        <v>12</v>
      </c>
      <c r="K443" s="3" t="s">
        <v>3995</v>
      </c>
      <c r="L443" s="1" t="s">
        <v>3987</v>
      </c>
      <c r="M443" s="1" t="s">
        <v>3996</v>
      </c>
      <c r="N443" s="1" t="s">
        <v>13</v>
      </c>
      <c r="O443" s="1" t="s">
        <v>3996</v>
      </c>
      <c r="P443" s="1" t="s">
        <v>13</v>
      </c>
      <c r="Q443" s="1" t="s">
        <v>44</v>
      </c>
      <c r="R443" s="1" t="s">
        <v>47</v>
      </c>
      <c r="S443" s="1" t="s">
        <v>3989</v>
      </c>
      <c r="T443" s="4">
        <v>25</v>
      </c>
    </row>
    <row r="444" spans="1:20">
      <c r="A444" s="1" t="s">
        <v>3981</v>
      </c>
      <c r="B444" s="1" t="s">
        <v>301</v>
      </c>
      <c r="C444" s="1" t="s">
        <v>3982</v>
      </c>
      <c r="D444" s="1" t="s">
        <v>425</v>
      </c>
      <c r="E444" s="2">
        <v>45765</v>
      </c>
      <c r="F444" s="2">
        <v>45758</v>
      </c>
      <c r="G444" s="1" t="s">
        <v>3990</v>
      </c>
      <c r="H444" s="3" t="s">
        <v>11</v>
      </c>
      <c r="I444" s="1" t="s">
        <v>3984</v>
      </c>
      <c r="J444" s="1" t="s">
        <v>3985</v>
      </c>
      <c r="K444" s="3" t="s">
        <v>3986</v>
      </c>
      <c r="L444" s="1" t="s">
        <v>3987</v>
      </c>
      <c r="M444" s="1" t="s">
        <v>13</v>
      </c>
      <c r="N444" s="1" t="s">
        <v>13</v>
      </c>
      <c r="O444" s="1" t="s">
        <v>3988</v>
      </c>
      <c r="P444" s="1" t="s">
        <v>13</v>
      </c>
      <c r="Q444" s="1" t="s">
        <v>13</v>
      </c>
      <c r="R444" s="1" t="s">
        <v>13</v>
      </c>
      <c r="S444" s="1" t="s">
        <v>3994</v>
      </c>
      <c r="T444" s="4">
        <v>9.5</v>
      </c>
    </row>
    <row r="445" spans="1:20">
      <c r="A445" s="1" t="s">
        <v>3981</v>
      </c>
      <c r="B445" s="1" t="s">
        <v>301</v>
      </c>
      <c r="C445" s="1" t="s">
        <v>3982</v>
      </c>
      <c r="D445" s="1" t="s">
        <v>425</v>
      </c>
      <c r="E445" s="2">
        <v>45765</v>
      </c>
      <c r="F445" s="2">
        <v>45758</v>
      </c>
      <c r="G445" s="1" t="s">
        <v>3990</v>
      </c>
      <c r="H445" s="3" t="s">
        <v>11</v>
      </c>
      <c r="I445" s="1" t="s">
        <v>3984</v>
      </c>
      <c r="J445" s="1" t="s">
        <v>12</v>
      </c>
      <c r="K445" s="3" t="s">
        <v>3995</v>
      </c>
      <c r="L445" s="1" t="s">
        <v>3987</v>
      </c>
      <c r="M445" s="1" t="s">
        <v>3996</v>
      </c>
      <c r="N445" s="1" t="s">
        <v>13</v>
      </c>
      <c r="O445" s="1" t="s">
        <v>3996</v>
      </c>
      <c r="P445" s="1" t="s">
        <v>13</v>
      </c>
      <c r="Q445" s="1" t="s">
        <v>14</v>
      </c>
      <c r="R445" s="1" t="s">
        <v>15</v>
      </c>
      <c r="S445" s="1" t="s">
        <v>3994</v>
      </c>
      <c r="T445" s="4">
        <v>2.2999999999999998</v>
      </c>
    </row>
    <row r="446" spans="1:20">
      <c r="A446" s="1" t="s">
        <v>3981</v>
      </c>
      <c r="B446" s="1" t="s">
        <v>301</v>
      </c>
      <c r="C446" s="1" t="s">
        <v>3982</v>
      </c>
      <c r="D446" s="1" t="s">
        <v>425</v>
      </c>
      <c r="E446" s="2">
        <v>45765</v>
      </c>
      <c r="F446" s="2">
        <v>45758</v>
      </c>
      <c r="G446" s="1" t="s">
        <v>3990</v>
      </c>
      <c r="H446" s="3" t="s">
        <v>11</v>
      </c>
      <c r="I446" s="1" t="s">
        <v>3984</v>
      </c>
      <c r="J446" s="1" t="s">
        <v>12</v>
      </c>
      <c r="K446" s="3" t="s">
        <v>3995</v>
      </c>
      <c r="L446" s="1" t="s">
        <v>3987</v>
      </c>
      <c r="M446" s="1" t="s">
        <v>3996</v>
      </c>
      <c r="N446" s="1" t="s">
        <v>13</v>
      </c>
      <c r="O446" s="1" t="s">
        <v>3996</v>
      </c>
      <c r="P446" s="1" t="s">
        <v>13</v>
      </c>
      <c r="Q446" s="1" t="s">
        <v>28</v>
      </c>
      <c r="R446" s="1" t="s">
        <v>43</v>
      </c>
      <c r="S446" s="1" t="s">
        <v>3994</v>
      </c>
      <c r="T446" s="4">
        <v>1</v>
      </c>
    </row>
    <row r="447" spans="1:20">
      <c r="A447" s="1" t="s">
        <v>3981</v>
      </c>
      <c r="B447" s="1" t="s">
        <v>301</v>
      </c>
      <c r="C447" s="1" t="s">
        <v>3982</v>
      </c>
      <c r="D447" s="1" t="s">
        <v>425</v>
      </c>
      <c r="E447" s="2">
        <v>45765</v>
      </c>
      <c r="F447" s="2">
        <v>45758</v>
      </c>
      <c r="G447" s="1" t="s">
        <v>3990</v>
      </c>
      <c r="H447" s="3" t="s">
        <v>11</v>
      </c>
      <c r="I447" s="1" t="s">
        <v>3984</v>
      </c>
      <c r="J447" s="1" t="s">
        <v>12</v>
      </c>
      <c r="K447" s="3" t="s">
        <v>3995</v>
      </c>
      <c r="L447" s="1" t="s">
        <v>3987</v>
      </c>
      <c r="M447" s="1" t="s">
        <v>3996</v>
      </c>
      <c r="N447" s="1" t="s">
        <v>13</v>
      </c>
      <c r="O447" s="1" t="s">
        <v>3996</v>
      </c>
      <c r="P447" s="1" t="s">
        <v>13</v>
      </c>
      <c r="Q447" s="1" t="s">
        <v>44</v>
      </c>
      <c r="R447" s="1" t="s">
        <v>64</v>
      </c>
      <c r="S447" s="1" t="s">
        <v>3994</v>
      </c>
      <c r="T447" s="4">
        <v>0.9</v>
      </c>
    </row>
    <row r="448" spans="1:20">
      <c r="A448" s="1" t="s">
        <v>3981</v>
      </c>
      <c r="B448" s="1" t="s">
        <v>301</v>
      </c>
      <c r="C448" s="1" t="s">
        <v>3982</v>
      </c>
      <c r="D448" s="1" t="s">
        <v>425</v>
      </c>
      <c r="E448" s="2">
        <v>45765</v>
      </c>
      <c r="F448" s="2">
        <v>45758</v>
      </c>
      <c r="G448" s="1" t="s">
        <v>3990</v>
      </c>
      <c r="H448" s="3" t="s">
        <v>11</v>
      </c>
      <c r="I448" s="1" t="s">
        <v>3984</v>
      </c>
      <c r="J448" s="1" t="s">
        <v>12</v>
      </c>
      <c r="K448" s="3" t="s">
        <v>3995</v>
      </c>
      <c r="L448" s="1" t="s">
        <v>3987</v>
      </c>
      <c r="M448" s="1" t="s">
        <v>3996</v>
      </c>
      <c r="N448" s="1" t="s">
        <v>13</v>
      </c>
      <c r="O448" s="1" t="s">
        <v>3996</v>
      </c>
      <c r="P448" s="1" t="s">
        <v>13</v>
      </c>
      <c r="Q448" s="1" t="s">
        <v>44</v>
      </c>
      <c r="R448" s="1" t="s">
        <v>45</v>
      </c>
      <c r="S448" s="1" t="s">
        <v>3994</v>
      </c>
      <c r="T448" s="4">
        <v>2</v>
      </c>
    </row>
    <row r="449" spans="1:20">
      <c r="A449" s="1" t="s">
        <v>3981</v>
      </c>
      <c r="B449" s="1" t="s">
        <v>301</v>
      </c>
      <c r="C449" s="1" t="s">
        <v>3982</v>
      </c>
      <c r="D449" s="1" t="s">
        <v>425</v>
      </c>
      <c r="E449" s="2">
        <v>45765</v>
      </c>
      <c r="F449" s="2">
        <v>45758</v>
      </c>
      <c r="G449" s="1" t="s">
        <v>3990</v>
      </c>
      <c r="H449" s="3" t="s">
        <v>11</v>
      </c>
      <c r="I449" s="1" t="s">
        <v>3984</v>
      </c>
      <c r="J449" s="1" t="s">
        <v>12</v>
      </c>
      <c r="K449" s="3" t="s">
        <v>3995</v>
      </c>
      <c r="L449" s="1" t="s">
        <v>3987</v>
      </c>
      <c r="M449" s="1" t="s">
        <v>4017</v>
      </c>
      <c r="N449" s="1" t="s">
        <v>4018</v>
      </c>
      <c r="O449" s="1" t="s">
        <v>13</v>
      </c>
      <c r="P449" s="1" t="s">
        <v>13</v>
      </c>
      <c r="Q449" s="1" t="s">
        <v>4019</v>
      </c>
      <c r="R449" s="1" t="s">
        <v>4019</v>
      </c>
      <c r="S449" s="1" t="s">
        <v>3994</v>
      </c>
      <c r="T449" s="4">
        <v>2</v>
      </c>
    </row>
    <row r="450" spans="1:20">
      <c r="A450" s="1" t="s">
        <v>3981</v>
      </c>
      <c r="B450" s="1" t="s">
        <v>301</v>
      </c>
      <c r="C450" s="1" t="s">
        <v>3982</v>
      </c>
      <c r="D450" s="1" t="s">
        <v>425</v>
      </c>
      <c r="E450" s="2">
        <v>45765</v>
      </c>
      <c r="F450" s="2">
        <v>45758</v>
      </c>
      <c r="G450" s="1" t="s">
        <v>3990</v>
      </c>
      <c r="H450" s="3" t="s">
        <v>11</v>
      </c>
      <c r="I450" s="1" t="s">
        <v>3984</v>
      </c>
      <c r="J450" s="1" t="s">
        <v>12</v>
      </c>
      <c r="K450" s="3" t="s">
        <v>3995</v>
      </c>
      <c r="L450" s="1" t="s">
        <v>3987</v>
      </c>
      <c r="M450" s="1" t="s">
        <v>4055</v>
      </c>
      <c r="N450" s="1" t="s">
        <v>4056</v>
      </c>
      <c r="O450" s="1" t="s">
        <v>13</v>
      </c>
      <c r="P450" s="1" t="s">
        <v>13</v>
      </c>
      <c r="Q450" s="1" t="s">
        <v>4057</v>
      </c>
      <c r="R450" s="1" t="s">
        <v>4023</v>
      </c>
      <c r="S450" s="1" t="s">
        <v>3994</v>
      </c>
      <c r="T450" s="4">
        <v>4</v>
      </c>
    </row>
    <row r="451" spans="1:20">
      <c r="A451" s="1" t="s">
        <v>3981</v>
      </c>
      <c r="B451" s="1" t="s">
        <v>301</v>
      </c>
      <c r="C451" s="1" t="s">
        <v>3982</v>
      </c>
      <c r="D451" s="1" t="s">
        <v>425</v>
      </c>
      <c r="E451" s="2">
        <v>45765</v>
      </c>
      <c r="F451" s="2">
        <v>45758</v>
      </c>
      <c r="G451" s="1" t="s">
        <v>3990</v>
      </c>
      <c r="H451" s="3" t="s">
        <v>11</v>
      </c>
      <c r="I451" s="1" t="s">
        <v>3984</v>
      </c>
      <c r="J451" s="1" t="s">
        <v>12</v>
      </c>
      <c r="K451" s="3" t="s">
        <v>3995</v>
      </c>
      <c r="L451" s="1" t="s">
        <v>4032</v>
      </c>
      <c r="M451" s="1" t="s">
        <v>4033</v>
      </c>
      <c r="N451" s="1" t="s">
        <v>13</v>
      </c>
      <c r="O451" s="1" t="s">
        <v>4033</v>
      </c>
      <c r="P451" s="1" t="s">
        <v>13</v>
      </c>
      <c r="Q451" s="1" t="s">
        <v>4034</v>
      </c>
      <c r="R451" s="1" t="s">
        <v>4001</v>
      </c>
      <c r="S451" s="1" t="s">
        <v>3994</v>
      </c>
      <c r="T451" s="4">
        <v>14.3</v>
      </c>
    </row>
    <row r="452" spans="1:20">
      <c r="A452" s="1" t="s">
        <v>3981</v>
      </c>
      <c r="B452" s="1" t="s">
        <v>301</v>
      </c>
      <c r="C452" s="1" t="s">
        <v>3982</v>
      </c>
      <c r="D452" s="1" t="s">
        <v>425</v>
      </c>
      <c r="E452" s="2">
        <v>45765</v>
      </c>
      <c r="F452" s="2">
        <v>45758</v>
      </c>
      <c r="G452" s="1" t="s">
        <v>3997</v>
      </c>
      <c r="H452" s="3" t="s">
        <v>41</v>
      </c>
      <c r="I452" s="1" t="s">
        <v>3984</v>
      </c>
      <c r="J452" s="1" t="s">
        <v>12</v>
      </c>
      <c r="K452" s="3" t="s">
        <v>3995</v>
      </c>
      <c r="L452" s="1" t="s">
        <v>3987</v>
      </c>
      <c r="M452" s="1" t="s">
        <v>3999</v>
      </c>
      <c r="N452" s="1" t="s">
        <v>13</v>
      </c>
      <c r="O452" s="1" t="s">
        <v>3999</v>
      </c>
      <c r="P452" s="1" t="s">
        <v>13</v>
      </c>
      <c r="Q452" s="1" t="s">
        <v>4000</v>
      </c>
      <c r="R452" s="1" t="s">
        <v>4001</v>
      </c>
      <c r="S452" s="1" t="s">
        <v>3998</v>
      </c>
      <c r="T452" s="4">
        <v>13.5</v>
      </c>
    </row>
    <row r="453" spans="1:20">
      <c r="A453" s="1" t="s">
        <v>3981</v>
      </c>
      <c r="B453" s="1" t="s">
        <v>301</v>
      </c>
      <c r="C453" s="1" t="s">
        <v>3982</v>
      </c>
      <c r="D453" s="1" t="s">
        <v>425</v>
      </c>
      <c r="E453" s="2">
        <v>45765</v>
      </c>
      <c r="F453" s="2">
        <v>45758</v>
      </c>
      <c r="G453" s="1" t="s">
        <v>3997</v>
      </c>
      <c r="H453" s="3" t="s">
        <v>41</v>
      </c>
      <c r="I453" s="1" t="s">
        <v>3984</v>
      </c>
      <c r="J453" s="1" t="s">
        <v>12</v>
      </c>
      <c r="K453" s="3" t="s">
        <v>3995</v>
      </c>
      <c r="L453" s="1" t="s">
        <v>3987</v>
      </c>
      <c r="M453" s="1" t="s">
        <v>3996</v>
      </c>
      <c r="N453" s="1" t="s">
        <v>13</v>
      </c>
      <c r="O453" s="1" t="s">
        <v>3996</v>
      </c>
      <c r="P453" s="1" t="s">
        <v>13</v>
      </c>
      <c r="Q453" s="1" t="s">
        <v>14</v>
      </c>
      <c r="R453" s="1" t="s">
        <v>15</v>
      </c>
      <c r="S453" s="1" t="s">
        <v>3998</v>
      </c>
      <c r="T453" s="4">
        <v>0.5</v>
      </c>
    </row>
    <row r="454" spans="1:20">
      <c r="A454" s="1" t="s">
        <v>3981</v>
      </c>
      <c r="B454" s="1" t="s">
        <v>301</v>
      </c>
      <c r="C454" s="1" t="s">
        <v>3982</v>
      </c>
      <c r="D454" s="1" t="s">
        <v>425</v>
      </c>
      <c r="E454" s="2">
        <v>45765</v>
      </c>
      <c r="F454" s="2">
        <v>45758</v>
      </c>
      <c r="G454" s="1" t="s">
        <v>3997</v>
      </c>
      <c r="H454" s="3" t="s">
        <v>41</v>
      </c>
      <c r="I454" s="1" t="s">
        <v>3984</v>
      </c>
      <c r="J454" s="1" t="s">
        <v>12</v>
      </c>
      <c r="K454" s="3" t="s">
        <v>3995</v>
      </c>
      <c r="L454" s="1" t="s">
        <v>3987</v>
      </c>
      <c r="M454" s="1" t="s">
        <v>3996</v>
      </c>
      <c r="N454" s="1" t="s">
        <v>13</v>
      </c>
      <c r="O454" s="1" t="s">
        <v>3996</v>
      </c>
      <c r="P454" s="1" t="s">
        <v>13</v>
      </c>
      <c r="Q454" s="1" t="s">
        <v>44</v>
      </c>
      <c r="R454" s="1" t="s">
        <v>48</v>
      </c>
      <c r="S454" s="1" t="s">
        <v>3998</v>
      </c>
      <c r="T454" s="4">
        <v>1</v>
      </c>
    </row>
    <row r="455" spans="1:20">
      <c r="A455" s="1" t="s">
        <v>3981</v>
      </c>
      <c r="B455" s="1" t="s">
        <v>301</v>
      </c>
      <c r="C455" s="1" t="s">
        <v>3982</v>
      </c>
      <c r="D455" s="1" t="s">
        <v>425</v>
      </c>
      <c r="E455" s="2">
        <v>45765</v>
      </c>
      <c r="F455" s="2">
        <v>45758</v>
      </c>
      <c r="G455" s="1" t="s">
        <v>3997</v>
      </c>
      <c r="H455" s="3" t="s">
        <v>41</v>
      </c>
      <c r="I455" s="1" t="s">
        <v>3984</v>
      </c>
      <c r="J455" s="1" t="s">
        <v>12</v>
      </c>
      <c r="K455" s="3" t="s">
        <v>3995</v>
      </c>
      <c r="L455" s="1" t="s">
        <v>3987</v>
      </c>
      <c r="M455" s="1" t="s">
        <v>4045</v>
      </c>
      <c r="N455" s="1" t="s">
        <v>13</v>
      </c>
      <c r="O455" s="1" t="s">
        <v>4045</v>
      </c>
      <c r="P455" s="1" t="s">
        <v>13</v>
      </c>
      <c r="Q455" s="1" t="s">
        <v>4046</v>
      </c>
      <c r="R455" s="1" t="s">
        <v>13</v>
      </c>
      <c r="S455" s="1" t="s">
        <v>3998</v>
      </c>
      <c r="T455" s="4">
        <v>0.5</v>
      </c>
    </row>
    <row r="456" spans="1:20">
      <c r="A456" s="1" t="s">
        <v>3981</v>
      </c>
      <c r="B456" s="1" t="s">
        <v>301</v>
      </c>
      <c r="C456" s="1" t="s">
        <v>3982</v>
      </c>
      <c r="D456" s="1" t="s">
        <v>425</v>
      </c>
      <c r="E456" s="2">
        <v>45765</v>
      </c>
      <c r="F456" s="2">
        <v>45758</v>
      </c>
      <c r="G456" s="1" t="s">
        <v>3997</v>
      </c>
      <c r="H456" s="3" t="s">
        <v>41</v>
      </c>
      <c r="I456" s="1" t="s">
        <v>3984</v>
      </c>
      <c r="J456" s="1" t="s">
        <v>12</v>
      </c>
      <c r="K456" s="3" t="s">
        <v>3995</v>
      </c>
      <c r="L456" s="1" t="s">
        <v>4002</v>
      </c>
      <c r="M456" s="1" t="s">
        <v>4003</v>
      </c>
      <c r="N456" s="1" t="s">
        <v>13</v>
      </c>
      <c r="O456" s="1" t="s">
        <v>4003</v>
      </c>
      <c r="P456" s="1" t="s">
        <v>13</v>
      </c>
      <c r="Q456" s="1" t="s">
        <v>4004</v>
      </c>
      <c r="R456" s="1" t="s">
        <v>4001</v>
      </c>
      <c r="S456" s="1" t="s">
        <v>3998</v>
      </c>
      <c r="T456" s="4">
        <v>23</v>
      </c>
    </row>
    <row r="457" spans="1:20">
      <c r="A457" s="1" t="s">
        <v>3981</v>
      </c>
      <c r="B457" s="1" t="s">
        <v>301</v>
      </c>
      <c r="C457" s="1" t="s">
        <v>3982</v>
      </c>
      <c r="D457" s="1" t="s">
        <v>425</v>
      </c>
      <c r="E457" s="2">
        <v>45765</v>
      </c>
      <c r="F457" s="2">
        <v>45758</v>
      </c>
      <c r="G457" s="1" t="s">
        <v>4005</v>
      </c>
      <c r="H457" s="3" t="s">
        <v>21</v>
      </c>
      <c r="I457" s="1" t="s">
        <v>3984</v>
      </c>
      <c r="J457" s="1" t="s">
        <v>12</v>
      </c>
      <c r="K457" s="3" t="s">
        <v>3995</v>
      </c>
      <c r="L457" s="1" t="s">
        <v>3987</v>
      </c>
      <c r="M457" s="1" t="s">
        <v>3996</v>
      </c>
      <c r="N457" s="1" t="s">
        <v>13</v>
      </c>
      <c r="O457" s="1" t="s">
        <v>3996</v>
      </c>
      <c r="P457" s="1" t="s">
        <v>13</v>
      </c>
      <c r="Q457" s="1" t="s">
        <v>14</v>
      </c>
      <c r="R457" s="1" t="s">
        <v>24</v>
      </c>
      <c r="S457" s="1" t="s">
        <v>4007</v>
      </c>
      <c r="T457" s="4">
        <v>15.9</v>
      </c>
    </row>
    <row r="458" spans="1:20">
      <c r="A458" s="1" t="s">
        <v>3981</v>
      </c>
      <c r="B458" s="1" t="s">
        <v>301</v>
      </c>
      <c r="C458" s="1" t="s">
        <v>3982</v>
      </c>
      <c r="D458" s="1" t="s">
        <v>425</v>
      </c>
      <c r="E458" s="2">
        <v>45765</v>
      </c>
      <c r="F458" s="2">
        <v>45758</v>
      </c>
      <c r="G458" s="1" t="s">
        <v>4005</v>
      </c>
      <c r="H458" s="3" t="s">
        <v>21</v>
      </c>
      <c r="I458" s="1" t="s">
        <v>3984</v>
      </c>
      <c r="J458" s="1" t="s">
        <v>12</v>
      </c>
      <c r="K458" s="3" t="s">
        <v>3995</v>
      </c>
      <c r="L458" s="1" t="s">
        <v>3987</v>
      </c>
      <c r="M458" s="1" t="s">
        <v>3996</v>
      </c>
      <c r="N458" s="1" t="s">
        <v>13</v>
      </c>
      <c r="O458" s="1" t="s">
        <v>3996</v>
      </c>
      <c r="P458" s="1" t="s">
        <v>13</v>
      </c>
      <c r="Q458" s="1" t="s">
        <v>14</v>
      </c>
      <c r="R458" s="1" t="s">
        <v>42</v>
      </c>
      <c r="S458" s="1" t="s">
        <v>4007</v>
      </c>
      <c r="T458" s="4">
        <v>0.5</v>
      </c>
    </row>
    <row r="459" spans="1:20">
      <c r="A459" s="1" t="s">
        <v>3981</v>
      </c>
      <c r="B459" s="1" t="s">
        <v>301</v>
      </c>
      <c r="C459" s="1" t="s">
        <v>3982</v>
      </c>
      <c r="D459" s="1" t="s">
        <v>425</v>
      </c>
      <c r="E459" s="2">
        <v>45765</v>
      </c>
      <c r="F459" s="2">
        <v>45758</v>
      </c>
      <c r="G459" s="1" t="s">
        <v>4005</v>
      </c>
      <c r="H459" s="3" t="s">
        <v>21</v>
      </c>
      <c r="I459" s="1" t="s">
        <v>3984</v>
      </c>
      <c r="J459" s="1" t="s">
        <v>12</v>
      </c>
      <c r="K459" s="3" t="s">
        <v>3995</v>
      </c>
      <c r="L459" s="1" t="s">
        <v>3987</v>
      </c>
      <c r="M459" s="1" t="s">
        <v>3996</v>
      </c>
      <c r="N459" s="1" t="s">
        <v>13</v>
      </c>
      <c r="O459" s="1" t="s">
        <v>3996</v>
      </c>
      <c r="P459" s="1" t="s">
        <v>13</v>
      </c>
      <c r="Q459" s="1" t="s">
        <v>28</v>
      </c>
      <c r="R459" s="1" t="s">
        <v>43</v>
      </c>
      <c r="S459" s="1" t="s">
        <v>4007</v>
      </c>
      <c r="T459" s="4">
        <v>16.5</v>
      </c>
    </row>
    <row r="460" spans="1:20">
      <c r="A460" s="1" t="s">
        <v>3981</v>
      </c>
      <c r="B460" s="1" t="s">
        <v>301</v>
      </c>
      <c r="C460" s="1" t="s">
        <v>3982</v>
      </c>
      <c r="D460" s="1" t="s">
        <v>425</v>
      </c>
      <c r="E460" s="2">
        <v>45765</v>
      </c>
      <c r="F460" s="2">
        <v>45758</v>
      </c>
      <c r="G460" s="1" t="s">
        <v>4005</v>
      </c>
      <c r="H460" s="3" t="s">
        <v>21</v>
      </c>
      <c r="I460" s="1" t="s">
        <v>3984</v>
      </c>
      <c r="J460" s="1" t="s">
        <v>12</v>
      </c>
      <c r="K460" s="3" t="s">
        <v>3995</v>
      </c>
      <c r="L460" s="1" t="s">
        <v>3987</v>
      </c>
      <c r="M460" s="1" t="s">
        <v>3996</v>
      </c>
      <c r="N460" s="1" t="s">
        <v>13</v>
      </c>
      <c r="O460" s="1" t="s">
        <v>3996</v>
      </c>
      <c r="P460" s="1" t="s">
        <v>13</v>
      </c>
      <c r="Q460" s="1" t="s">
        <v>28</v>
      </c>
      <c r="R460" s="1" t="s">
        <v>29</v>
      </c>
      <c r="S460" s="1" t="s">
        <v>4007</v>
      </c>
      <c r="T460" s="4">
        <v>4.3</v>
      </c>
    </row>
    <row r="461" spans="1:20">
      <c r="A461" s="1" t="s">
        <v>3981</v>
      </c>
      <c r="B461" s="1" t="s">
        <v>301</v>
      </c>
      <c r="C461" s="1" t="s">
        <v>3982</v>
      </c>
      <c r="D461" s="1" t="s">
        <v>425</v>
      </c>
      <c r="E461" s="2">
        <v>45765</v>
      </c>
      <c r="F461" s="2">
        <v>45758</v>
      </c>
      <c r="G461" s="1" t="s">
        <v>4008</v>
      </c>
      <c r="H461" s="3" t="s">
        <v>25</v>
      </c>
      <c r="I461" s="1" t="s">
        <v>3984</v>
      </c>
      <c r="J461" s="1" t="s">
        <v>3985</v>
      </c>
      <c r="K461" s="3" t="s">
        <v>3986</v>
      </c>
      <c r="L461" s="1" t="s">
        <v>3987</v>
      </c>
      <c r="M461" s="1" t="s">
        <v>13</v>
      </c>
      <c r="N461" s="1" t="s">
        <v>13</v>
      </c>
      <c r="O461" s="1" t="s">
        <v>3988</v>
      </c>
      <c r="P461" s="1" t="s">
        <v>13</v>
      </c>
      <c r="Q461" s="1" t="s">
        <v>13</v>
      </c>
      <c r="R461" s="1" t="s">
        <v>13</v>
      </c>
      <c r="S461" s="1" t="s">
        <v>4009</v>
      </c>
      <c r="T461" s="4">
        <v>6</v>
      </c>
    </row>
    <row r="462" spans="1:20">
      <c r="A462" s="1" t="s">
        <v>3981</v>
      </c>
      <c r="B462" s="1" t="s">
        <v>301</v>
      </c>
      <c r="C462" s="1" t="s">
        <v>3982</v>
      </c>
      <c r="D462" s="1" t="s">
        <v>425</v>
      </c>
      <c r="E462" s="2">
        <v>45765</v>
      </c>
      <c r="F462" s="2">
        <v>45758</v>
      </c>
      <c r="G462" s="1" t="s">
        <v>4008</v>
      </c>
      <c r="H462" s="3" t="s">
        <v>25</v>
      </c>
      <c r="I462" s="1" t="s">
        <v>3984</v>
      </c>
      <c r="J462" s="1" t="s">
        <v>12</v>
      </c>
      <c r="K462" s="3" t="s">
        <v>3995</v>
      </c>
      <c r="L462" s="1" t="s">
        <v>4013</v>
      </c>
      <c r="M462" s="1" t="s">
        <v>4014</v>
      </c>
      <c r="N462" s="1" t="s">
        <v>13</v>
      </c>
      <c r="O462" s="1" t="s">
        <v>4014</v>
      </c>
      <c r="P462" s="1" t="s">
        <v>13</v>
      </c>
      <c r="Q462" s="1" t="s">
        <v>13</v>
      </c>
      <c r="R462" s="1" t="s">
        <v>13</v>
      </c>
      <c r="S462" s="1" t="s">
        <v>4009</v>
      </c>
      <c r="T462" s="4">
        <v>0.3</v>
      </c>
    </row>
    <row r="463" spans="1:20">
      <c r="A463" s="1" t="s">
        <v>3981</v>
      </c>
      <c r="B463" s="1" t="s">
        <v>301</v>
      </c>
      <c r="C463" s="1" t="s">
        <v>3982</v>
      </c>
      <c r="D463" s="1" t="s">
        <v>425</v>
      </c>
      <c r="E463" s="2">
        <v>45765</v>
      </c>
      <c r="F463" s="2">
        <v>45758</v>
      </c>
      <c r="G463" s="1" t="s">
        <v>4008</v>
      </c>
      <c r="H463" s="3" t="s">
        <v>25</v>
      </c>
      <c r="I463" s="1" t="s">
        <v>3984</v>
      </c>
      <c r="J463" s="1" t="s">
        <v>12</v>
      </c>
      <c r="K463" s="3" t="s">
        <v>3995</v>
      </c>
      <c r="L463" s="1" t="s">
        <v>4013</v>
      </c>
      <c r="M463" s="1" t="s">
        <v>4042</v>
      </c>
      <c r="N463" s="1" t="s">
        <v>4043</v>
      </c>
      <c r="O463" s="1" t="s">
        <v>13</v>
      </c>
      <c r="P463" s="1" t="s">
        <v>13</v>
      </c>
      <c r="Q463" s="1" t="s">
        <v>13</v>
      </c>
      <c r="R463" s="1" t="s">
        <v>13</v>
      </c>
      <c r="S463" s="1" t="s">
        <v>4009</v>
      </c>
      <c r="T463" s="4">
        <v>1.7</v>
      </c>
    </row>
    <row r="464" spans="1:20">
      <c r="A464" s="1" t="s">
        <v>3981</v>
      </c>
      <c r="B464" s="1" t="s">
        <v>301</v>
      </c>
      <c r="C464" s="1" t="s">
        <v>3982</v>
      </c>
      <c r="D464" s="1" t="s">
        <v>425</v>
      </c>
      <c r="E464" s="2">
        <v>45765</v>
      </c>
      <c r="F464" s="2">
        <v>45758</v>
      </c>
      <c r="G464" s="1" t="s">
        <v>4008</v>
      </c>
      <c r="H464" s="3" t="s">
        <v>25</v>
      </c>
      <c r="I464" s="1" t="s">
        <v>3984</v>
      </c>
      <c r="J464" s="1" t="s">
        <v>12</v>
      </c>
      <c r="K464" s="3" t="s">
        <v>3995</v>
      </c>
      <c r="L464" s="1" t="s">
        <v>4013</v>
      </c>
      <c r="M464" s="1" t="s">
        <v>4015</v>
      </c>
      <c r="N464" s="1" t="s">
        <v>4016</v>
      </c>
      <c r="O464" s="1" t="s">
        <v>13</v>
      </c>
      <c r="P464" s="1" t="s">
        <v>13</v>
      </c>
      <c r="Q464" s="1" t="s">
        <v>13</v>
      </c>
      <c r="R464" s="1" t="s">
        <v>13</v>
      </c>
      <c r="S464" s="1" t="s">
        <v>4009</v>
      </c>
      <c r="T464" s="4">
        <v>1</v>
      </c>
    </row>
    <row r="465" spans="1:20">
      <c r="A465" s="1" t="s">
        <v>3981</v>
      </c>
      <c r="B465" s="1" t="s">
        <v>301</v>
      </c>
      <c r="C465" s="1" t="s">
        <v>3982</v>
      </c>
      <c r="D465" s="1" t="s">
        <v>425</v>
      </c>
      <c r="E465" s="2">
        <v>45765</v>
      </c>
      <c r="F465" s="2">
        <v>45758</v>
      </c>
      <c r="G465" s="1" t="s">
        <v>4008</v>
      </c>
      <c r="H465" s="3" t="s">
        <v>25</v>
      </c>
      <c r="I465" s="1" t="s">
        <v>3984</v>
      </c>
      <c r="J465" s="1" t="s">
        <v>12</v>
      </c>
      <c r="K465" s="3" t="s">
        <v>3995</v>
      </c>
      <c r="L465" s="1" t="s">
        <v>4013</v>
      </c>
      <c r="M465" s="1" t="s">
        <v>4053</v>
      </c>
      <c r="N465" s="1" t="s">
        <v>4054</v>
      </c>
      <c r="O465" s="1" t="s">
        <v>13</v>
      </c>
      <c r="P465" s="1" t="s">
        <v>13</v>
      </c>
      <c r="Q465" s="1" t="s">
        <v>13</v>
      </c>
      <c r="R465" s="1" t="s">
        <v>13</v>
      </c>
      <c r="S465" s="1" t="s">
        <v>4009</v>
      </c>
      <c r="T465" s="4">
        <v>2</v>
      </c>
    </row>
    <row r="466" spans="1:20">
      <c r="A466" s="1" t="s">
        <v>3981</v>
      </c>
      <c r="B466" s="1" t="s">
        <v>301</v>
      </c>
      <c r="C466" s="1" t="s">
        <v>3982</v>
      </c>
      <c r="D466" s="1" t="s">
        <v>425</v>
      </c>
      <c r="E466" s="2">
        <v>45765</v>
      </c>
      <c r="F466" s="2">
        <v>45758</v>
      </c>
      <c r="G466" s="1" t="s">
        <v>4008</v>
      </c>
      <c r="H466" s="3" t="s">
        <v>25</v>
      </c>
      <c r="I466" s="1" t="s">
        <v>3984</v>
      </c>
      <c r="J466" s="1" t="s">
        <v>12</v>
      </c>
      <c r="K466" s="3" t="s">
        <v>3995</v>
      </c>
      <c r="L466" s="1" t="s">
        <v>3987</v>
      </c>
      <c r="M466" s="1" t="s">
        <v>3996</v>
      </c>
      <c r="N466" s="1" t="s">
        <v>13</v>
      </c>
      <c r="O466" s="1" t="s">
        <v>3996</v>
      </c>
      <c r="P466" s="1" t="s">
        <v>13</v>
      </c>
      <c r="Q466" s="1" t="s">
        <v>28</v>
      </c>
      <c r="R466" s="1" t="s">
        <v>29</v>
      </c>
      <c r="S466" s="1" t="s">
        <v>4009</v>
      </c>
      <c r="T466" s="4">
        <v>2</v>
      </c>
    </row>
    <row r="467" spans="1:20">
      <c r="A467" s="1" t="s">
        <v>3981</v>
      </c>
      <c r="B467" s="1" t="s">
        <v>301</v>
      </c>
      <c r="C467" s="1" t="s">
        <v>3982</v>
      </c>
      <c r="D467" s="1" t="s">
        <v>425</v>
      </c>
      <c r="E467" s="2">
        <v>45765</v>
      </c>
      <c r="F467" s="2">
        <v>45758</v>
      </c>
      <c r="G467" s="1" t="s">
        <v>4008</v>
      </c>
      <c r="H467" s="3" t="s">
        <v>25</v>
      </c>
      <c r="I467" s="1" t="s">
        <v>3984</v>
      </c>
      <c r="J467" s="1" t="s">
        <v>12</v>
      </c>
      <c r="K467" s="3" t="s">
        <v>3995</v>
      </c>
      <c r="L467" s="1" t="s">
        <v>3987</v>
      </c>
      <c r="M467" s="1" t="s">
        <v>3996</v>
      </c>
      <c r="N467" s="1" t="s">
        <v>13</v>
      </c>
      <c r="O467" s="1" t="s">
        <v>3996</v>
      </c>
      <c r="P467" s="1" t="s">
        <v>13</v>
      </c>
      <c r="Q467" s="1" t="s">
        <v>44</v>
      </c>
      <c r="R467" s="1" t="s">
        <v>45</v>
      </c>
      <c r="S467" s="1" t="s">
        <v>4009</v>
      </c>
      <c r="T467" s="4">
        <v>5.3</v>
      </c>
    </row>
    <row r="468" spans="1:20">
      <c r="A468" s="1" t="s">
        <v>3981</v>
      </c>
      <c r="B468" s="1" t="s">
        <v>301</v>
      </c>
      <c r="C468" s="1" t="s">
        <v>3982</v>
      </c>
      <c r="D468" s="1" t="s">
        <v>425</v>
      </c>
      <c r="E468" s="2">
        <v>45765</v>
      </c>
      <c r="F468" s="2">
        <v>45758</v>
      </c>
      <c r="G468" s="1" t="s">
        <v>4008</v>
      </c>
      <c r="H468" s="3" t="s">
        <v>25</v>
      </c>
      <c r="I468" s="1" t="s">
        <v>3984</v>
      </c>
      <c r="J468" s="1" t="s">
        <v>12</v>
      </c>
      <c r="K468" s="3" t="s">
        <v>3995</v>
      </c>
      <c r="L468" s="1" t="s">
        <v>3987</v>
      </c>
      <c r="M468" s="1" t="s">
        <v>3996</v>
      </c>
      <c r="N468" s="1" t="s">
        <v>13</v>
      </c>
      <c r="O468" s="1" t="s">
        <v>3996</v>
      </c>
      <c r="P468" s="1" t="s">
        <v>13</v>
      </c>
      <c r="Q468" s="1" t="s">
        <v>38</v>
      </c>
      <c r="R468" s="1" t="s">
        <v>46</v>
      </c>
      <c r="S468" s="1" t="s">
        <v>4009</v>
      </c>
      <c r="T468" s="4">
        <v>1.5</v>
      </c>
    </row>
    <row r="469" spans="1:20">
      <c r="A469" s="1" t="s">
        <v>3981</v>
      </c>
      <c r="B469" s="1" t="s">
        <v>301</v>
      </c>
      <c r="C469" s="1" t="s">
        <v>3982</v>
      </c>
      <c r="D469" s="1" t="s">
        <v>425</v>
      </c>
      <c r="E469" s="2">
        <v>45765</v>
      </c>
      <c r="F469" s="2">
        <v>45758</v>
      </c>
      <c r="G469" s="1" t="s">
        <v>4008</v>
      </c>
      <c r="H469" s="3" t="s">
        <v>25</v>
      </c>
      <c r="I469" s="1" t="s">
        <v>3984</v>
      </c>
      <c r="J469" s="1" t="s">
        <v>12</v>
      </c>
      <c r="K469" s="3" t="s">
        <v>3995</v>
      </c>
      <c r="L469" s="1" t="s">
        <v>3987</v>
      </c>
      <c r="M469" s="1" t="s">
        <v>3996</v>
      </c>
      <c r="N469" s="1" t="s">
        <v>13</v>
      </c>
      <c r="O469" s="1" t="s">
        <v>3996</v>
      </c>
      <c r="P469" s="1" t="s">
        <v>13</v>
      </c>
      <c r="Q469" s="1" t="s">
        <v>38</v>
      </c>
      <c r="R469" s="1" t="s">
        <v>51</v>
      </c>
      <c r="S469" s="1" t="s">
        <v>4009</v>
      </c>
      <c r="T469" s="4">
        <v>0.5</v>
      </c>
    </row>
    <row r="470" spans="1:20">
      <c r="A470" s="1" t="s">
        <v>3981</v>
      </c>
      <c r="B470" s="1" t="s">
        <v>301</v>
      </c>
      <c r="C470" s="1" t="s">
        <v>3982</v>
      </c>
      <c r="D470" s="1" t="s">
        <v>425</v>
      </c>
      <c r="E470" s="2">
        <v>45765</v>
      </c>
      <c r="F470" s="2">
        <v>45758</v>
      </c>
      <c r="G470" s="1" t="s">
        <v>4008</v>
      </c>
      <c r="H470" s="3" t="s">
        <v>25</v>
      </c>
      <c r="I470" s="1" t="s">
        <v>3984</v>
      </c>
      <c r="J470" s="1" t="s">
        <v>12</v>
      </c>
      <c r="K470" s="3" t="s">
        <v>3995</v>
      </c>
      <c r="L470" s="1" t="s">
        <v>3987</v>
      </c>
      <c r="M470" s="1" t="s">
        <v>3996</v>
      </c>
      <c r="N470" s="1" t="s">
        <v>13</v>
      </c>
      <c r="O470" s="1" t="s">
        <v>3996</v>
      </c>
      <c r="P470" s="1" t="s">
        <v>13</v>
      </c>
      <c r="Q470" s="1" t="s">
        <v>38</v>
      </c>
      <c r="R470" s="1" t="s">
        <v>52</v>
      </c>
      <c r="S470" s="1" t="s">
        <v>4009</v>
      </c>
      <c r="T470" s="4">
        <v>0.5</v>
      </c>
    </row>
    <row r="471" spans="1:20">
      <c r="A471" s="1" t="s">
        <v>3981</v>
      </c>
      <c r="B471" s="1" t="s">
        <v>301</v>
      </c>
      <c r="C471" s="1" t="s">
        <v>3982</v>
      </c>
      <c r="D471" s="1" t="s">
        <v>425</v>
      </c>
      <c r="E471" s="2">
        <v>45765</v>
      </c>
      <c r="F471" s="2">
        <v>45758</v>
      </c>
      <c r="G471" s="1" t="s">
        <v>4008</v>
      </c>
      <c r="H471" s="3" t="s">
        <v>25</v>
      </c>
      <c r="I471" s="1" t="s">
        <v>3984</v>
      </c>
      <c r="J471" s="1" t="s">
        <v>12</v>
      </c>
      <c r="K471" s="3" t="s">
        <v>3995</v>
      </c>
      <c r="L471" s="1" t="s">
        <v>3987</v>
      </c>
      <c r="M471" s="1" t="s">
        <v>3996</v>
      </c>
      <c r="N471" s="1" t="s">
        <v>13</v>
      </c>
      <c r="O471" s="1" t="s">
        <v>3996</v>
      </c>
      <c r="P471" s="1" t="s">
        <v>13</v>
      </c>
      <c r="Q471" s="1" t="s">
        <v>30</v>
      </c>
      <c r="R471" s="1" t="s">
        <v>67</v>
      </c>
      <c r="S471" s="1" t="s">
        <v>4009</v>
      </c>
      <c r="T471" s="4">
        <v>4.5999999999999996</v>
      </c>
    </row>
    <row r="472" spans="1:20">
      <c r="A472" s="1" t="s">
        <v>3981</v>
      </c>
      <c r="B472" s="1" t="s">
        <v>301</v>
      </c>
      <c r="C472" s="1" t="s">
        <v>3982</v>
      </c>
      <c r="D472" s="1" t="s">
        <v>425</v>
      </c>
      <c r="E472" s="2">
        <v>45765</v>
      </c>
      <c r="F472" s="2">
        <v>45758</v>
      </c>
      <c r="G472" s="1" t="s">
        <v>4008</v>
      </c>
      <c r="H472" s="3" t="s">
        <v>25</v>
      </c>
      <c r="I472" s="1" t="s">
        <v>3984</v>
      </c>
      <c r="J472" s="1" t="s">
        <v>12</v>
      </c>
      <c r="K472" s="3" t="s">
        <v>3995</v>
      </c>
      <c r="L472" s="1" t="s">
        <v>3987</v>
      </c>
      <c r="M472" s="1" t="s">
        <v>3996</v>
      </c>
      <c r="N472" s="1" t="s">
        <v>13</v>
      </c>
      <c r="O472" s="1" t="s">
        <v>3996</v>
      </c>
      <c r="P472" s="1" t="s">
        <v>13</v>
      </c>
      <c r="Q472" s="1" t="s">
        <v>30</v>
      </c>
      <c r="R472" s="1" t="s">
        <v>62</v>
      </c>
      <c r="S472" s="1" t="s">
        <v>4009</v>
      </c>
      <c r="T472" s="4">
        <v>6.1</v>
      </c>
    </row>
    <row r="473" spans="1:20">
      <c r="A473" s="1" t="s">
        <v>3981</v>
      </c>
      <c r="B473" s="1" t="s">
        <v>301</v>
      </c>
      <c r="C473" s="1" t="s">
        <v>3982</v>
      </c>
      <c r="D473" s="1" t="s">
        <v>425</v>
      </c>
      <c r="E473" s="2">
        <v>45765</v>
      </c>
      <c r="F473" s="2">
        <v>45758</v>
      </c>
      <c r="G473" s="1" t="s">
        <v>4008</v>
      </c>
      <c r="H473" s="3" t="s">
        <v>25</v>
      </c>
      <c r="I473" s="1" t="s">
        <v>3984</v>
      </c>
      <c r="J473" s="1" t="s">
        <v>12</v>
      </c>
      <c r="K473" s="3" t="s">
        <v>3995</v>
      </c>
      <c r="L473" s="1" t="s">
        <v>3987</v>
      </c>
      <c r="M473" s="1" t="s">
        <v>3996</v>
      </c>
      <c r="N473" s="1" t="s">
        <v>13</v>
      </c>
      <c r="O473" s="1" t="s">
        <v>3996</v>
      </c>
      <c r="P473" s="1" t="s">
        <v>13</v>
      </c>
      <c r="Q473" s="1" t="s">
        <v>30</v>
      </c>
      <c r="R473" s="1" t="s">
        <v>68</v>
      </c>
      <c r="S473" s="1" t="s">
        <v>4009</v>
      </c>
      <c r="T473" s="4">
        <v>4.5</v>
      </c>
    </row>
    <row r="474" spans="1:20">
      <c r="A474" s="1" t="s">
        <v>3981</v>
      </c>
      <c r="B474" s="1" t="s">
        <v>301</v>
      </c>
      <c r="C474" s="1" t="s">
        <v>3982</v>
      </c>
      <c r="D474" s="1" t="s">
        <v>425</v>
      </c>
      <c r="E474" s="2">
        <v>45765</v>
      </c>
      <c r="F474" s="2">
        <v>45765</v>
      </c>
      <c r="G474" s="1" t="s">
        <v>3983</v>
      </c>
      <c r="H474" s="3" t="s">
        <v>32</v>
      </c>
      <c r="I474" s="1" t="s">
        <v>3984</v>
      </c>
      <c r="J474" s="1" t="s">
        <v>12</v>
      </c>
      <c r="K474" s="3" t="s">
        <v>3995</v>
      </c>
      <c r="L474" s="1" t="s">
        <v>3987</v>
      </c>
      <c r="M474" s="1" t="s">
        <v>3999</v>
      </c>
      <c r="N474" s="1" t="s">
        <v>13</v>
      </c>
      <c r="O474" s="1" t="s">
        <v>3999</v>
      </c>
      <c r="P474" s="1" t="s">
        <v>13</v>
      </c>
      <c r="Q474" s="1" t="s">
        <v>4044</v>
      </c>
      <c r="R474" s="1" t="s">
        <v>4037</v>
      </c>
      <c r="S474" s="1" t="s">
        <v>3989</v>
      </c>
      <c r="T474" s="4">
        <v>1</v>
      </c>
    </row>
    <row r="475" spans="1:20">
      <c r="A475" s="1" t="s">
        <v>3981</v>
      </c>
      <c r="B475" s="1" t="s">
        <v>301</v>
      </c>
      <c r="C475" s="1" t="s">
        <v>3982</v>
      </c>
      <c r="D475" s="1" t="s">
        <v>425</v>
      </c>
      <c r="E475" s="2">
        <v>45765</v>
      </c>
      <c r="F475" s="2">
        <v>45765</v>
      </c>
      <c r="G475" s="1" t="s">
        <v>3983</v>
      </c>
      <c r="H475" s="3" t="s">
        <v>32</v>
      </c>
      <c r="I475" s="1" t="s">
        <v>3984</v>
      </c>
      <c r="J475" s="1" t="s">
        <v>12</v>
      </c>
      <c r="K475" s="3" t="s">
        <v>3995</v>
      </c>
      <c r="L475" s="1" t="s">
        <v>3987</v>
      </c>
      <c r="M475" s="1" t="s">
        <v>3996</v>
      </c>
      <c r="N475" s="1" t="s">
        <v>13</v>
      </c>
      <c r="O475" s="1" t="s">
        <v>3996</v>
      </c>
      <c r="P475" s="1" t="s">
        <v>13</v>
      </c>
      <c r="Q475" s="1" t="s">
        <v>44</v>
      </c>
      <c r="R475" s="1" t="s">
        <v>47</v>
      </c>
      <c r="S475" s="1" t="s">
        <v>3989</v>
      </c>
      <c r="T475" s="4">
        <v>42</v>
      </c>
    </row>
    <row r="476" spans="1:20">
      <c r="A476" s="1" t="s">
        <v>3981</v>
      </c>
      <c r="B476" s="1" t="s">
        <v>301</v>
      </c>
      <c r="C476" s="1" t="s">
        <v>3982</v>
      </c>
      <c r="D476" s="1" t="s">
        <v>425</v>
      </c>
      <c r="E476" s="2">
        <v>45765</v>
      </c>
      <c r="F476" s="2">
        <v>45765</v>
      </c>
      <c r="G476" s="1" t="s">
        <v>3990</v>
      </c>
      <c r="H476" s="3" t="s">
        <v>11</v>
      </c>
      <c r="I476" s="1" t="s">
        <v>3984</v>
      </c>
      <c r="J476" s="1" t="s">
        <v>3985</v>
      </c>
      <c r="K476" s="3" t="s">
        <v>3986</v>
      </c>
      <c r="L476" s="1" t="s">
        <v>3987</v>
      </c>
      <c r="M476" s="1" t="s">
        <v>13</v>
      </c>
      <c r="N476" s="1" t="s">
        <v>13</v>
      </c>
      <c r="O476" s="1" t="s">
        <v>3988</v>
      </c>
      <c r="P476" s="1" t="s">
        <v>13</v>
      </c>
      <c r="Q476" s="1" t="s">
        <v>13</v>
      </c>
      <c r="R476" s="1" t="s">
        <v>13</v>
      </c>
      <c r="S476" s="1" t="s">
        <v>3994</v>
      </c>
      <c r="T476" s="4">
        <v>9.1999999999999993</v>
      </c>
    </row>
    <row r="477" spans="1:20">
      <c r="A477" s="1" t="s">
        <v>3981</v>
      </c>
      <c r="B477" s="1" t="s">
        <v>301</v>
      </c>
      <c r="C477" s="1" t="s">
        <v>3982</v>
      </c>
      <c r="D477" s="1" t="s">
        <v>425</v>
      </c>
      <c r="E477" s="2">
        <v>45765</v>
      </c>
      <c r="F477" s="2">
        <v>45765</v>
      </c>
      <c r="G477" s="1" t="s">
        <v>3990</v>
      </c>
      <c r="H477" s="3" t="s">
        <v>11</v>
      </c>
      <c r="I477" s="1" t="s">
        <v>3984</v>
      </c>
      <c r="J477" s="1" t="s">
        <v>12</v>
      </c>
      <c r="K477" s="3" t="s">
        <v>3995</v>
      </c>
      <c r="L477" s="1" t="s">
        <v>3987</v>
      </c>
      <c r="M477" s="1" t="s">
        <v>3996</v>
      </c>
      <c r="N477" s="1" t="s">
        <v>13</v>
      </c>
      <c r="O477" s="1" t="s">
        <v>3996</v>
      </c>
      <c r="P477" s="1" t="s">
        <v>13</v>
      </c>
      <c r="Q477" s="1" t="s">
        <v>14</v>
      </c>
      <c r="R477" s="1" t="s">
        <v>64</v>
      </c>
      <c r="S477" s="1" t="s">
        <v>3994</v>
      </c>
      <c r="T477" s="4">
        <v>1.5</v>
      </c>
    </row>
    <row r="478" spans="1:20">
      <c r="A478" s="1" t="s">
        <v>3981</v>
      </c>
      <c r="B478" s="1" t="s">
        <v>301</v>
      </c>
      <c r="C478" s="1" t="s">
        <v>3982</v>
      </c>
      <c r="D478" s="1" t="s">
        <v>425</v>
      </c>
      <c r="E478" s="2">
        <v>45765</v>
      </c>
      <c r="F478" s="2">
        <v>45765</v>
      </c>
      <c r="G478" s="1" t="s">
        <v>3990</v>
      </c>
      <c r="H478" s="3" t="s">
        <v>11</v>
      </c>
      <c r="I478" s="1" t="s">
        <v>3984</v>
      </c>
      <c r="J478" s="1" t="s">
        <v>12</v>
      </c>
      <c r="K478" s="3" t="s">
        <v>3995</v>
      </c>
      <c r="L478" s="1" t="s">
        <v>3987</v>
      </c>
      <c r="M478" s="1" t="s">
        <v>3996</v>
      </c>
      <c r="N478" s="1" t="s">
        <v>13</v>
      </c>
      <c r="O478" s="1" t="s">
        <v>3996</v>
      </c>
      <c r="P478" s="1" t="s">
        <v>13</v>
      </c>
      <c r="Q478" s="1" t="s">
        <v>14</v>
      </c>
      <c r="R478" s="1" t="s">
        <v>37</v>
      </c>
      <c r="S478" s="1" t="s">
        <v>3994</v>
      </c>
      <c r="T478" s="4">
        <v>0.5</v>
      </c>
    </row>
    <row r="479" spans="1:20">
      <c r="A479" s="1" t="s">
        <v>3981</v>
      </c>
      <c r="B479" s="1" t="s">
        <v>301</v>
      </c>
      <c r="C479" s="1" t="s">
        <v>3982</v>
      </c>
      <c r="D479" s="1" t="s">
        <v>425</v>
      </c>
      <c r="E479" s="2">
        <v>45765</v>
      </c>
      <c r="F479" s="2">
        <v>45765</v>
      </c>
      <c r="G479" s="1" t="s">
        <v>3990</v>
      </c>
      <c r="H479" s="3" t="s">
        <v>11</v>
      </c>
      <c r="I479" s="1" t="s">
        <v>3984</v>
      </c>
      <c r="J479" s="1" t="s">
        <v>12</v>
      </c>
      <c r="K479" s="3" t="s">
        <v>3995</v>
      </c>
      <c r="L479" s="1" t="s">
        <v>3987</v>
      </c>
      <c r="M479" s="1" t="s">
        <v>3996</v>
      </c>
      <c r="N479" s="1" t="s">
        <v>13</v>
      </c>
      <c r="O479" s="1" t="s">
        <v>3996</v>
      </c>
      <c r="P479" s="1" t="s">
        <v>13</v>
      </c>
      <c r="Q479" s="1" t="s">
        <v>14</v>
      </c>
      <c r="R479" s="1" t="s">
        <v>15</v>
      </c>
      <c r="S479" s="1" t="s">
        <v>3994</v>
      </c>
      <c r="T479" s="4">
        <v>4.5999999999999996</v>
      </c>
    </row>
    <row r="480" spans="1:20">
      <c r="A480" s="1" t="s">
        <v>3981</v>
      </c>
      <c r="B480" s="1" t="s">
        <v>301</v>
      </c>
      <c r="C480" s="1" t="s">
        <v>3982</v>
      </c>
      <c r="D480" s="1" t="s">
        <v>425</v>
      </c>
      <c r="E480" s="2">
        <v>45765</v>
      </c>
      <c r="F480" s="2">
        <v>45765</v>
      </c>
      <c r="G480" s="1" t="s">
        <v>3990</v>
      </c>
      <c r="H480" s="3" t="s">
        <v>11</v>
      </c>
      <c r="I480" s="1" t="s">
        <v>3984</v>
      </c>
      <c r="J480" s="1" t="s">
        <v>12</v>
      </c>
      <c r="K480" s="3" t="s">
        <v>3995</v>
      </c>
      <c r="L480" s="1" t="s">
        <v>3987</v>
      </c>
      <c r="M480" s="1" t="s">
        <v>3996</v>
      </c>
      <c r="N480" s="1" t="s">
        <v>13</v>
      </c>
      <c r="O480" s="1" t="s">
        <v>3996</v>
      </c>
      <c r="P480" s="1" t="s">
        <v>13</v>
      </c>
      <c r="Q480" s="1" t="s">
        <v>28</v>
      </c>
      <c r="R480" s="1" t="s">
        <v>43</v>
      </c>
      <c r="S480" s="1" t="s">
        <v>3994</v>
      </c>
      <c r="T480" s="4">
        <v>6</v>
      </c>
    </row>
    <row r="481" spans="1:20">
      <c r="A481" s="1" t="s">
        <v>3981</v>
      </c>
      <c r="B481" s="1" t="s">
        <v>301</v>
      </c>
      <c r="C481" s="1" t="s">
        <v>3982</v>
      </c>
      <c r="D481" s="1" t="s">
        <v>425</v>
      </c>
      <c r="E481" s="2">
        <v>45765</v>
      </c>
      <c r="F481" s="2">
        <v>45765</v>
      </c>
      <c r="G481" s="1" t="s">
        <v>3990</v>
      </c>
      <c r="H481" s="3" t="s">
        <v>11</v>
      </c>
      <c r="I481" s="1" t="s">
        <v>3984</v>
      </c>
      <c r="J481" s="1" t="s">
        <v>12</v>
      </c>
      <c r="K481" s="3" t="s">
        <v>3995</v>
      </c>
      <c r="L481" s="1" t="s">
        <v>3987</v>
      </c>
      <c r="M481" s="1" t="s">
        <v>3996</v>
      </c>
      <c r="N481" s="1" t="s">
        <v>13</v>
      </c>
      <c r="O481" s="1" t="s">
        <v>3996</v>
      </c>
      <c r="P481" s="1" t="s">
        <v>13</v>
      </c>
      <c r="Q481" s="1" t="s">
        <v>44</v>
      </c>
      <c r="R481" s="1" t="s">
        <v>47</v>
      </c>
      <c r="S481" s="1" t="s">
        <v>3994</v>
      </c>
      <c r="T481" s="4">
        <v>0.6</v>
      </c>
    </row>
    <row r="482" spans="1:20">
      <c r="A482" s="1" t="s">
        <v>3981</v>
      </c>
      <c r="B482" s="1" t="s">
        <v>301</v>
      </c>
      <c r="C482" s="1" t="s">
        <v>3982</v>
      </c>
      <c r="D482" s="1" t="s">
        <v>425</v>
      </c>
      <c r="E482" s="2">
        <v>45765</v>
      </c>
      <c r="F482" s="2">
        <v>45765</v>
      </c>
      <c r="G482" s="1" t="s">
        <v>3990</v>
      </c>
      <c r="H482" s="3" t="s">
        <v>11</v>
      </c>
      <c r="I482" s="1" t="s">
        <v>3984</v>
      </c>
      <c r="J482" s="1" t="s">
        <v>12</v>
      </c>
      <c r="K482" s="3" t="s">
        <v>3995</v>
      </c>
      <c r="L482" s="1" t="s">
        <v>3987</v>
      </c>
      <c r="M482" s="1" t="s">
        <v>3996</v>
      </c>
      <c r="N482" s="1" t="s">
        <v>13</v>
      </c>
      <c r="O482" s="1" t="s">
        <v>3996</v>
      </c>
      <c r="P482" s="1" t="s">
        <v>13</v>
      </c>
      <c r="Q482" s="1" t="s">
        <v>38</v>
      </c>
      <c r="R482" s="1" t="s">
        <v>39</v>
      </c>
      <c r="S482" s="1" t="s">
        <v>3994</v>
      </c>
      <c r="T482" s="4">
        <v>1.8</v>
      </c>
    </row>
    <row r="483" spans="1:20">
      <c r="A483" s="1" t="s">
        <v>3981</v>
      </c>
      <c r="B483" s="1" t="s">
        <v>301</v>
      </c>
      <c r="C483" s="1" t="s">
        <v>3982</v>
      </c>
      <c r="D483" s="1" t="s">
        <v>425</v>
      </c>
      <c r="E483" s="2">
        <v>45765</v>
      </c>
      <c r="F483" s="2">
        <v>45765</v>
      </c>
      <c r="G483" s="1" t="s">
        <v>3990</v>
      </c>
      <c r="H483" s="3" t="s">
        <v>11</v>
      </c>
      <c r="I483" s="1" t="s">
        <v>3984</v>
      </c>
      <c r="J483" s="1" t="s">
        <v>12</v>
      </c>
      <c r="K483" s="3" t="s">
        <v>3995</v>
      </c>
      <c r="L483" s="1" t="s">
        <v>3987</v>
      </c>
      <c r="M483" s="1" t="s">
        <v>3996</v>
      </c>
      <c r="N483" s="1" t="s">
        <v>13</v>
      </c>
      <c r="O483" s="1" t="s">
        <v>3996</v>
      </c>
      <c r="P483" s="1" t="s">
        <v>13</v>
      </c>
      <c r="Q483" s="1" t="s">
        <v>19</v>
      </c>
      <c r="R483" s="1" t="s">
        <v>64</v>
      </c>
      <c r="S483" s="1" t="s">
        <v>3994</v>
      </c>
      <c r="T483" s="4">
        <v>3.2</v>
      </c>
    </row>
    <row r="484" spans="1:20">
      <c r="A484" s="1" t="s">
        <v>3981</v>
      </c>
      <c r="B484" s="1" t="s">
        <v>301</v>
      </c>
      <c r="C484" s="1" t="s">
        <v>3982</v>
      </c>
      <c r="D484" s="1" t="s">
        <v>425</v>
      </c>
      <c r="E484" s="2">
        <v>45765</v>
      </c>
      <c r="F484" s="2">
        <v>45765</v>
      </c>
      <c r="G484" s="1" t="s">
        <v>3990</v>
      </c>
      <c r="H484" s="3" t="s">
        <v>11</v>
      </c>
      <c r="I484" s="1" t="s">
        <v>3984</v>
      </c>
      <c r="J484" s="1" t="s">
        <v>12</v>
      </c>
      <c r="K484" s="3" t="s">
        <v>3995</v>
      </c>
      <c r="L484" s="1" t="s">
        <v>3987</v>
      </c>
      <c r="M484" s="1" t="s">
        <v>4029</v>
      </c>
      <c r="N484" s="1" t="s">
        <v>13</v>
      </c>
      <c r="O484" s="1" t="s">
        <v>4029</v>
      </c>
      <c r="P484" s="1" t="s">
        <v>13</v>
      </c>
      <c r="Q484" s="1" t="s">
        <v>4030</v>
      </c>
      <c r="R484" s="1" t="s">
        <v>4031</v>
      </c>
      <c r="S484" s="1" t="s">
        <v>3994</v>
      </c>
      <c r="T484" s="4">
        <v>1.3</v>
      </c>
    </row>
    <row r="485" spans="1:20">
      <c r="A485" s="1" t="s">
        <v>3981</v>
      </c>
      <c r="B485" s="1" t="s">
        <v>301</v>
      </c>
      <c r="C485" s="1" t="s">
        <v>3982</v>
      </c>
      <c r="D485" s="1" t="s">
        <v>425</v>
      </c>
      <c r="E485" s="2">
        <v>45765</v>
      </c>
      <c r="F485" s="2">
        <v>45765</v>
      </c>
      <c r="G485" s="1" t="s">
        <v>3990</v>
      </c>
      <c r="H485" s="3" t="s">
        <v>11</v>
      </c>
      <c r="I485" s="1" t="s">
        <v>3984</v>
      </c>
      <c r="J485" s="1" t="s">
        <v>12</v>
      </c>
      <c r="K485" s="3" t="s">
        <v>3995</v>
      </c>
      <c r="L485" s="1" t="s">
        <v>3987</v>
      </c>
      <c r="M485" s="1" t="s">
        <v>4055</v>
      </c>
      <c r="N485" s="1" t="s">
        <v>4056</v>
      </c>
      <c r="O485" s="1" t="s">
        <v>13</v>
      </c>
      <c r="P485" s="1" t="s">
        <v>13</v>
      </c>
      <c r="Q485" s="1" t="s">
        <v>4057</v>
      </c>
      <c r="R485" s="1" t="s">
        <v>4023</v>
      </c>
      <c r="S485" s="1" t="s">
        <v>3994</v>
      </c>
      <c r="T485" s="4">
        <v>2.9</v>
      </c>
    </row>
    <row r="486" spans="1:20">
      <c r="A486" s="1" t="s">
        <v>3981</v>
      </c>
      <c r="B486" s="1" t="s">
        <v>301</v>
      </c>
      <c r="C486" s="1" t="s">
        <v>3982</v>
      </c>
      <c r="D486" s="1" t="s">
        <v>425</v>
      </c>
      <c r="E486" s="2">
        <v>45765</v>
      </c>
      <c r="F486" s="2">
        <v>45765</v>
      </c>
      <c r="G486" s="1" t="s">
        <v>3990</v>
      </c>
      <c r="H486" s="3" t="s">
        <v>11</v>
      </c>
      <c r="I486" s="1" t="s">
        <v>3984</v>
      </c>
      <c r="J486" s="1" t="s">
        <v>12</v>
      </c>
      <c r="K486" s="3" t="s">
        <v>3995</v>
      </c>
      <c r="L486" s="1" t="s">
        <v>4002</v>
      </c>
      <c r="M486" s="1" t="s">
        <v>4003</v>
      </c>
      <c r="N486" s="1" t="s">
        <v>13</v>
      </c>
      <c r="O486" s="1" t="s">
        <v>4003</v>
      </c>
      <c r="P486" s="1" t="s">
        <v>13</v>
      </c>
      <c r="Q486" s="1" t="s">
        <v>4004</v>
      </c>
      <c r="R486" s="1" t="s">
        <v>4001</v>
      </c>
      <c r="S486" s="1" t="s">
        <v>3994</v>
      </c>
      <c r="T486" s="4">
        <v>6.2</v>
      </c>
    </row>
    <row r="487" spans="1:20">
      <c r="A487" s="1" t="s">
        <v>3981</v>
      </c>
      <c r="B487" s="1" t="s">
        <v>301</v>
      </c>
      <c r="C487" s="1" t="s">
        <v>3982</v>
      </c>
      <c r="D487" s="1" t="s">
        <v>425</v>
      </c>
      <c r="E487" s="2">
        <v>45765</v>
      </c>
      <c r="F487" s="2">
        <v>45765</v>
      </c>
      <c r="G487" s="1" t="s">
        <v>3990</v>
      </c>
      <c r="H487" s="3" t="s">
        <v>11</v>
      </c>
      <c r="I487" s="1" t="s">
        <v>3984</v>
      </c>
      <c r="J487" s="1" t="s">
        <v>12</v>
      </c>
      <c r="K487" s="3" t="s">
        <v>3995</v>
      </c>
      <c r="L487" s="1" t="s">
        <v>4032</v>
      </c>
      <c r="M487" s="1" t="s">
        <v>4033</v>
      </c>
      <c r="N487" s="1" t="s">
        <v>13</v>
      </c>
      <c r="O487" s="1" t="s">
        <v>4033</v>
      </c>
      <c r="P487" s="1" t="s">
        <v>13</v>
      </c>
      <c r="Q487" s="1" t="s">
        <v>4034</v>
      </c>
      <c r="R487" s="1" t="s">
        <v>4001</v>
      </c>
      <c r="S487" s="1" t="s">
        <v>3994</v>
      </c>
      <c r="T487" s="4">
        <v>6.2</v>
      </c>
    </row>
    <row r="488" spans="1:20">
      <c r="A488" s="1" t="s">
        <v>3981</v>
      </c>
      <c r="B488" s="1" t="s">
        <v>301</v>
      </c>
      <c r="C488" s="1" t="s">
        <v>3982</v>
      </c>
      <c r="D488" s="1" t="s">
        <v>425</v>
      </c>
      <c r="E488" s="2">
        <v>45765</v>
      </c>
      <c r="F488" s="2">
        <v>45765</v>
      </c>
      <c r="G488" s="1" t="s">
        <v>3997</v>
      </c>
      <c r="H488" s="3" t="s">
        <v>41</v>
      </c>
      <c r="I488" s="1" t="s">
        <v>3984</v>
      </c>
      <c r="J488" s="1" t="s">
        <v>12</v>
      </c>
      <c r="K488" s="3" t="s">
        <v>3995</v>
      </c>
      <c r="L488" s="1" t="s">
        <v>3987</v>
      </c>
      <c r="M488" s="1" t="s">
        <v>3999</v>
      </c>
      <c r="N488" s="1" t="s">
        <v>13</v>
      </c>
      <c r="O488" s="1" t="s">
        <v>3999</v>
      </c>
      <c r="P488" s="1" t="s">
        <v>13</v>
      </c>
      <c r="Q488" s="1" t="s">
        <v>4000</v>
      </c>
      <c r="R488" s="1" t="s">
        <v>4001</v>
      </c>
      <c r="S488" s="1" t="s">
        <v>3998</v>
      </c>
      <c r="T488" s="4">
        <v>16.5</v>
      </c>
    </row>
    <row r="489" spans="1:20">
      <c r="A489" s="1" t="s">
        <v>3981</v>
      </c>
      <c r="B489" s="1" t="s">
        <v>301</v>
      </c>
      <c r="C489" s="1" t="s">
        <v>3982</v>
      </c>
      <c r="D489" s="1" t="s">
        <v>425</v>
      </c>
      <c r="E489" s="2">
        <v>45765</v>
      </c>
      <c r="F489" s="2">
        <v>45765</v>
      </c>
      <c r="G489" s="1" t="s">
        <v>3997</v>
      </c>
      <c r="H489" s="3" t="s">
        <v>41</v>
      </c>
      <c r="I489" s="1" t="s">
        <v>3984</v>
      </c>
      <c r="J489" s="1" t="s">
        <v>12</v>
      </c>
      <c r="K489" s="3" t="s">
        <v>3995</v>
      </c>
      <c r="L489" s="1" t="s">
        <v>3987</v>
      </c>
      <c r="M489" s="1" t="s">
        <v>3996</v>
      </c>
      <c r="N489" s="1" t="s">
        <v>13</v>
      </c>
      <c r="O489" s="1" t="s">
        <v>3996</v>
      </c>
      <c r="P489" s="1" t="s">
        <v>13</v>
      </c>
      <c r="Q489" s="1" t="s">
        <v>14</v>
      </c>
      <c r="R489" s="1" t="s">
        <v>71</v>
      </c>
      <c r="S489" s="1" t="s">
        <v>3998</v>
      </c>
      <c r="T489" s="4">
        <v>1</v>
      </c>
    </row>
    <row r="490" spans="1:20">
      <c r="A490" s="1" t="s">
        <v>3981</v>
      </c>
      <c r="B490" s="1" t="s">
        <v>301</v>
      </c>
      <c r="C490" s="1" t="s">
        <v>3982</v>
      </c>
      <c r="D490" s="1" t="s">
        <v>425</v>
      </c>
      <c r="E490" s="2">
        <v>45765</v>
      </c>
      <c r="F490" s="2">
        <v>45765</v>
      </c>
      <c r="G490" s="1" t="s">
        <v>3997</v>
      </c>
      <c r="H490" s="3" t="s">
        <v>41</v>
      </c>
      <c r="I490" s="1" t="s">
        <v>3984</v>
      </c>
      <c r="J490" s="1" t="s">
        <v>12</v>
      </c>
      <c r="K490" s="3" t="s">
        <v>3995</v>
      </c>
      <c r="L490" s="1" t="s">
        <v>3987</v>
      </c>
      <c r="M490" s="1" t="s">
        <v>3996</v>
      </c>
      <c r="N490" s="1" t="s">
        <v>13</v>
      </c>
      <c r="O490" s="1" t="s">
        <v>3996</v>
      </c>
      <c r="P490" s="1" t="s">
        <v>13</v>
      </c>
      <c r="Q490" s="1" t="s">
        <v>28</v>
      </c>
      <c r="R490" s="1" t="s">
        <v>43</v>
      </c>
      <c r="S490" s="1" t="s">
        <v>3998</v>
      </c>
      <c r="T490" s="4">
        <v>1</v>
      </c>
    </row>
    <row r="491" spans="1:20">
      <c r="A491" s="1" t="s">
        <v>3981</v>
      </c>
      <c r="B491" s="1" t="s">
        <v>301</v>
      </c>
      <c r="C491" s="1" t="s">
        <v>3982</v>
      </c>
      <c r="D491" s="1" t="s">
        <v>425</v>
      </c>
      <c r="E491" s="2">
        <v>45765</v>
      </c>
      <c r="F491" s="2">
        <v>45765</v>
      </c>
      <c r="G491" s="1" t="s">
        <v>3997</v>
      </c>
      <c r="H491" s="3" t="s">
        <v>41</v>
      </c>
      <c r="I491" s="1" t="s">
        <v>3984</v>
      </c>
      <c r="J491" s="1" t="s">
        <v>12</v>
      </c>
      <c r="K491" s="3" t="s">
        <v>3995</v>
      </c>
      <c r="L491" s="1" t="s">
        <v>4002</v>
      </c>
      <c r="M491" s="1" t="s">
        <v>4003</v>
      </c>
      <c r="N491" s="1" t="s">
        <v>13</v>
      </c>
      <c r="O491" s="1" t="s">
        <v>4003</v>
      </c>
      <c r="P491" s="1" t="s">
        <v>13</v>
      </c>
      <c r="Q491" s="1" t="s">
        <v>4004</v>
      </c>
      <c r="R491" s="1" t="s">
        <v>4001</v>
      </c>
      <c r="S491" s="1" t="s">
        <v>3998</v>
      </c>
      <c r="T491" s="4">
        <v>23</v>
      </c>
    </row>
    <row r="492" spans="1:20">
      <c r="A492" s="1" t="s">
        <v>3981</v>
      </c>
      <c r="B492" s="1" t="s">
        <v>301</v>
      </c>
      <c r="C492" s="1" t="s">
        <v>3982</v>
      </c>
      <c r="D492" s="1" t="s">
        <v>425</v>
      </c>
      <c r="E492" s="2">
        <v>45765</v>
      </c>
      <c r="F492" s="2">
        <v>45765</v>
      </c>
      <c r="G492" s="1" t="s">
        <v>4005</v>
      </c>
      <c r="H492" s="3" t="s">
        <v>21</v>
      </c>
      <c r="I492" s="1" t="s">
        <v>3984</v>
      </c>
      <c r="J492" s="1" t="s">
        <v>12</v>
      </c>
      <c r="K492" s="3" t="s">
        <v>3995</v>
      </c>
      <c r="L492" s="1" t="s">
        <v>3987</v>
      </c>
      <c r="M492" s="1" t="s">
        <v>3996</v>
      </c>
      <c r="N492" s="1" t="s">
        <v>13</v>
      </c>
      <c r="O492" s="1" t="s">
        <v>3996</v>
      </c>
      <c r="P492" s="1" t="s">
        <v>13</v>
      </c>
      <c r="Q492" s="1" t="s">
        <v>14</v>
      </c>
      <c r="R492" s="1" t="s">
        <v>24</v>
      </c>
      <c r="S492" s="1" t="s">
        <v>4007</v>
      </c>
      <c r="T492" s="4">
        <v>13</v>
      </c>
    </row>
    <row r="493" spans="1:20">
      <c r="A493" s="1" t="s">
        <v>3981</v>
      </c>
      <c r="B493" s="1" t="s">
        <v>301</v>
      </c>
      <c r="C493" s="1" t="s">
        <v>3982</v>
      </c>
      <c r="D493" s="1" t="s">
        <v>425</v>
      </c>
      <c r="E493" s="2">
        <v>45765</v>
      </c>
      <c r="F493" s="2">
        <v>45765</v>
      </c>
      <c r="G493" s="1" t="s">
        <v>4005</v>
      </c>
      <c r="H493" s="3" t="s">
        <v>21</v>
      </c>
      <c r="I493" s="1" t="s">
        <v>3984</v>
      </c>
      <c r="J493" s="1" t="s">
        <v>12</v>
      </c>
      <c r="K493" s="3" t="s">
        <v>3995</v>
      </c>
      <c r="L493" s="1" t="s">
        <v>3987</v>
      </c>
      <c r="M493" s="1" t="s">
        <v>3996</v>
      </c>
      <c r="N493" s="1" t="s">
        <v>13</v>
      </c>
      <c r="O493" s="1" t="s">
        <v>3996</v>
      </c>
      <c r="P493" s="1" t="s">
        <v>13</v>
      </c>
      <c r="Q493" s="1" t="s">
        <v>14</v>
      </c>
      <c r="R493" s="1" t="s">
        <v>57</v>
      </c>
      <c r="S493" s="1" t="s">
        <v>4007</v>
      </c>
      <c r="T493" s="4">
        <v>1</v>
      </c>
    </row>
    <row r="494" spans="1:20">
      <c r="A494" s="1" t="s">
        <v>3981</v>
      </c>
      <c r="B494" s="1" t="s">
        <v>301</v>
      </c>
      <c r="C494" s="1" t="s">
        <v>3982</v>
      </c>
      <c r="D494" s="1" t="s">
        <v>425</v>
      </c>
      <c r="E494" s="2">
        <v>45765</v>
      </c>
      <c r="F494" s="2">
        <v>45765</v>
      </c>
      <c r="G494" s="1" t="s">
        <v>4005</v>
      </c>
      <c r="H494" s="3" t="s">
        <v>21</v>
      </c>
      <c r="I494" s="1" t="s">
        <v>3984</v>
      </c>
      <c r="J494" s="1" t="s">
        <v>12</v>
      </c>
      <c r="K494" s="3" t="s">
        <v>3995</v>
      </c>
      <c r="L494" s="1" t="s">
        <v>3987</v>
      </c>
      <c r="M494" s="1" t="s">
        <v>3996</v>
      </c>
      <c r="N494" s="1" t="s">
        <v>13</v>
      </c>
      <c r="O494" s="1" t="s">
        <v>3996</v>
      </c>
      <c r="P494" s="1" t="s">
        <v>13</v>
      </c>
      <c r="Q494" s="1" t="s">
        <v>14</v>
      </c>
      <c r="R494" s="1" t="s">
        <v>42</v>
      </c>
      <c r="S494" s="1" t="s">
        <v>4007</v>
      </c>
      <c r="T494" s="4">
        <v>0.5</v>
      </c>
    </row>
    <row r="495" spans="1:20">
      <c r="A495" s="1" t="s">
        <v>3981</v>
      </c>
      <c r="B495" s="1" t="s">
        <v>301</v>
      </c>
      <c r="C495" s="1" t="s">
        <v>3982</v>
      </c>
      <c r="D495" s="1" t="s">
        <v>425</v>
      </c>
      <c r="E495" s="2">
        <v>45765</v>
      </c>
      <c r="F495" s="2">
        <v>45765</v>
      </c>
      <c r="G495" s="1" t="s">
        <v>4005</v>
      </c>
      <c r="H495" s="3" t="s">
        <v>21</v>
      </c>
      <c r="I495" s="1" t="s">
        <v>3984</v>
      </c>
      <c r="J495" s="1" t="s">
        <v>12</v>
      </c>
      <c r="K495" s="3" t="s">
        <v>3995</v>
      </c>
      <c r="L495" s="1" t="s">
        <v>3987</v>
      </c>
      <c r="M495" s="1" t="s">
        <v>3996</v>
      </c>
      <c r="N495" s="1" t="s">
        <v>13</v>
      </c>
      <c r="O495" s="1" t="s">
        <v>3996</v>
      </c>
      <c r="P495" s="1" t="s">
        <v>13</v>
      </c>
      <c r="Q495" s="1" t="s">
        <v>28</v>
      </c>
      <c r="R495" s="1" t="s">
        <v>43</v>
      </c>
      <c r="S495" s="1" t="s">
        <v>4007</v>
      </c>
      <c r="T495" s="4">
        <v>28.3</v>
      </c>
    </row>
    <row r="496" spans="1:20">
      <c r="A496" s="1" t="s">
        <v>3981</v>
      </c>
      <c r="B496" s="1" t="s">
        <v>301</v>
      </c>
      <c r="C496" s="1" t="s">
        <v>3982</v>
      </c>
      <c r="D496" s="1" t="s">
        <v>425</v>
      </c>
      <c r="E496" s="2">
        <v>45765</v>
      </c>
      <c r="F496" s="2">
        <v>45765</v>
      </c>
      <c r="G496" s="1" t="s">
        <v>4008</v>
      </c>
      <c r="H496" s="3" t="s">
        <v>25</v>
      </c>
      <c r="I496" s="1" t="s">
        <v>3984</v>
      </c>
      <c r="J496" s="1" t="s">
        <v>3985</v>
      </c>
      <c r="K496" s="3" t="s">
        <v>3986</v>
      </c>
      <c r="L496" s="1" t="s">
        <v>3987</v>
      </c>
      <c r="M496" s="1" t="s">
        <v>13</v>
      </c>
      <c r="N496" s="1" t="s">
        <v>13</v>
      </c>
      <c r="O496" s="1" t="s">
        <v>3988</v>
      </c>
      <c r="P496" s="1" t="s">
        <v>13</v>
      </c>
      <c r="Q496" s="1" t="s">
        <v>13</v>
      </c>
      <c r="R496" s="1" t="s">
        <v>13</v>
      </c>
      <c r="S496" s="1" t="s">
        <v>4009</v>
      </c>
      <c r="T496" s="4">
        <v>39</v>
      </c>
    </row>
    <row r="497" spans="1:20">
      <c r="A497" s="1" t="s">
        <v>3981</v>
      </c>
      <c r="B497" s="1" t="s">
        <v>301</v>
      </c>
      <c r="C497" s="1" t="s">
        <v>3982</v>
      </c>
      <c r="D497" s="1" t="s">
        <v>425</v>
      </c>
      <c r="E497" s="2">
        <v>45765</v>
      </c>
      <c r="F497" s="2">
        <v>45765</v>
      </c>
      <c r="G497" s="1" t="s">
        <v>4008</v>
      </c>
      <c r="H497" s="3" t="s">
        <v>25</v>
      </c>
      <c r="I497" s="1" t="s">
        <v>3984</v>
      </c>
      <c r="J497" s="1" t="s">
        <v>12</v>
      </c>
      <c r="K497" s="3" t="s">
        <v>3995</v>
      </c>
      <c r="L497" s="1" t="s">
        <v>3987</v>
      </c>
      <c r="M497" s="1" t="s">
        <v>3996</v>
      </c>
      <c r="N497" s="1" t="s">
        <v>13</v>
      </c>
      <c r="O497" s="1" t="s">
        <v>3996</v>
      </c>
      <c r="P497" s="1" t="s">
        <v>13</v>
      </c>
      <c r="Q497" s="1" t="s">
        <v>28</v>
      </c>
      <c r="R497" s="1" t="s">
        <v>29</v>
      </c>
      <c r="S497" s="1" t="s">
        <v>4009</v>
      </c>
      <c r="T497" s="4">
        <v>0.4</v>
      </c>
    </row>
    <row r="498" spans="1:20">
      <c r="A498" s="1" t="s">
        <v>3981</v>
      </c>
      <c r="B498" s="1" t="s">
        <v>301</v>
      </c>
      <c r="C498" s="1" t="s">
        <v>3982</v>
      </c>
      <c r="D498" s="1" t="s">
        <v>425</v>
      </c>
      <c r="E498" s="2">
        <v>45765</v>
      </c>
      <c r="F498" s="2">
        <v>45765</v>
      </c>
      <c r="G498" s="1" t="s">
        <v>4008</v>
      </c>
      <c r="H498" s="3" t="s">
        <v>25</v>
      </c>
      <c r="I498" s="1" t="s">
        <v>3984</v>
      </c>
      <c r="J498" s="1" t="s">
        <v>12</v>
      </c>
      <c r="K498" s="3" t="s">
        <v>3995</v>
      </c>
      <c r="L498" s="1" t="s">
        <v>3987</v>
      </c>
      <c r="M498" s="1" t="s">
        <v>3996</v>
      </c>
      <c r="N498" s="1" t="s">
        <v>13</v>
      </c>
      <c r="O498" s="1" t="s">
        <v>3996</v>
      </c>
      <c r="P498" s="1" t="s">
        <v>13</v>
      </c>
      <c r="Q498" s="1" t="s">
        <v>44</v>
      </c>
      <c r="R498" s="1" t="s">
        <v>45</v>
      </c>
      <c r="S498" s="1" t="s">
        <v>4009</v>
      </c>
      <c r="T498" s="4">
        <v>3.7</v>
      </c>
    </row>
    <row r="499" spans="1:20">
      <c r="A499" s="1" t="s">
        <v>3981</v>
      </c>
      <c r="B499" s="1" t="s">
        <v>301</v>
      </c>
      <c r="C499" s="1" t="s">
        <v>3982</v>
      </c>
      <c r="D499" s="1" t="s">
        <v>425</v>
      </c>
      <c r="E499" s="2">
        <v>45765</v>
      </c>
      <c r="F499" s="2">
        <v>45765</v>
      </c>
      <c r="G499" s="1" t="s">
        <v>4008</v>
      </c>
      <c r="H499" s="3" t="s">
        <v>25</v>
      </c>
      <c r="I499" s="1" t="s">
        <v>3984</v>
      </c>
      <c r="J499" s="1" t="s">
        <v>12</v>
      </c>
      <c r="K499" s="3" t="s">
        <v>3995</v>
      </c>
      <c r="L499" s="1" t="s">
        <v>3987</v>
      </c>
      <c r="M499" s="1" t="s">
        <v>3996</v>
      </c>
      <c r="N499" s="1" t="s">
        <v>13</v>
      </c>
      <c r="O499" s="1" t="s">
        <v>3996</v>
      </c>
      <c r="P499" s="1" t="s">
        <v>13</v>
      </c>
      <c r="Q499" s="1" t="s">
        <v>30</v>
      </c>
      <c r="R499" s="1" t="s">
        <v>67</v>
      </c>
      <c r="S499" s="1" t="s">
        <v>4009</v>
      </c>
      <c r="T499" s="4">
        <v>0.2</v>
      </c>
    </row>
    <row r="500" spans="1:20">
      <c r="A500" s="1" t="s">
        <v>3981</v>
      </c>
      <c r="B500" s="1" t="s">
        <v>301</v>
      </c>
      <c r="C500" s="1" t="s">
        <v>3982</v>
      </c>
      <c r="D500" s="1" t="s">
        <v>425</v>
      </c>
      <c r="E500" s="2">
        <v>45765</v>
      </c>
      <c r="F500" s="2">
        <v>45765</v>
      </c>
      <c r="G500" s="1" t="s">
        <v>4008</v>
      </c>
      <c r="H500" s="3" t="s">
        <v>25</v>
      </c>
      <c r="I500" s="1" t="s">
        <v>3984</v>
      </c>
      <c r="J500" s="1" t="s">
        <v>12</v>
      </c>
      <c r="K500" s="3" t="s">
        <v>3995</v>
      </c>
      <c r="L500" s="1" t="s">
        <v>3987</v>
      </c>
      <c r="M500" s="1" t="s">
        <v>3996</v>
      </c>
      <c r="N500" s="1" t="s">
        <v>13</v>
      </c>
      <c r="O500" s="1" t="s">
        <v>3996</v>
      </c>
      <c r="P500" s="1" t="s">
        <v>13</v>
      </c>
      <c r="Q500" s="1" t="s">
        <v>30</v>
      </c>
      <c r="R500" s="1" t="s">
        <v>62</v>
      </c>
      <c r="S500" s="1" t="s">
        <v>4009</v>
      </c>
      <c r="T500" s="4">
        <v>0.5</v>
      </c>
    </row>
    <row r="501" spans="1:20">
      <c r="A501" s="1" t="s">
        <v>3981</v>
      </c>
      <c r="B501" s="1" t="s">
        <v>301</v>
      </c>
      <c r="C501" s="1" t="s">
        <v>3982</v>
      </c>
      <c r="D501" s="1" t="s">
        <v>425</v>
      </c>
      <c r="E501" s="2">
        <v>45765</v>
      </c>
      <c r="F501" s="2">
        <v>45765</v>
      </c>
      <c r="G501" s="1" t="s">
        <v>4008</v>
      </c>
      <c r="H501" s="3" t="s">
        <v>25</v>
      </c>
      <c r="I501" s="1" t="s">
        <v>3984</v>
      </c>
      <c r="J501" s="1" t="s">
        <v>12</v>
      </c>
      <c r="K501" s="3" t="s">
        <v>3995</v>
      </c>
      <c r="L501" s="1" t="s">
        <v>3987</v>
      </c>
      <c r="M501" s="1" t="s">
        <v>3996</v>
      </c>
      <c r="N501" s="1" t="s">
        <v>13</v>
      </c>
      <c r="O501" s="1" t="s">
        <v>3996</v>
      </c>
      <c r="P501" s="1" t="s">
        <v>13</v>
      </c>
      <c r="Q501" s="1" t="s">
        <v>30</v>
      </c>
      <c r="R501" s="1" t="s">
        <v>68</v>
      </c>
      <c r="S501" s="1" t="s">
        <v>4009</v>
      </c>
      <c r="T501" s="4">
        <v>0.2</v>
      </c>
    </row>
    <row r="502" spans="1:20">
      <c r="A502" s="1" t="s">
        <v>3981</v>
      </c>
      <c r="B502" s="1" t="s">
        <v>301</v>
      </c>
      <c r="C502" s="1" t="s">
        <v>3982</v>
      </c>
      <c r="D502" s="1" t="s">
        <v>425</v>
      </c>
      <c r="E502" s="2">
        <v>45779</v>
      </c>
      <c r="F502" s="2">
        <v>45772</v>
      </c>
      <c r="G502" s="1" t="s">
        <v>3983</v>
      </c>
      <c r="H502" s="3" t="s">
        <v>32</v>
      </c>
      <c r="I502" s="1" t="s">
        <v>3984</v>
      </c>
      <c r="J502" s="1" t="s">
        <v>12</v>
      </c>
      <c r="K502" s="3" t="s">
        <v>3995</v>
      </c>
      <c r="L502" s="1" t="s">
        <v>3987</v>
      </c>
      <c r="M502" s="1" t="s">
        <v>3999</v>
      </c>
      <c r="N502" s="1" t="s">
        <v>13</v>
      </c>
      <c r="O502" s="1" t="s">
        <v>3999</v>
      </c>
      <c r="P502" s="1" t="s">
        <v>13</v>
      </c>
      <c r="Q502" s="1" t="s">
        <v>4044</v>
      </c>
      <c r="R502" s="1" t="s">
        <v>4037</v>
      </c>
      <c r="S502" s="1" t="s">
        <v>3989</v>
      </c>
      <c r="T502" s="4">
        <v>1</v>
      </c>
    </row>
    <row r="503" spans="1:20">
      <c r="A503" s="1" t="s">
        <v>3981</v>
      </c>
      <c r="B503" s="1" t="s">
        <v>301</v>
      </c>
      <c r="C503" s="1" t="s">
        <v>3982</v>
      </c>
      <c r="D503" s="1" t="s">
        <v>425</v>
      </c>
      <c r="E503" s="2">
        <v>45779</v>
      </c>
      <c r="F503" s="2">
        <v>45772</v>
      </c>
      <c r="G503" s="1" t="s">
        <v>3983</v>
      </c>
      <c r="H503" s="3" t="s">
        <v>32</v>
      </c>
      <c r="I503" s="1" t="s">
        <v>3984</v>
      </c>
      <c r="J503" s="1" t="s">
        <v>12</v>
      </c>
      <c r="K503" s="3" t="s">
        <v>3995</v>
      </c>
      <c r="L503" s="1" t="s">
        <v>3987</v>
      </c>
      <c r="M503" s="1" t="s">
        <v>3996</v>
      </c>
      <c r="N503" s="1" t="s">
        <v>13</v>
      </c>
      <c r="O503" s="1" t="s">
        <v>3996</v>
      </c>
      <c r="P503" s="1" t="s">
        <v>13</v>
      </c>
      <c r="Q503" s="1" t="s">
        <v>14</v>
      </c>
      <c r="R503" s="1" t="s">
        <v>54</v>
      </c>
      <c r="S503" s="1" t="s">
        <v>3989</v>
      </c>
      <c r="T503" s="4">
        <v>5</v>
      </c>
    </row>
    <row r="504" spans="1:20">
      <c r="A504" s="1" t="s">
        <v>3981</v>
      </c>
      <c r="B504" s="1" t="s">
        <v>301</v>
      </c>
      <c r="C504" s="1" t="s">
        <v>3982</v>
      </c>
      <c r="D504" s="1" t="s">
        <v>425</v>
      </c>
      <c r="E504" s="2">
        <v>45779</v>
      </c>
      <c r="F504" s="2">
        <v>45772</v>
      </c>
      <c r="G504" s="1" t="s">
        <v>3983</v>
      </c>
      <c r="H504" s="3" t="s">
        <v>32</v>
      </c>
      <c r="I504" s="1" t="s">
        <v>3984</v>
      </c>
      <c r="J504" s="1" t="s">
        <v>12</v>
      </c>
      <c r="K504" s="3" t="s">
        <v>3995</v>
      </c>
      <c r="L504" s="1" t="s">
        <v>3987</v>
      </c>
      <c r="M504" s="1" t="s">
        <v>3996</v>
      </c>
      <c r="N504" s="1" t="s">
        <v>13</v>
      </c>
      <c r="O504" s="1" t="s">
        <v>3996</v>
      </c>
      <c r="P504" s="1" t="s">
        <v>13</v>
      </c>
      <c r="Q504" s="1" t="s">
        <v>14</v>
      </c>
      <c r="R504" s="1" t="s">
        <v>42</v>
      </c>
      <c r="S504" s="1" t="s">
        <v>3989</v>
      </c>
      <c r="T504" s="4">
        <v>3</v>
      </c>
    </row>
    <row r="505" spans="1:20">
      <c r="A505" s="1" t="s">
        <v>3981</v>
      </c>
      <c r="B505" s="1" t="s">
        <v>301</v>
      </c>
      <c r="C505" s="1" t="s">
        <v>3982</v>
      </c>
      <c r="D505" s="1" t="s">
        <v>425</v>
      </c>
      <c r="E505" s="2">
        <v>45779</v>
      </c>
      <c r="F505" s="2">
        <v>45772</v>
      </c>
      <c r="G505" s="1" t="s">
        <v>3983</v>
      </c>
      <c r="H505" s="3" t="s">
        <v>32</v>
      </c>
      <c r="I505" s="1" t="s">
        <v>3984</v>
      </c>
      <c r="J505" s="1" t="s">
        <v>12</v>
      </c>
      <c r="K505" s="3" t="s">
        <v>3995</v>
      </c>
      <c r="L505" s="1" t="s">
        <v>3987</v>
      </c>
      <c r="M505" s="1" t="s">
        <v>3996</v>
      </c>
      <c r="N505" s="1" t="s">
        <v>13</v>
      </c>
      <c r="O505" s="1" t="s">
        <v>3996</v>
      </c>
      <c r="P505" s="1" t="s">
        <v>13</v>
      </c>
      <c r="Q505" s="1" t="s">
        <v>44</v>
      </c>
      <c r="R505" s="1" t="s">
        <v>47</v>
      </c>
      <c r="S505" s="1" t="s">
        <v>3989</v>
      </c>
      <c r="T505" s="4">
        <v>30</v>
      </c>
    </row>
    <row r="506" spans="1:20">
      <c r="A506" s="1" t="s">
        <v>3981</v>
      </c>
      <c r="B506" s="1" t="s">
        <v>301</v>
      </c>
      <c r="C506" s="1" t="s">
        <v>3982</v>
      </c>
      <c r="D506" s="1" t="s">
        <v>425</v>
      </c>
      <c r="E506" s="2">
        <v>45779</v>
      </c>
      <c r="F506" s="2">
        <v>45772</v>
      </c>
      <c r="G506" s="1" t="s">
        <v>3990</v>
      </c>
      <c r="H506" s="3" t="s">
        <v>11</v>
      </c>
      <c r="I506" s="1" t="s">
        <v>3984</v>
      </c>
      <c r="J506" s="1" t="s">
        <v>12</v>
      </c>
      <c r="K506" s="3" t="s">
        <v>3995</v>
      </c>
      <c r="L506" s="1" t="s">
        <v>3987</v>
      </c>
      <c r="M506" s="1" t="s">
        <v>3996</v>
      </c>
      <c r="N506" s="1" t="s">
        <v>13</v>
      </c>
      <c r="O506" s="1" t="s">
        <v>3996</v>
      </c>
      <c r="P506" s="1" t="s">
        <v>13</v>
      </c>
      <c r="Q506" s="1" t="s">
        <v>14</v>
      </c>
      <c r="R506" s="1" t="s">
        <v>27</v>
      </c>
      <c r="S506" s="1" t="s">
        <v>3994</v>
      </c>
      <c r="T506" s="4">
        <v>9.1</v>
      </c>
    </row>
    <row r="507" spans="1:20">
      <c r="A507" s="1" t="s">
        <v>3981</v>
      </c>
      <c r="B507" s="1" t="s">
        <v>301</v>
      </c>
      <c r="C507" s="1" t="s">
        <v>3982</v>
      </c>
      <c r="D507" s="1" t="s">
        <v>425</v>
      </c>
      <c r="E507" s="2">
        <v>45779</v>
      </c>
      <c r="F507" s="2">
        <v>45772</v>
      </c>
      <c r="G507" s="1" t="s">
        <v>3990</v>
      </c>
      <c r="H507" s="3" t="s">
        <v>11</v>
      </c>
      <c r="I507" s="1" t="s">
        <v>3984</v>
      </c>
      <c r="J507" s="1" t="s">
        <v>12</v>
      </c>
      <c r="K507" s="3" t="s">
        <v>3995</v>
      </c>
      <c r="L507" s="1" t="s">
        <v>3987</v>
      </c>
      <c r="M507" s="1" t="s">
        <v>3996</v>
      </c>
      <c r="N507" s="1" t="s">
        <v>13</v>
      </c>
      <c r="O507" s="1" t="s">
        <v>3996</v>
      </c>
      <c r="P507" s="1" t="s">
        <v>13</v>
      </c>
      <c r="Q507" s="1" t="s">
        <v>14</v>
      </c>
      <c r="R507" s="1" t="s">
        <v>37</v>
      </c>
      <c r="S507" s="1" t="s">
        <v>3994</v>
      </c>
      <c r="T507" s="4">
        <v>2.5</v>
      </c>
    </row>
    <row r="508" spans="1:20">
      <c r="A508" s="1" t="s">
        <v>3981</v>
      </c>
      <c r="B508" s="1" t="s">
        <v>301</v>
      </c>
      <c r="C508" s="1" t="s">
        <v>3982</v>
      </c>
      <c r="D508" s="1" t="s">
        <v>425</v>
      </c>
      <c r="E508" s="2">
        <v>45779</v>
      </c>
      <c r="F508" s="2">
        <v>45772</v>
      </c>
      <c r="G508" s="1" t="s">
        <v>3990</v>
      </c>
      <c r="H508" s="3" t="s">
        <v>11</v>
      </c>
      <c r="I508" s="1" t="s">
        <v>3984</v>
      </c>
      <c r="J508" s="1" t="s">
        <v>12</v>
      </c>
      <c r="K508" s="3" t="s">
        <v>3995</v>
      </c>
      <c r="L508" s="1" t="s">
        <v>3987</v>
      </c>
      <c r="M508" s="1" t="s">
        <v>3996</v>
      </c>
      <c r="N508" s="1" t="s">
        <v>13</v>
      </c>
      <c r="O508" s="1" t="s">
        <v>3996</v>
      </c>
      <c r="P508" s="1" t="s">
        <v>13</v>
      </c>
      <c r="Q508" s="1" t="s">
        <v>14</v>
      </c>
      <c r="R508" s="1" t="s">
        <v>15</v>
      </c>
      <c r="S508" s="1" t="s">
        <v>3994</v>
      </c>
      <c r="T508" s="4">
        <v>8.4</v>
      </c>
    </row>
    <row r="509" spans="1:20">
      <c r="A509" s="1" t="s">
        <v>3981</v>
      </c>
      <c r="B509" s="1" t="s">
        <v>301</v>
      </c>
      <c r="C509" s="1" t="s">
        <v>3982</v>
      </c>
      <c r="D509" s="1" t="s">
        <v>425</v>
      </c>
      <c r="E509" s="2">
        <v>45779</v>
      </c>
      <c r="F509" s="2">
        <v>45772</v>
      </c>
      <c r="G509" s="1" t="s">
        <v>3990</v>
      </c>
      <c r="H509" s="3" t="s">
        <v>11</v>
      </c>
      <c r="I509" s="1" t="s">
        <v>3984</v>
      </c>
      <c r="J509" s="1" t="s">
        <v>12</v>
      </c>
      <c r="K509" s="3" t="s">
        <v>3995</v>
      </c>
      <c r="L509" s="1" t="s">
        <v>3987</v>
      </c>
      <c r="M509" s="1" t="s">
        <v>3996</v>
      </c>
      <c r="N509" s="1" t="s">
        <v>13</v>
      </c>
      <c r="O509" s="1" t="s">
        <v>3996</v>
      </c>
      <c r="P509" s="1" t="s">
        <v>13</v>
      </c>
      <c r="Q509" s="1" t="s">
        <v>44</v>
      </c>
      <c r="R509" s="1" t="s">
        <v>47</v>
      </c>
      <c r="S509" s="1" t="s">
        <v>3994</v>
      </c>
      <c r="T509" s="4">
        <v>6.2</v>
      </c>
    </row>
    <row r="510" spans="1:20">
      <c r="A510" s="1" t="s">
        <v>3981</v>
      </c>
      <c r="B510" s="1" t="s">
        <v>301</v>
      </c>
      <c r="C510" s="1" t="s">
        <v>3982</v>
      </c>
      <c r="D510" s="1" t="s">
        <v>425</v>
      </c>
      <c r="E510" s="2">
        <v>45779</v>
      </c>
      <c r="F510" s="2">
        <v>45772</v>
      </c>
      <c r="G510" s="1" t="s">
        <v>3990</v>
      </c>
      <c r="H510" s="3" t="s">
        <v>11</v>
      </c>
      <c r="I510" s="1" t="s">
        <v>3984</v>
      </c>
      <c r="J510" s="1" t="s">
        <v>12</v>
      </c>
      <c r="K510" s="3" t="s">
        <v>3995</v>
      </c>
      <c r="L510" s="1" t="s">
        <v>3987</v>
      </c>
      <c r="M510" s="1" t="s">
        <v>3996</v>
      </c>
      <c r="N510" s="1" t="s">
        <v>13</v>
      </c>
      <c r="O510" s="1" t="s">
        <v>3996</v>
      </c>
      <c r="P510" s="1" t="s">
        <v>13</v>
      </c>
      <c r="Q510" s="1" t="s">
        <v>38</v>
      </c>
      <c r="R510" s="1" t="s">
        <v>64</v>
      </c>
      <c r="S510" s="1" t="s">
        <v>3994</v>
      </c>
      <c r="T510" s="4">
        <v>0.8</v>
      </c>
    </row>
    <row r="511" spans="1:20">
      <c r="A511" s="1" t="s">
        <v>3981</v>
      </c>
      <c r="B511" s="1" t="s">
        <v>301</v>
      </c>
      <c r="C511" s="1" t="s">
        <v>3982</v>
      </c>
      <c r="D511" s="1" t="s">
        <v>425</v>
      </c>
      <c r="E511" s="2">
        <v>45779</v>
      </c>
      <c r="F511" s="2">
        <v>45772</v>
      </c>
      <c r="G511" s="1" t="s">
        <v>3990</v>
      </c>
      <c r="H511" s="3" t="s">
        <v>11</v>
      </c>
      <c r="I511" s="1" t="s">
        <v>3984</v>
      </c>
      <c r="J511" s="1" t="s">
        <v>12</v>
      </c>
      <c r="K511" s="3" t="s">
        <v>3995</v>
      </c>
      <c r="L511" s="1" t="s">
        <v>3987</v>
      </c>
      <c r="M511" s="1" t="s">
        <v>3996</v>
      </c>
      <c r="N511" s="1" t="s">
        <v>13</v>
      </c>
      <c r="O511" s="1" t="s">
        <v>3996</v>
      </c>
      <c r="P511" s="1" t="s">
        <v>13</v>
      </c>
      <c r="Q511" s="1" t="s">
        <v>38</v>
      </c>
      <c r="R511" s="1" t="s">
        <v>72</v>
      </c>
      <c r="S511" s="1" t="s">
        <v>3994</v>
      </c>
      <c r="T511" s="4">
        <v>0.3</v>
      </c>
    </row>
    <row r="512" spans="1:20">
      <c r="A512" s="1" t="s">
        <v>3981</v>
      </c>
      <c r="B512" s="1" t="s">
        <v>301</v>
      </c>
      <c r="C512" s="1" t="s">
        <v>3982</v>
      </c>
      <c r="D512" s="1" t="s">
        <v>425</v>
      </c>
      <c r="E512" s="2">
        <v>45779</v>
      </c>
      <c r="F512" s="2">
        <v>45772</v>
      </c>
      <c r="G512" s="1" t="s">
        <v>3990</v>
      </c>
      <c r="H512" s="3" t="s">
        <v>11</v>
      </c>
      <c r="I512" s="1" t="s">
        <v>3984</v>
      </c>
      <c r="J512" s="1" t="s">
        <v>12</v>
      </c>
      <c r="K512" s="3" t="s">
        <v>3995</v>
      </c>
      <c r="L512" s="1" t="s">
        <v>3987</v>
      </c>
      <c r="M512" s="1" t="s">
        <v>3996</v>
      </c>
      <c r="N512" s="1" t="s">
        <v>13</v>
      </c>
      <c r="O512" s="1" t="s">
        <v>3996</v>
      </c>
      <c r="P512" s="1" t="s">
        <v>13</v>
      </c>
      <c r="Q512" s="1" t="s">
        <v>19</v>
      </c>
      <c r="R512" s="1" t="s">
        <v>73</v>
      </c>
      <c r="S512" s="1" t="s">
        <v>3994</v>
      </c>
      <c r="T512" s="4">
        <v>0.3</v>
      </c>
    </row>
    <row r="513" spans="1:20">
      <c r="A513" s="1" t="s">
        <v>3981</v>
      </c>
      <c r="B513" s="1" t="s">
        <v>301</v>
      </c>
      <c r="C513" s="1" t="s">
        <v>3982</v>
      </c>
      <c r="D513" s="1" t="s">
        <v>425</v>
      </c>
      <c r="E513" s="2">
        <v>45779</v>
      </c>
      <c r="F513" s="2">
        <v>45772</v>
      </c>
      <c r="G513" s="1" t="s">
        <v>3990</v>
      </c>
      <c r="H513" s="3" t="s">
        <v>11</v>
      </c>
      <c r="I513" s="1" t="s">
        <v>3984</v>
      </c>
      <c r="J513" s="1" t="s">
        <v>12</v>
      </c>
      <c r="K513" s="3" t="s">
        <v>3995</v>
      </c>
      <c r="L513" s="1" t="s">
        <v>3987</v>
      </c>
      <c r="M513" s="1" t="s">
        <v>4058</v>
      </c>
      <c r="N513" s="1" t="s">
        <v>4059</v>
      </c>
      <c r="O513" s="1" t="s">
        <v>13</v>
      </c>
      <c r="P513" s="1" t="s">
        <v>13</v>
      </c>
      <c r="Q513" s="1" t="s">
        <v>13</v>
      </c>
      <c r="R513" s="1" t="s">
        <v>4060</v>
      </c>
      <c r="S513" s="1" t="s">
        <v>3994</v>
      </c>
      <c r="T513" s="4">
        <v>0.6</v>
      </c>
    </row>
    <row r="514" spans="1:20">
      <c r="A514" s="1" t="s">
        <v>3981</v>
      </c>
      <c r="B514" s="1" t="s">
        <v>301</v>
      </c>
      <c r="C514" s="1" t="s">
        <v>3982</v>
      </c>
      <c r="D514" s="1" t="s">
        <v>425</v>
      </c>
      <c r="E514" s="2">
        <v>45779</v>
      </c>
      <c r="F514" s="2">
        <v>45772</v>
      </c>
      <c r="G514" s="1" t="s">
        <v>3990</v>
      </c>
      <c r="H514" s="3" t="s">
        <v>11</v>
      </c>
      <c r="I514" s="1" t="s">
        <v>3984</v>
      </c>
      <c r="J514" s="1" t="s">
        <v>12</v>
      </c>
      <c r="K514" s="3" t="s">
        <v>3995</v>
      </c>
      <c r="L514" s="1" t="s">
        <v>3987</v>
      </c>
      <c r="M514" s="1" t="s">
        <v>4055</v>
      </c>
      <c r="N514" s="1" t="s">
        <v>4056</v>
      </c>
      <c r="O514" s="1" t="s">
        <v>13</v>
      </c>
      <c r="P514" s="1" t="s">
        <v>13</v>
      </c>
      <c r="Q514" s="1" t="s">
        <v>4057</v>
      </c>
      <c r="R514" s="1" t="s">
        <v>4023</v>
      </c>
      <c r="S514" s="1" t="s">
        <v>3994</v>
      </c>
      <c r="T514" s="4">
        <v>1</v>
      </c>
    </row>
    <row r="515" spans="1:20">
      <c r="A515" s="1" t="s">
        <v>3981</v>
      </c>
      <c r="B515" s="1" t="s">
        <v>301</v>
      </c>
      <c r="C515" s="1" t="s">
        <v>3982</v>
      </c>
      <c r="D515" s="1" t="s">
        <v>425</v>
      </c>
      <c r="E515" s="2">
        <v>45779</v>
      </c>
      <c r="F515" s="2">
        <v>45772</v>
      </c>
      <c r="G515" s="1" t="s">
        <v>3990</v>
      </c>
      <c r="H515" s="3" t="s">
        <v>11</v>
      </c>
      <c r="I515" s="1" t="s">
        <v>3984</v>
      </c>
      <c r="J515" s="1" t="s">
        <v>12</v>
      </c>
      <c r="K515" s="3" t="s">
        <v>3995</v>
      </c>
      <c r="L515" s="1" t="s">
        <v>4002</v>
      </c>
      <c r="M515" s="1" t="s">
        <v>4003</v>
      </c>
      <c r="N515" s="1" t="s">
        <v>13</v>
      </c>
      <c r="O515" s="1" t="s">
        <v>4003</v>
      </c>
      <c r="P515" s="1" t="s">
        <v>13</v>
      </c>
      <c r="Q515" s="1" t="s">
        <v>4004</v>
      </c>
      <c r="R515" s="1" t="s">
        <v>4001</v>
      </c>
      <c r="S515" s="1" t="s">
        <v>3994</v>
      </c>
      <c r="T515" s="4">
        <v>3.8</v>
      </c>
    </row>
    <row r="516" spans="1:20">
      <c r="A516" s="1" t="s">
        <v>3981</v>
      </c>
      <c r="B516" s="1" t="s">
        <v>301</v>
      </c>
      <c r="C516" s="1" t="s">
        <v>3982</v>
      </c>
      <c r="D516" s="1" t="s">
        <v>425</v>
      </c>
      <c r="E516" s="2">
        <v>45779</v>
      </c>
      <c r="F516" s="2">
        <v>45772</v>
      </c>
      <c r="G516" s="1" t="s">
        <v>3990</v>
      </c>
      <c r="H516" s="3" t="s">
        <v>11</v>
      </c>
      <c r="I516" s="1" t="s">
        <v>3984</v>
      </c>
      <c r="J516" s="1" t="s">
        <v>12</v>
      </c>
      <c r="K516" s="3" t="s">
        <v>3995</v>
      </c>
      <c r="L516" s="1" t="s">
        <v>4032</v>
      </c>
      <c r="M516" s="1" t="s">
        <v>4033</v>
      </c>
      <c r="N516" s="1" t="s">
        <v>13</v>
      </c>
      <c r="O516" s="1" t="s">
        <v>4033</v>
      </c>
      <c r="P516" s="1" t="s">
        <v>13</v>
      </c>
      <c r="Q516" s="1" t="s">
        <v>4034</v>
      </c>
      <c r="R516" s="1" t="s">
        <v>4001</v>
      </c>
      <c r="S516" s="1" t="s">
        <v>3994</v>
      </c>
      <c r="T516" s="4">
        <v>7.1</v>
      </c>
    </row>
    <row r="517" spans="1:20">
      <c r="A517" s="1" t="s">
        <v>3981</v>
      </c>
      <c r="B517" s="1" t="s">
        <v>301</v>
      </c>
      <c r="C517" s="1" t="s">
        <v>3982</v>
      </c>
      <c r="D517" s="1" t="s">
        <v>425</v>
      </c>
      <c r="E517" s="2">
        <v>45779</v>
      </c>
      <c r="F517" s="2">
        <v>45772</v>
      </c>
      <c r="G517" s="1" t="s">
        <v>3997</v>
      </c>
      <c r="H517" s="3" t="s">
        <v>41</v>
      </c>
      <c r="I517" s="1" t="s">
        <v>3984</v>
      </c>
      <c r="J517" s="1" t="s">
        <v>12</v>
      </c>
      <c r="K517" s="3" t="s">
        <v>3995</v>
      </c>
      <c r="L517" s="1" t="s">
        <v>3987</v>
      </c>
      <c r="M517" s="1" t="s">
        <v>3999</v>
      </c>
      <c r="N517" s="1" t="s">
        <v>13</v>
      </c>
      <c r="O517" s="1" t="s">
        <v>3999</v>
      </c>
      <c r="P517" s="1" t="s">
        <v>13</v>
      </c>
      <c r="Q517" s="1" t="s">
        <v>4000</v>
      </c>
      <c r="R517" s="1" t="s">
        <v>4001</v>
      </c>
      <c r="S517" s="1" t="s">
        <v>3998</v>
      </c>
      <c r="T517" s="4">
        <v>12</v>
      </c>
    </row>
    <row r="518" spans="1:20">
      <c r="A518" s="1" t="s">
        <v>3981</v>
      </c>
      <c r="B518" s="1" t="s">
        <v>301</v>
      </c>
      <c r="C518" s="1" t="s">
        <v>3982</v>
      </c>
      <c r="D518" s="1" t="s">
        <v>425</v>
      </c>
      <c r="E518" s="2">
        <v>45779</v>
      </c>
      <c r="F518" s="2">
        <v>45772</v>
      </c>
      <c r="G518" s="1" t="s">
        <v>3997</v>
      </c>
      <c r="H518" s="3" t="s">
        <v>41</v>
      </c>
      <c r="I518" s="1" t="s">
        <v>3984</v>
      </c>
      <c r="J518" s="1" t="s">
        <v>12</v>
      </c>
      <c r="K518" s="3" t="s">
        <v>3995</v>
      </c>
      <c r="L518" s="1" t="s">
        <v>4002</v>
      </c>
      <c r="M518" s="1" t="s">
        <v>4003</v>
      </c>
      <c r="N518" s="1" t="s">
        <v>13</v>
      </c>
      <c r="O518" s="1" t="s">
        <v>4003</v>
      </c>
      <c r="P518" s="1" t="s">
        <v>13</v>
      </c>
      <c r="Q518" s="1" t="s">
        <v>4004</v>
      </c>
      <c r="R518" s="1" t="s">
        <v>4001</v>
      </c>
      <c r="S518" s="1" t="s">
        <v>3998</v>
      </c>
      <c r="T518" s="4">
        <v>27</v>
      </c>
    </row>
    <row r="519" spans="1:20">
      <c r="A519" s="1" t="s">
        <v>3981</v>
      </c>
      <c r="B519" s="1" t="s">
        <v>301</v>
      </c>
      <c r="C519" s="1" t="s">
        <v>3982</v>
      </c>
      <c r="D519" s="1" t="s">
        <v>425</v>
      </c>
      <c r="E519" s="2">
        <v>45779</v>
      </c>
      <c r="F519" s="2">
        <v>45772</v>
      </c>
      <c r="G519" s="1" t="s">
        <v>4005</v>
      </c>
      <c r="H519" s="3" t="s">
        <v>21</v>
      </c>
      <c r="I519" s="1" t="s">
        <v>3984</v>
      </c>
      <c r="J519" s="1" t="s">
        <v>12</v>
      </c>
      <c r="K519" s="3" t="s">
        <v>3995</v>
      </c>
      <c r="L519" s="1" t="s">
        <v>3987</v>
      </c>
      <c r="M519" s="1" t="s">
        <v>3996</v>
      </c>
      <c r="N519" s="1" t="s">
        <v>13</v>
      </c>
      <c r="O519" s="1" t="s">
        <v>3996</v>
      </c>
      <c r="P519" s="1" t="s">
        <v>13</v>
      </c>
      <c r="Q519" s="1" t="s">
        <v>14</v>
      </c>
      <c r="R519" s="1" t="s">
        <v>24</v>
      </c>
      <c r="S519" s="1" t="s">
        <v>4007</v>
      </c>
      <c r="T519" s="4">
        <v>7.2</v>
      </c>
    </row>
    <row r="520" spans="1:20">
      <c r="A520" s="1" t="s">
        <v>3981</v>
      </c>
      <c r="B520" s="1" t="s">
        <v>301</v>
      </c>
      <c r="C520" s="1" t="s">
        <v>3982</v>
      </c>
      <c r="D520" s="1" t="s">
        <v>425</v>
      </c>
      <c r="E520" s="2">
        <v>45779</v>
      </c>
      <c r="F520" s="2">
        <v>45772</v>
      </c>
      <c r="G520" s="1" t="s">
        <v>4005</v>
      </c>
      <c r="H520" s="3" t="s">
        <v>21</v>
      </c>
      <c r="I520" s="1" t="s">
        <v>3984</v>
      </c>
      <c r="J520" s="1" t="s">
        <v>12</v>
      </c>
      <c r="K520" s="3" t="s">
        <v>3995</v>
      </c>
      <c r="L520" s="1" t="s">
        <v>3987</v>
      </c>
      <c r="M520" s="1" t="s">
        <v>3996</v>
      </c>
      <c r="N520" s="1" t="s">
        <v>13</v>
      </c>
      <c r="O520" s="1" t="s">
        <v>3996</v>
      </c>
      <c r="P520" s="1" t="s">
        <v>13</v>
      </c>
      <c r="Q520" s="1" t="s">
        <v>14</v>
      </c>
      <c r="R520" s="1" t="s">
        <v>42</v>
      </c>
      <c r="S520" s="1" t="s">
        <v>4007</v>
      </c>
      <c r="T520" s="4">
        <v>7.8</v>
      </c>
    </row>
    <row r="521" spans="1:20">
      <c r="A521" s="1" t="s">
        <v>3981</v>
      </c>
      <c r="B521" s="1" t="s">
        <v>301</v>
      </c>
      <c r="C521" s="1" t="s">
        <v>3982</v>
      </c>
      <c r="D521" s="1" t="s">
        <v>425</v>
      </c>
      <c r="E521" s="2">
        <v>45779</v>
      </c>
      <c r="F521" s="2">
        <v>45772</v>
      </c>
      <c r="G521" s="1" t="s">
        <v>4005</v>
      </c>
      <c r="H521" s="3" t="s">
        <v>21</v>
      </c>
      <c r="I521" s="1" t="s">
        <v>3984</v>
      </c>
      <c r="J521" s="1" t="s">
        <v>12</v>
      </c>
      <c r="K521" s="3" t="s">
        <v>3995</v>
      </c>
      <c r="L521" s="1" t="s">
        <v>3987</v>
      </c>
      <c r="M521" s="1" t="s">
        <v>3996</v>
      </c>
      <c r="N521" s="1" t="s">
        <v>13</v>
      </c>
      <c r="O521" s="1" t="s">
        <v>3996</v>
      </c>
      <c r="P521" s="1" t="s">
        <v>13</v>
      </c>
      <c r="Q521" s="1" t="s">
        <v>28</v>
      </c>
      <c r="R521" s="1" t="s">
        <v>58</v>
      </c>
      <c r="S521" s="1" t="s">
        <v>4007</v>
      </c>
      <c r="T521" s="4">
        <v>1.3</v>
      </c>
    </row>
    <row r="522" spans="1:20">
      <c r="A522" s="1" t="s">
        <v>3981</v>
      </c>
      <c r="B522" s="1" t="s">
        <v>301</v>
      </c>
      <c r="C522" s="1" t="s">
        <v>3982</v>
      </c>
      <c r="D522" s="1" t="s">
        <v>425</v>
      </c>
      <c r="E522" s="2">
        <v>45779</v>
      </c>
      <c r="F522" s="2">
        <v>45772</v>
      </c>
      <c r="G522" s="1" t="s">
        <v>4005</v>
      </c>
      <c r="H522" s="3" t="s">
        <v>21</v>
      </c>
      <c r="I522" s="1" t="s">
        <v>3984</v>
      </c>
      <c r="J522" s="1" t="s">
        <v>12</v>
      </c>
      <c r="K522" s="3" t="s">
        <v>3995</v>
      </c>
      <c r="L522" s="1" t="s">
        <v>3987</v>
      </c>
      <c r="M522" s="1" t="s">
        <v>3996</v>
      </c>
      <c r="N522" s="1" t="s">
        <v>13</v>
      </c>
      <c r="O522" s="1" t="s">
        <v>3996</v>
      </c>
      <c r="P522" s="1" t="s">
        <v>13</v>
      </c>
      <c r="Q522" s="1" t="s">
        <v>28</v>
      </c>
      <c r="R522" s="1" t="s">
        <v>43</v>
      </c>
      <c r="S522" s="1" t="s">
        <v>4007</v>
      </c>
      <c r="T522" s="4">
        <v>24.5</v>
      </c>
    </row>
    <row r="523" spans="1:20">
      <c r="A523" s="1" t="s">
        <v>3981</v>
      </c>
      <c r="B523" s="1" t="s">
        <v>301</v>
      </c>
      <c r="C523" s="1" t="s">
        <v>3982</v>
      </c>
      <c r="D523" s="1" t="s">
        <v>425</v>
      </c>
      <c r="E523" s="2">
        <v>45779</v>
      </c>
      <c r="F523" s="2">
        <v>45772</v>
      </c>
      <c r="G523" s="1" t="s">
        <v>4008</v>
      </c>
      <c r="H523" s="3" t="s">
        <v>25</v>
      </c>
      <c r="I523" s="1" t="s">
        <v>3984</v>
      </c>
      <c r="J523" s="1" t="s">
        <v>12</v>
      </c>
      <c r="K523" s="3" t="s">
        <v>3995</v>
      </c>
      <c r="L523" s="1" t="s">
        <v>4013</v>
      </c>
      <c r="M523" s="1" t="s">
        <v>4035</v>
      </c>
      <c r="N523" s="1" t="s">
        <v>4036</v>
      </c>
      <c r="O523" s="1" t="s">
        <v>13</v>
      </c>
      <c r="P523" s="1" t="s">
        <v>13</v>
      </c>
      <c r="Q523" s="1" t="s">
        <v>13</v>
      </c>
      <c r="R523" s="1" t="s">
        <v>13</v>
      </c>
      <c r="S523" s="1" t="s">
        <v>4009</v>
      </c>
      <c r="T523" s="4">
        <v>1</v>
      </c>
    </row>
    <row r="524" spans="1:20">
      <c r="A524" s="1" t="s">
        <v>3981</v>
      </c>
      <c r="B524" s="1" t="s">
        <v>301</v>
      </c>
      <c r="C524" s="1" t="s">
        <v>3982</v>
      </c>
      <c r="D524" s="1" t="s">
        <v>425</v>
      </c>
      <c r="E524" s="2">
        <v>45779</v>
      </c>
      <c r="F524" s="2">
        <v>45772</v>
      </c>
      <c r="G524" s="1" t="s">
        <v>4008</v>
      </c>
      <c r="H524" s="3" t="s">
        <v>25</v>
      </c>
      <c r="I524" s="1" t="s">
        <v>3984</v>
      </c>
      <c r="J524" s="1" t="s">
        <v>12</v>
      </c>
      <c r="K524" s="3" t="s">
        <v>3995</v>
      </c>
      <c r="L524" s="1" t="s">
        <v>3987</v>
      </c>
      <c r="M524" s="1" t="s">
        <v>3996</v>
      </c>
      <c r="N524" s="1" t="s">
        <v>13</v>
      </c>
      <c r="O524" s="1" t="s">
        <v>3996</v>
      </c>
      <c r="P524" s="1" t="s">
        <v>13</v>
      </c>
      <c r="Q524" s="1" t="s">
        <v>14</v>
      </c>
      <c r="R524" s="1" t="s">
        <v>37</v>
      </c>
      <c r="S524" s="1" t="s">
        <v>4009</v>
      </c>
      <c r="T524" s="4">
        <v>0.5</v>
      </c>
    </row>
    <row r="525" spans="1:20">
      <c r="A525" s="1" t="s">
        <v>3981</v>
      </c>
      <c r="B525" s="1" t="s">
        <v>301</v>
      </c>
      <c r="C525" s="1" t="s">
        <v>3982</v>
      </c>
      <c r="D525" s="1" t="s">
        <v>425</v>
      </c>
      <c r="E525" s="2">
        <v>45779</v>
      </c>
      <c r="F525" s="2">
        <v>45772</v>
      </c>
      <c r="G525" s="1" t="s">
        <v>4008</v>
      </c>
      <c r="H525" s="3" t="s">
        <v>25</v>
      </c>
      <c r="I525" s="1" t="s">
        <v>3984</v>
      </c>
      <c r="J525" s="1" t="s">
        <v>12</v>
      </c>
      <c r="K525" s="3" t="s">
        <v>3995</v>
      </c>
      <c r="L525" s="1" t="s">
        <v>3987</v>
      </c>
      <c r="M525" s="1" t="s">
        <v>3996</v>
      </c>
      <c r="N525" s="1" t="s">
        <v>13</v>
      </c>
      <c r="O525" s="1" t="s">
        <v>3996</v>
      </c>
      <c r="P525" s="1" t="s">
        <v>13</v>
      </c>
      <c r="Q525" s="1" t="s">
        <v>28</v>
      </c>
      <c r="R525" s="1" t="s">
        <v>29</v>
      </c>
      <c r="S525" s="1" t="s">
        <v>4009</v>
      </c>
      <c r="T525" s="4">
        <v>1</v>
      </c>
    </row>
    <row r="526" spans="1:20">
      <c r="A526" s="1" t="s">
        <v>3981</v>
      </c>
      <c r="B526" s="1" t="s">
        <v>301</v>
      </c>
      <c r="C526" s="1" t="s">
        <v>3982</v>
      </c>
      <c r="D526" s="1" t="s">
        <v>425</v>
      </c>
      <c r="E526" s="2">
        <v>45779</v>
      </c>
      <c r="F526" s="2">
        <v>45772</v>
      </c>
      <c r="G526" s="1" t="s">
        <v>4008</v>
      </c>
      <c r="H526" s="3" t="s">
        <v>25</v>
      </c>
      <c r="I526" s="1" t="s">
        <v>3984</v>
      </c>
      <c r="J526" s="1" t="s">
        <v>12</v>
      </c>
      <c r="K526" s="3" t="s">
        <v>3995</v>
      </c>
      <c r="L526" s="1" t="s">
        <v>3987</v>
      </c>
      <c r="M526" s="1" t="s">
        <v>3996</v>
      </c>
      <c r="N526" s="1" t="s">
        <v>13</v>
      </c>
      <c r="O526" s="1" t="s">
        <v>3996</v>
      </c>
      <c r="P526" s="1" t="s">
        <v>13</v>
      </c>
      <c r="Q526" s="1" t="s">
        <v>44</v>
      </c>
      <c r="R526" s="1" t="s">
        <v>45</v>
      </c>
      <c r="S526" s="1" t="s">
        <v>4009</v>
      </c>
      <c r="T526" s="4">
        <v>8</v>
      </c>
    </row>
    <row r="527" spans="1:20">
      <c r="A527" s="1" t="s">
        <v>3981</v>
      </c>
      <c r="B527" s="1" t="s">
        <v>301</v>
      </c>
      <c r="C527" s="1" t="s">
        <v>3982</v>
      </c>
      <c r="D527" s="1" t="s">
        <v>425</v>
      </c>
      <c r="E527" s="2">
        <v>45779</v>
      </c>
      <c r="F527" s="2">
        <v>45772</v>
      </c>
      <c r="G527" s="1" t="s">
        <v>4008</v>
      </c>
      <c r="H527" s="3" t="s">
        <v>25</v>
      </c>
      <c r="I527" s="1" t="s">
        <v>3984</v>
      </c>
      <c r="J527" s="1" t="s">
        <v>12</v>
      </c>
      <c r="K527" s="3" t="s">
        <v>3995</v>
      </c>
      <c r="L527" s="1" t="s">
        <v>3987</v>
      </c>
      <c r="M527" s="1" t="s">
        <v>3996</v>
      </c>
      <c r="N527" s="1" t="s">
        <v>13</v>
      </c>
      <c r="O527" s="1" t="s">
        <v>3996</v>
      </c>
      <c r="P527" s="1" t="s">
        <v>13</v>
      </c>
      <c r="Q527" s="1" t="s">
        <v>38</v>
      </c>
      <c r="R527" s="1" t="s">
        <v>46</v>
      </c>
      <c r="S527" s="1" t="s">
        <v>4009</v>
      </c>
      <c r="T527" s="4">
        <v>8</v>
      </c>
    </row>
    <row r="528" spans="1:20">
      <c r="A528" s="1" t="s">
        <v>3981</v>
      </c>
      <c r="B528" s="1" t="s">
        <v>301</v>
      </c>
      <c r="C528" s="1" t="s">
        <v>3982</v>
      </c>
      <c r="D528" s="1" t="s">
        <v>425</v>
      </c>
      <c r="E528" s="2">
        <v>45779</v>
      </c>
      <c r="F528" s="2">
        <v>45772</v>
      </c>
      <c r="G528" s="1" t="s">
        <v>4008</v>
      </c>
      <c r="H528" s="3" t="s">
        <v>25</v>
      </c>
      <c r="I528" s="1" t="s">
        <v>3984</v>
      </c>
      <c r="J528" s="1" t="s">
        <v>12</v>
      </c>
      <c r="K528" s="3" t="s">
        <v>3995</v>
      </c>
      <c r="L528" s="1" t="s">
        <v>3987</v>
      </c>
      <c r="M528" s="1" t="s">
        <v>3996</v>
      </c>
      <c r="N528" s="1" t="s">
        <v>13</v>
      </c>
      <c r="O528" s="1" t="s">
        <v>3996</v>
      </c>
      <c r="P528" s="1" t="s">
        <v>13</v>
      </c>
      <c r="Q528" s="1" t="s">
        <v>30</v>
      </c>
      <c r="R528" s="1" t="s">
        <v>67</v>
      </c>
      <c r="S528" s="1" t="s">
        <v>4009</v>
      </c>
      <c r="T528" s="4">
        <v>3</v>
      </c>
    </row>
    <row r="529" spans="1:20">
      <c r="A529" s="1" t="s">
        <v>3981</v>
      </c>
      <c r="B529" s="1" t="s">
        <v>301</v>
      </c>
      <c r="C529" s="1" t="s">
        <v>3982</v>
      </c>
      <c r="D529" s="1" t="s">
        <v>425</v>
      </c>
      <c r="E529" s="2">
        <v>45779</v>
      </c>
      <c r="F529" s="2">
        <v>45772</v>
      </c>
      <c r="G529" s="1" t="s">
        <v>4008</v>
      </c>
      <c r="H529" s="3" t="s">
        <v>25</v>
      </c>
      <c r="I529" s="1" t="s">
        <v>3984</v>
      </c>
      <c r="J529" s="1" t="s">
        <v>12</v>
      </c>
      <c r="K529" s="3" t="s">
        <v>3995</v>
      </c>
      <c r="L529" s="1" t="s">
        <v>3987</v>
      </c>
      <c r="M529" s="1" t="s">
        <v>3996</v>
      </c>
      <c r="N529" s="1" t="s">
        <v>13</v>
      </c>
      <c r="O529" s="1" t="s">
        <v>3996</v>
      </c>
      <c r="P529" s="1" t="s">
        <v>13</v>
      </c>
      <c r="Q529" s="1" t="s">
        <v>30</v>
      </c>
      <c r="R529" s="1" t="s">
        <v>62</v>
      </c>
      <c r="S529" s="1" t="s">
        <v>4009</v>
      </c>
      <c r="T529" s="4">
        <v>9.5</v>
      </c>
    </row>
    <row r="530" spans="1:20">
      <c r="A530" s="1" t="s">
        <v>3981</v>
      </c>
      <c r="B530" s="1" t="s">
        <v>301</v>
      </c>
      <c r="C530" s="1" t="s">
        <v>3982</v>
      </c>
      <c r="D530" s="1" t="s">
        <v>425</v>
      </c>
      <c r="E530" s="2">
        <v>45779</v>
      </c>
      <c r="F530" s="2">
        <v>45772</v>
      </c>
      <c r="G530" s="1" t="s">
        <v>4008</v>
      </c>
      <c r="H530" s="3" t="s">
        <v>25</v>
      </c>
      <c r="I530" s="1" t="s">
        <v>3984</v>
      </c>
      <c r="J530" s="1" t="s">
        <v>12</v>
      </c>
      <c r="K530" s="3" t="s">
        <v>3995</v>
      </c>
      <c r="L530" s="1" t="s">
        <v>3987</v>
      </c>
      <c r="M530" s="1" t="s">
        <v>3996</v>
      </c>
      <c r="N530" s="1" t="s">
        <v>13</v>
      </c>
      <c r="O530" s="1" t="s">
        <v>3996</v>
      </c>
      <c r="P530" s="1" t="s">
        <v>13</v>
      </c>
      <c r="Q530" s="1" t="s">
        <v>30</v>
      </c>
      <c r="R530" s="1" t="s">
        <v>68</v>
      </c>
      <c r="S530" s="1" t="s">
        <v>4009</v>
      </c>
      <c r="T530" s="4">
        <v>3</v>
      </c>
    </row>
    <row r="531" spans="1:20">
      <c r="A531" s="1" t="s">
        <v>3981</v>
      </c>
      <c r="B531" s="1" t="s">
        <v>301</v>
      </c>
      <c r="C531" s="1" t="s">
        <v>3982</v>
      </c>
      <c r="D531" s="1" t="s">
        <v>391</v>
      </c>
      <c r="E531" s="2">
        <v>45779</v>
      </c>
      <c r="F531" s="2">
        <v>45779</v>
      </c>
      <c r="G531" s="1" t="s">
        <v>3983</v>
      </c>
      <c r="H531" s="3" t="s">
        <v>32</v>
      </c>
      <c r="I531" s="1" t="s">
        <v>3984</v>
      </c>
      <c r="J531" s="1" t="s">
        <v>12</v>
      </c>
      <c r="K531" s="3" t="s">
        <v>3995</v>
      </c>
      <c r="L531" s="1" t="s">
        <v>3987</v>
      </c>
      <c r="M531" s="1" t="s">
        <v>3999</v>
      </c>
      <c r="N531" s="1" t="s">
        <v>13</v>
      </c>
      <c r="O531" s="1" t="s">
        <v>3999</v>
      </c>
      <c r="P531" s="1" t="s">
        <v>13</v>
      </c>
      <c r="Q531" s="1" t="s">
        <v>4044</v>
      </c>
      <c r="R531" s="1" t="s">
        <v>4037</v>
      </c>
      <c r="S531" s="1" t="s">
        <v>3989</v>
      </c>
      <c r="T531" s="4">
        <v>1</v>
      </c>
    </row>
    <row r="532" spans="1:20">
      <c r="A532" s="1" t="s">
        <v>3981</v>
      </c>
      <c r="B532" s="1" t="s">
        <v>301</v>
      </c>
      <c r="C532" s="1" t="s">
        <v>3982</v>
      </c>
      <c r="D532" s="1" t="s">
        <v>391</v>
      </c>
      <c r="E532" s="2">
        <v>45779</v>
      </c>
      <c r="F532" s="2">
        <v>45779</v>
      </c>
      <c r="G532" s="1" t="s">
        <v>3983</v>
      </c>
      <c r="H532" s="3" t="s">
        <v>32</v>
      </c>
      <c r="I532" s="1" t="s">
        <v>3984</v>
      </c>
      <c r="J532" s="1" t="s">
        <v>12</v>
      </c>
      <c r="K532" s="3" t="s">
        <v>3995</v>
      </c>
      <c r="L532" s="1" t="s">
        <v>3987</v>
      </c>
      <c r="M532" s="1" t="s">
        <v>3996</v>
      </c>
      <c r="N532" s="1" t="s">
        <v>13</v>
      </c>
      <c r="O532" s="1" t="s">
        <v>3996</v>
      </c>
      <c r="P532" s="1" t="s">
        <v>13</v>
      </c>
      <c r="Q532" s="1" t="s">
        <v>14</v>
      </c>
      <c r="R532" s="1" t="s">
        <v>54</v>
      </c>
      <c r="S532" s="1" t="s">
        <v>3989</v>
      </c>
      <c r="T532" s="4">
        <v>2</v>
      </c>
    </row>
    <row r="533" spans="1:20">
      <c r="A533" s="1" t="s">
        <v>3981</v>
      </c>
      <c r="B533" s="1" t="s">
        <v>301</v>
      </c>
      <c r="C533" s="1" t="s">
        <v>3982</v>
      </c>
      <c r="D533" s="1" t="s">
        <v>391</v>
      </c>
      <c r="E533" s="2">
        <v>45779</v>
      </c>
      <c r="F533" s="2">
        <v>45779</v>
      </c>
      <c r="G533" s="1" t="s">
        <v>3983</v>
      </c>
      <c r="H533" s="3" t="s">
        <v>32</v>
      </c>
      <c r="I533" s="1" t="s">
        <v>3984</v>
      </c>
      <c r="J533" s="1" t="s">
        <v>12</v>
      </c>
      <c r="K533" s="3" t="s">
        <v>3995</v>
      </c>
      <c r="L533" s="1" t="s">
        <v>3987</v>
      </c>
      <c r="M533" s="1" t="s">
        <v>3996</v>
      </c>
      <c r="N533" s="1" t="s">
        <v>13</v>
      </c>
      <c r="O533" s="1" t="s">
        <v>3996</v>
      </c>
      <c r="P533" s="1" t="s">
        <v>13</v>
      </c>
      <c r="Q533" s="1" t="s">
        <v>44</v>
      </c>
      <c r="R533" s="1" t="s">
        <v>47</v>
      </c>
      <c r="S533" s="1" t="s">
        <v>3989</v>
      </c>
      <c r="T533" s="4">
        <v>38</v>
      </c>
    </row>
    <row r="534" spans="1:20">
      <c r="A534" s="1" t="s">
        <v>3981</v>
      </c>
      <c r="B534" s="1" t="s">
        <v>301</v>
      </c>
      <c r="C534" s="1" t="s">
        <v>3982</v>
      </c>
      <c r="D534" s="1" t="s">
        <v>391</v>
      </c>
      <c r="E534" s="2">
        <v>45779</v>
      </c>
      <c r="F534" s="2">
        <v>45779</v>
      </c>
      <c r="G534" s="1" t="s">
        <v>3990</v>
      </c>
      <c r="H534" s="3" t="s">
        <v>11</v>
      </c>
      <c r="I534" s="1" t="s">
        <v>3984</v>
      </c>
      <c r="J534" s="1" t="s">
        <v>12</v>
      </c>
      <c r="K534" s="3" t="s">
        <v>3995</v>
      </c>
      <c r="L534" s="1" t="s">
        <v>3987</v>
      </c>
      <c r="M534" s="1" t="s">
        <v>3996</v>
      </c>
      <c r="N534" s="1" t="s">
        <v>13</v>
      </c>
      <c r="O534" s="1" t="s">
        <v>3996</v>
      </c>
      <c r="P534" s="1" t="s">
        <v>13</v>
      </c>
      <c r="Q534" s="1" t="s">
        <v>14</v>
      </c>
      <c r="R534" s="1" t="s">
        <v>27</v>
      </c>
      <c r="S534" s="1" t="s">
        <v>3994</v>
      </c>
      <c r="T534" s="4">
        <v>2.1</v>
      </c>
    </row>
    <row r="535" spans="1:20">
      <c r="A535" s="1" t="s">
        <v>3981</v>
      </c>
      <c r="B535" s="1" t="s">
        <v>301</v>
      </c>
      <c r="C535" s="1" t="s">
        <v>3982</v>
      </c>
      <c r="D535" s="1" t="s">
        <v>391</v>
      </c>
      <c r="E535" s="2">
        <v>45779</v>
      </c>
      <c r="F535" s="2">
        <v>45779</v>
      </c>
      <c r="G535" s="1" t="s">
        <v>3990</v>
      </c>
      <c r="H535" s="3" t="s">
        <v>11</v>
      </c>
      <c r="I535" s="1" t="s">
        <v>3984</v>
      </c>
      <c r="J535" s="1" t="s">
        <v>12</v>
      </c>
      <c r="K535" s="3" t="s">
        <v>3995</v>
      </c>
      <c r="L535" s="1" t="s">
        <v>3987</v>
      </c>
      <c r="M535" s="1" t="s">
        <v>3996</v>
      </c>
      <c r="N535" s="1" t="s">
        <v>13</v>
      </c>
      <c r="O535" s="1" t="s">
        <v>3996</v>
      </c>
      <c r="P535" s="1" t="s">
        <v>13</v>
      </c>
      <c r="Q535" s="1" t="s">
        <v>14</v>
      </c>
      <c r="R535" s="1" t="s">
        <v>56</v>
      </c>
      <c r="S535" s="1" t="s">
        <v>3994</v>
      </c>
      <c r="T535" s="4">
        <v>1.3</v>
      </c>
    </row>
    <row r="536" spans="1:20">
      <c r="A536" s="1" t="s">
        <v>3981</v>
      </c>
      <c r="B536" s="1" t="s">
        <v>301</v>
      </c>
      <c r="C536" s="1" t="s">
        <v>3982</v>
      </c>
      <c r="D536" s="1" t="s">
        <v>391</v>
      </c>
      <c r="E536" s="2">
        <v>45779</v>
      </c>
      <c r="F536" s="2">
        <v>45779</v>
      </c>
      <c r="G536" s="1" t="s">
        <v>3990</v>
      </c>
      <c r="H536" s="3" t="s">
        <v>11</v>
      </c>
      <c r="I536" s="1" t="s">
        <v>3984</v>
      </c>
      <c r="J536" s="1" t="s">
        <v>12</v>
      </c>
      <c r="K536" s="3" t="s">
        <v>3995</v>
      </c>
      <c r="L536" s="1" t="s">
        <v>3987</v>
      </c>
      <c r="M536" s="1" t="s">
        <v>3996</v>
      </c>
      <c r="N536" s="1" t="s">
        <v>13</v>
      </c>
      <c r="O536" s="1" t="s">
        <v>3996</v>
      </c>
      <c r="P536" s="1" t="s">
        <v>13</v>
      </c>
      <c r="Q536" s="1" t="s">
        <v>14</v>
      </c>
      <c r="R536" s="1" t="s">
        <v>37</v>
      </c>
      <c r="S536" s="1" t="s">
        <v>3994</v>
      </c>
      <c r="T536" s="4">
        <v>1.3</v>
      </c>
    </row>
    <row r="537" spans="1:20">
      <c r="A537" s="1" t="s">
        <v>3981</v>
      </c>
      <c r="B537" s="1" t="s">
        <v>301</v>
      </c>
      <c r="C537" s="1" t="s">
        <v>3982</v>
      </c>
      <c r="D537" s="1" t="s">
        <v>391</v>
      </c>
      <c r="E537" s="2">
        <v>45779</v>
      </c>
      <c r="F537" s="2">
        <v>45779</v>
      </c>
      <c r="G537" s="1" t="s">
        <v>3990</v>
      </c>
      <c r="H537" s="3" t="s">
        <v>11</v>
      </c>
      <c r="I537" s="1" t="s">
        <v>3984</v>
      </c>
      <c r="J537" s="1" t="s">
        <v>12</v>
      </c>
      <c r="K537" s="3" t="s">
        <v>3995</v>
      </c>
      <c r="L537" s="1" t="s">
        <v>3987</v>
      </c>
      <c r="M537" s="1" t="s">
        <v>3996</v>
      </c>
      <c r="N537" s="1" t="s">
        <v>13</v>
      </c>
      <c r="O537" s="1" t="s">
        <v>3996</v>
      </c>
      <c r="P537" s="1" t="s">
        <v>13</v>
      </c>
      <c r="Q537" s="1" t="s">
        <v>14</v>
      </c>
      <c r="R537" s="1" t="s">
        <v>15</v>
      </c>
      <c r="S537" s="1" t="s">
        <v>3994</v>
      </c>
      <c r="T537" s="4">
        <v>5.8</v>
      </c>
    </row>
    <row r="538" spans="1:20">
      <c r="A538" s="1" t="s">
        <v>3981</v>
      </c>
      <c r="B538" s="1" t="s">
        <v>301</v>
      </c>
      <c r="C538" s="1" t="s">
        <v>3982</v>
      </c>
      <c r="D538" s="1" t="s">
        <v>391</v>
      </c>
      <c r="E538" s="2">
        <v>45779</v>
      </c>
      <c r="F538" s="2">
        <v>45779</v>
      </c>
      <c r="G538" s="1" t="s">
        <v>3990</v>
      </c>
      <c r="H538" s="3" t="s">
        <v>11</v>
      </c>
      <c r="I538" s="1" t="s">
        <v>3984</v>
      </c>
      <c r="J538" s="1" t="s">
        <v>12</v>
      </c>
      <c r="K538" s="3" t="s">
        <v>3995</v>
      </c>
      <c r="L538" s="1" t="s">
        <v>3987</v>
      </c>
      <c r="M538" s="1" t="s">
        <v>3996</v>
      </c>
      <c r="N538" s="1" t="s">
        <v>13</v>
      </c>
      <c r="O538" s="1" t="s">
        <v>3996</v>
      </c>
      <c r="P538" s="1" t="s">
        <v>13</v>
      </c>
      <c r="Q538" s="1" t="s">
        <v>28</v>
      </c>
      <c r="R538" s="1" t="s">
        <v>43</v>
      </c>
      <c r="S538" s="1" t="s">
        <v>3994</v>
      </c>
      <c r="T538" s="4">
        <v>4.8</v>
      </c>
    </row>
    <row r="539" spans="1:20">
      <c r="A539" s="1" t="s">
        <v>3981</v>
      </c>
      <c r="B539" s="1" t="s">
        <v>301</v>
      </c>
      <c r="C539" s="1" t="s">
        <v>3982</v>
      </c>
      <c r="D539" s="1" t="s">
        <v>391</v>
      </c>
      <c r="E539" s="2">
        <v>45779</v>
      </c>
      <c r="F539" s="2">
        <v>45779</v>
      </c>
      <c r="G539" s="1" t="s">
        <v>3990</v>
      </c>
      <c r="H539" s="3" t="s">
        <v>11</v>
      </c>
      <c r="I539" s="1" t="s">
        <v>3984</v>
      </c>
      <c r="J539" s="1" t="s">
        <v>12</v>
      </c>
      <c r="K539" s="3" t="s">
        <v>3995</v>
      </c>
      <c r="L539" s="1" t="s">
        <v>3987</v>
      </c>
      <c r="M539" s="1" t="s">
        <v>3996</v>
      </c>
      <c r="N539" s="1" t="s">
        <v>13</v>
      </c>
      <c r="O539" s="1" t="s">
        <v>3996</v>
      </c>
      <c r="P539" s="1" t="s">
        <v>13</v>
      </c>
      <c r="Q539" s="1" t="s">
        <v>44</v>
      </c>
      <c r="R539" s="1" t="s">
        <v>47</v>
      </c>
      <c r="S539" s="1" t="s">
        <v>3994</v>
      </c>
      <c r="T539" s="4">
        <v>3</v>
      </c>
    </row>
    <row r="540" spans="1:20">
      <c r="A540" s="1" t="s">
        <v>3981</v>
      </c>
      <c r="B540" s="1" t="s">
        <v>301</v>
      </c>
      <c r="C540" s="1" t="s">
        <v>3982</v>
      </c>
      <c r="D540" s="1" t="s">
        <v>391</v>
      </c>
      <c r="E540" s="2">
        <v>45779</v>
      </c>
      <c r="F540" s="2">
        <v>45779</v>
      </c>
      <c r="G540" s="1" t="s">
        <v>3990</v>
      </c>
      <c r="H540" s="3" t="s">
        <v>11</v>
      </c>
      <c r="I540" s="1" t="s">
        <v>3984</v>
      </c>
      <c r="J540" s="1" t="s">
        <v>12</v>
      </c>
      <c r="K540" s="3" t="s">
        <v>3995</v>
      </c>
      <c r="L540" s="1" t="s">
        <v>3987</v>
      </c>
      <c r="M540" s="1" t="s">
        <v>3996</v>
      </c>
      <c r="N540" s="1" t="s">
        <v>13</v>
      </c>
      <c r="O540" s="1" t="s">
        <v>3996</v>
      </c>
      <c r="P540" s="1" t="s">
        <v>13</v>
      </c>
      <c r="Q540" s="1" t="s">
        <v>16</v>
      </c>
      <c r="R540" s="1" t="s">
        <v>17</v>
      </c>
      <c r="S540" s="1" t="s">
        <v>3994</v>
      </c>
      <c r="T540" s="4">
        <v>2</v>
      </c>
    </row>
    <row r="541" spans="1:20">
      <c r="A541" s="1" t="s">
        <v>3981</v>
      </c>
      <c r="B541" s="1" t="s">
        <v>301</v>
      </c>
      <c r="C541" s="1" t="s">
        <v>3982</v>
      </c>
      <c r="D541" s="1" t="s">
        <v>391</v>
      </c>
      <c r="E541" s="2">
        <v>45779</v>
      </c>
      <c r="F541" s="2">
        <v>45779</v>
      </c>
      <c r="G541" s="1" t="s">
        <v>3990</v>
      </c>
      <c r="H541" s="3" t="s">
        <v>11</v>
      </c>
      <c r="I541" s="1" t="s">
        <v>3984</v>
      </c>
      <c r="J541" s="1" t="s">
        <v>12</v>
      </c>
      <c r="K541" s="3" t="s">
        <v>3995</v>
      </c>
      <c r="L541" s="1" t="s">
        <v>3987</v>
      </c>
      <c r="M541" s="1" t="s">
        <v>3996</v>
      </c>
      <c r="N541" s="1" t="s">
        <v>13</v>
      </c>
      <c r="O541" s="1" t="s">
        <v>3996</v>
      </c>
      <c r="P541" s="1" t="s">
        <v>13</v>
      </c>
      <c r="Q541" s="1" t="s">
        <v>16</v>
      </c>
      <c r="R541" s="1" t="s">
        <v>74</v>
      </c>
      <c r="S541" s="1" t="s">
        <v>3994</v>
      </c>
      <c r="T541" s="4">
        <v>1.1000000000000001</v>
      </c>
    </row>
    <row r="542" spans="1:20">
      <c r="A542" s="1" t="s">
        <v>3981</v>
      </c>
      <c r="B542" s="1" t="s">
        <v>301</v>
      </c>
      <c r="C542" s="1" t="s">
        <v>3982</v>
      </c>
      <c r="D542" s="1" t="s">
        <v>391</v>
      </c>
      <c r="E542" s="2">
        <v>45779</v>
      </c>
      <c r="F542" s="2">
        <v>45779</v>
      </c>
      <c r="G542" s="1" t="s">
        <v>3990</v>
      </c>
      <c r="H542" s="3" t="s">
        <v>11</v>
      </c>
      <c r="I542" s="1" t="s">
        <v>3984</v>
      </c>
      <c r="J542" s="1" t="s">
        <v>12</v>
      </c>
      <c r="K542" s="3" t="s">
        <v>3995</v>
      </c>
      <c r="L542" s="1" t="s">
        <v>3987</v>
      </c>
      <c r="M542" s="1" t="s">
        <v>3996</v>
      </c>
      <c r="N542" s="1" t="s">
        <v>13</v>
      </c>
      <c r="O542" s="1" t="s">
        <v>3996</v>
      </c>
      <c r="P542" s="1" t="s">
        <v>13</v>
      </c>
      <c r="Q542" s="1" t="s">
        <v>16</v>
      </c>
      <c r="R542" s="1" t="s">
        <v>61</v>
      </c>
      <c r="S542" s="1" t="s">
        <v>3994</v>
      </c>
      <c r="T542" s="4">
        <v>0.8</v>
      </c>
    </row>
    <row r="543" spans="1:20">
      <c r="A543" s="1" t="s">
        <v>3981</v>
      </c>
      <c r="B543" s="1" t="s">
        <v>301</v>
      </c>
      <c r="C543" s="1" t="s">
        <v>3982</v>
      </c>
      <c r="D543" s="1" t="s">
        <v>391</v>
      </c>
      <c r="E543" s="2">
        <v>45779</v>
      </c>
      <c r="F543" s="2">
        <v>45779</v>
      </c>
      <c r="G543" s="1" t="s">
        <v>3990</v>
      </c>
      <c r="H543" s="3" t="s">
        <v>11</v>
      </c>
      <c r="I543" s="1" t="s">
        <v>3984</v>
      </c>
      <c r="J543" s="1" t="s">
        <v>12</v>
      </c>
      <c r="K543" s="3" t="s">
        <v>3995</v>
      </c>
      <c r="L543" s="1" t="s">
        <v>3987</v>
      </c>
      <c r="M543" s="1" t="s">
        <v>3996</v>
      </c>
      <c r="N543" s="1" t="s">
        <v>13</v>
      </c>
      <c r="O543" s="1" t="s">
        <v>3996</v>
      </c>
      <c r="P543" s="1" t="s">
        <v>13</v>
      </c>
      <c r="Q543" s="1" t="s">
        <v>19</v>
      </c>
      <c r="R543" s="1" t="s">
        <v>73</v>
      </c>
      <c r="S543" s="1" t="s">
        <v>3994</v>
      </c>
      <c r="T543" s="4">
        <v>5.5</v>
      </c>
    </row>
    <row r="544" spans="1:20">
      <c r="A544" s="1" t="s">
        <v>3981</v>
      </c>
      <c r="B544" s="1" t="s">
        <v>301</v>
      </c>
      <c r="C544" s="1" t="s">
        <v>3982</v>
      </c>
      <c r="D544" s="1" t="s">
        <v>391</v>
      </c>
      <c r="E544" s="2">
        <v>45779</v>
      </c>
      <c r="F544" s="2">
        <v>45779</v>
      </c>
      <c r="G544" s="1" t="s">
        <v>3990</v>
      </c>
      <c r="H544" s="3" t="s">
        <v>11</v>
      </c>
      <c r="I544" s="1" t="s">
        <v>3984</v>
      </c>
      <c r="J544" s="1" t="s">
        <v>12</v>
      </c>
      <c r="K544" s="3" t="s">
        <v>3995</v>
      </c>
      <c r="L544" s="1" t="s">
        <v>3987</v>
      </c>
      <c r="M544" s="1" t="s">
        <v>4017</v>
      </c>
      <c r="N544" s="1" t="s">
        <v>4018</v>
      </c>
      <c r="O544" s="1" t="s">
        <v>13</v>
      </c>
      <c r="P544" s="1" t="s">
        <v>13</v>
      </c>
      <c r="Q544" s="1" t="s">
        <v>4019</v>
      </c>
      <c r="R544" s="1" t="s">
        <v>4019</v>
      </c>
      <c r="S544" s="1" t="s">
        <v>3994</v>
      </c>
      <c r="T544" s="4">
        <v>0.2</v>
      </c>
    </row>
    <row r="545" spans="1:20">
      <c r="A545" s="1" t="s">
        <v>3981</v>
      </c>
      <c r="B545" s="1" t="s">
        <v>301</v>
      </c>
      <c r="C545" s="1" t="s">
        <v>3982</v>
      </c>
      <c r="D545" s="1" t="s">
        <v>391</v>
      </c>
      <c r="E545" s="2">
        <v>45779</v>
      </c>
      <c r="F545" s="2">
        <v>45779</v>
      </c>
      <c r="G545" s="1" t="s">
        <v>3990</v>
      </c>
      <c r="H545" s="3" t="s">
        <v>11</v>
      </c>
      <c r="I545" s="1" t="s">
        <v>3984</v>
      </c>
      <c r="J545" s="1" t="s">
        <v>12</v>
      </c>
      <c r="K545" s="3" t="s">
        <v>3995</v>
      </c>
      <c r="L545" s="1" t="s">
        <v>3987</v>
      </c>
      <c r="M545" s="1" t="s">
        <v>4010</v>
      </c>
      <c r="N545" s="1" t="s">
        <v>4011</v>
      </c>
      <c r="O545" s="1" t="s">
        <v>13</v>
      </c>
      <c r="P545" s="1" t="s">
        <v>13</v>
      </c>
      <c r="Q545" s="1" t="s">
        <v>4001</v>
      </c>
      <c r="R545" s="1" t="s">
        <v>4012</v>
      </c>
      <c r="S545" s="1" t="s">
        <v>3994</v>
      </c>
      <c r="T545" s="4">
        <v>4.0999999999999996</v>
      </c>
    </row>
    <row r="546" spans="1:20">
      <c r="A546" s="1" t="s">
        <v>3981</v>
      </c>
      <c r="B546" s="1" t="s">
        <v>301</v>
      </c>
      <c r="C546" s="1" t="s">
        <v>3982</v>
      </c>
      <c r="D546" s="1" t="s">
        <v>391</v>
      </c>
      <c r="E546" s="2">
        <v>45779</v>
      </c>
      <c r="F546" s="2">
        <v>45779</v>
      </c>
      <c r="G546" s="1" t="s">
        <v>3990</v>
      </c>
      <c r="H546" s="3" t="s">
        <v>11</v>
      </c>
      <c r="I546" s="1" t="s">
        <v>3984</v>
      </c>
      <c r="J546" s="1" t="s">
        <v>12</v>
      </c>
      <c r="K546" s="3" t="s">
        <v>3995</v>
      </c>
      <c r="L546" s="1" t="s">
        <v>3987</v>
      </c>
      <c r="M546" s="1" t="s">
        <v>4055</v>
      </c>
      <c r="N546" s="1" t="s">
        <v>4056</v>
      </c>
      <c r="O546" s="1" t="s">
        <v>13</v>
      </c>
      <c r="P546" s="1" t="s">
        <v>13</v>
      </c>
      <c r="Q546" s="1" t="s">
        <v>4057</v>
      </c>
      <c r="R546" s="1" t="s">
        <v>4023</v>
      </c>
      <c r="S546" s="1" t="s">
        <v>3994</v>
      </c>
      <c r="T546" s="4">
        <v>7.9</v>
      </c>
    </row>
    <row r="547" spans="1:20">
      <c r="A547" s="1" t="s">
        <v>3981</v>
      </c>
      <c r="B547" s="1" t="s">
        <v>301</v>
      </c>
      <c r="C547" s="1" t="s">
        <v>3982</v>
      </c>
      <c r="D547" s="1" t="s">
        <v>391</v>
      </c>
      <c r="E547" s="2">
        <v>45779</v>
      </c>
      <c r="F547" s="2">
        <v>45779</v>
      </c>
      <c r="G547" s="1" t="s">
        <v>3997</v>
      </c>
      <c r="H547" s="3" t="s">
        <v>41</v>
      </c>
      <c r="I547" s="1" t="s">
        <v>3984</v>
      </c>
      <c r="J547" s="1" t="s">
        <v>12</v>
      </c>
      <c r="K547" s="3" t="s">
        <v>3995</v>
      </c>
      <c r="L547" s="1" t="s">
        <v>3987</v>
      </c>
      <c r="M547" s="1" t="s">
        <v>3999</v>
      </c>
      <c r="N547" s="1" t="s">
        <v>13</v>
      </c>
      <c r="O547" s="1" t="s">
        <v>3999</v>
      </c>
      <c r="P547" s="1" t="s">
        <v>13</v>
      </c>
      <c r="Q547" s="1" t="s">
        <v>4000</v>
      </c>
      <c r="R547" s="1" t="s">
        <v>4001</v>
      </c>
      <c r="S547" s="1" t="s">
        <v>3998</v>
      </c>
      <c r="T547" s="4">
        <v>24</v>
      </c>
    </row>
    <row r="548" spans="1:20">
      <c r="A548" s="1" t="s">
        <v>3981</v>
      </c>
      <c r="B548" s="1" t="s">
        <v>301</v>
      </c>
      <c r="C548" s="1" t="s">
        <v>3982</v>
      </c>
      <c r="D548" s="1" t="s">
        <v>391</v>
      </c>
      <c r="E548" s="2">
        <v>45779</v>
      </c>
      <c r="F548" s="2">
        <v>45779</v>
      </c>
      <c r="G548" s="1" t="s">
        <v>3997</v>
      </c>
      <c r="H548" s="3" t="s">
        <v>41</v>
      </c>
      <c r="I548" s="1" t="s">
        <v>3984</v>
      </c>
      <c r="J548" s="1" t="s">
        <v>12</v>
      </c>
      <c r="K548" s="3" t="s">
        <v>3995</v>
      </c>
      <c r="L548" s="1" t="s">
        <v>4002</v>
      </c>
      <c r="M548" s="1" t="s">
        <v>4003</v>
      </c>
      <c r="N548" s="1" t="s">
        <v>13</v>
      </c>
      <c r="O548" s="1" t="s">
        <v>4003</v>
      </c>
      <c r="P548" s="1" t="s">
        <v>13</v>
      </c>
      <c r="Q548" s="1" t="s">
        <v>4004</v>
      </c>
      <c r="R548" s="1" t="s">
        <v>4001</v>
      </c>
      <c r="S548" s="1" t="s">
        <v>3998</v>
      </c>
      <c r="T548" s="4">
        <v>17</v>
      </c>
    </row>
    <row r="549" spans="1:20">
      <c r="A549" s="1" t="s">
        <v>3981</v>
      </c>
      <c r="B549" s="1" t="s">
        <v>301</v>
      </c>
      <c r="C549" s="1" t="s">
        <v>3982</v>
      </c>
      <c r="D549" s="1" t="s">
        <v>391</v>
      </c>
      <c r="E549" s="2">
        <v>45779</v>
      </c>
      <c r="F549" s="2">
        <v>45779</v>
      </c>
      <c r="G549" s="1" t="s">
        <v>4005</v>
      </c>
      <c r="H549" s="3" t="s">
        <v>21</v>
      </c>
      <c r="I549" s="1" t="s">
        <v>3984</v>
      </c>
      <c r="J549" s="1" t="s">
        <v>3985</v>
      </c>
      <c r="K549" s="3" t="s">
        <v>3986</v>
      </c>
      <c r="L549" s="1" t="s">
        <v>3987</v>
      </c>
      <c r="M549" s="1" t="s">
        <v>13</v>
      </c>
      <c r="N549" s="1" t="s">
        <v>13</v>
      </c>
      <c r="O549" s="1" t="s">
        <v>3988</v>
      </c>
      <c r="P549" s="1" t="s">
        <v>13</v>
      </c>
      <c r="Q549" s="1" t="s">
        <v>13</v>
      </c>
      <c r="R549" s="1" t="s">
        <v>13</v>
      </c>
      <c r="S549" s="1" t="s">
        <v>4007</v>
      </c>
      <c r="T549" s="4">
        <v>0.9</v>
      </c>
    </row>
    <row r="550" spans="1:20">
      <c r="A550" s="1" t="s">
        <v>3981</v>
      </c>
      <c r="B550" s="1" t="s">
        <v>301</v>
      </c>
      <c r="C550" s="1" t="s">
        <v>3982</v>
      </c>
      <c r="D550" s="1" t="s">
        <v>391</v>
      </c>
      <c r="E550" s="2">
        <v>45779</v>
      </c>
      <c r="F550" s="2">
        <v>45779</v>
      </c>
      <c r="G550" s="1" t="s">
        <v>4005</v>
      </c>
      <c r="H550" s="3" t="s">
        <v>21</v>
      </c>
      <c r="I550" s="1" t="s">
        <v>3984</v>
      </c>
      <c r="J550" s="1" t="s">
        <v>12</v>
      </c>
      <c r="K550" s="3" t="s">
        <v>3995</v>
      </c>
      <c r="L550" s="1" t="s">
        <v>3987</v>
      </c>
      <c r="M550" s="1" t="s">
        <v>3996</v>
      </c>
      <c r="N550" s="1" t="s">
        <v>13</v>
      </c>
      <c r="O550" s="1" t="s">
        <v>3996</v>
      </c>
      <c r="P550" s="1" t="s">
        <v>13</v>
      </c>
      <c r="Q550" s="1" t="s">
        <v>14</v>
      </c>
      <c r="R550" s="1" t="s">
        <v>24</v>
      </c>
      <c r="S550" s="1" t="s">
        <v>4007</v>
      </c>
      <c r="T550" s="4">
        <v>6.4</v>
      </c>
    </row>
    <row r="551" spans="1:20">
      <c r="A551" s="1" t="s">
        <v>3981</v>
      </c>
      <c r="B551" s="1" t="s">
        <v>301</v>
      </c>
      <c r="C551" s="1" t="s">
        <v>3982</v>
      </c>
      <c r="D551" s="1" t="s">
        <v>391</v>
      </c>
      <c r="E551" s="2">
        <v>45779</v>
      </c>
      <c r="F551" s="2">
        <v>45779</v>
      </c>
      <c r="G551" s="1" t="s">
        <v>4005</v>
      </c>
      <c r="H551" s="3" t="s">
        <v>21</v>
      </c>
      <c r="I551" s="1" t="s">
        <v>3984</v>
      </c>
      <c r="J551" s="1" t="s">
        <v>12</v>
      </c>
      <c r="K551" s="3" t="s">
        <v>3995</v>
      </c>
      <c r="L551" s="1" t="s">
        <v>3987</v>
      </c>
      <c r="M551" s="1" t="s">
        <v>3996</v>
      </c>
      <c r="N551" s="1" t="s">
        <v>13</v>
      </c>
      <c r="O551" s="1" t="s">
        <v>3996</v>
      </c>
      <c r="P551" s="1" t="s">
        <v>13</v>
      </c>
      <c r="Q551" s="1" t="s">
        <v>14</v>
      </c>
      <c r="R551" s="1" t="s">
        <v>57</v>
      </c>
      <c r="S551" s="1" t="s">
        <v>4007</v>
      </c>
      <c r="T551" s="4">
        <v>0.5</v>
      </c>
    </row>
    <row r="552" spans="1:20">
      <c r="A552" s="1" t="s">
        <v>3981</v>
      </c>
      <c r="B552" s="1" t="s">
        <v>301</v>
      </c>
      <c r="C552" s="1" t="s">
        <v>3982</v>
      </c>
      <c r="D552" s="1" t="s">
        <v>391</v>
      </c>
      <c r="E552" s="2">
        <v>45779</v>
      </c>
      <c r="F552" s="2">
        <v>45779</v>
      </c>
      <c r="G552" s="1" t="s">
        <v>4005</v>
      </c>
      <c r="H552" s="3" t="s">
        <v>21</v>
      </c>
      <c r="I552" s="1" t="s">
        <v>3984</v>
      </c>
      <c r="J552" s="1" t="s">
        <v>12</v>
      </c>
      <c r="K552" s="3" t="s">
        <v>3995</v>
      </c>
      <c r="L552" s="1" t="s">
        <v>3987</v>
      </c>
      <c r="M552" s="1" t="s">
        <v>3996</v>
      </c>
      <c r="N552" s="1" t="s">
        <v>13</v>
      </c>
      <c r="O552" s="1" t="s">
        <v>3996</v>
      </c>
      <c r="P552" s="1" t="s">
        <v>13</v>
      </c>
      <c r="Q552" s="1" t="s">
        <v>14</v>
      </c>
      <c r="R552" s="1" t="s">
        <v>42</v>
      </c>
      <c r="S552" s="1" t="s">
        <v>4007</v>
      </c>
      <c r="T552" s="4">
        <v>3.5</v>
      </c>
    </row>
    <row r="553" spans="1:20">
      <c r="A553" s="1" t="s">
        <v>3981</v>
      </c>
      <c r="B553" s="1" t="s">
        <v>301</v>
      </c>
      <c r="C553" s="1" t="s">
        <v>3982</v>
      </c>
      <c r="D553" s="1" t="s">
        <v>391</v>
      </c>
      <c r="E553" s="2">
        <v>45779</v>
      </c>
      <c r="F553" s="2">
        <v>45779</v>
      </c>
      <c r="G553" s="1" t="s">
        <v>4005</v>
      </c>
      <c r="H553" s="3" t="s">
        <v>21</v>
      </c>
      <c r="I553" s="1" t="s">
        <v>3984</v>
      </c>
      <c r="J553" s="1" t="s">
        <v>12</v>
      </c>
      <c r="K553" s="3" t="s">
        <v>3995</v>
      </c>
      <c r="L553" s="1" t="s">
        <v>3987</v>
      </c>
      <c r="M553" s="1" t="s">
        <v>3996</v>
      </c>
      <c r="N553" s="1" t="s">
        <v>13</v>
      </c>
      <c r="O553" s="1" t="s">
        <v>3996</v>
      </c>
      <c r="P553" s="1" t="s">
        <v>13</v>
      </c>
      <c r="Q553" s="1" t="s">
        <v>28</v>
      </c>
      <c r="R553" s="1" t="s">
        <v>58</v>
      </c>
      <c r="S553" s="1" t="s">
        <v>4007</v>
      </c>
      <c r="T553" s="4">
        <v>8</v>
      </c>
    </row>
    <row r="554" spans="1:20">
      <c r="A554" s="1" t="s">
        <v>3981</v>
      </c>
      <c r="B554" s="1" t="s">
        <v>301</v>
      </c>
      <c r="C554" s="1" t="s">
        <v>3982</v>
      </c>
      <c r="D554" s="1" t="s">
        <v>391</v>
      </c>
      <c r="E554" s="2">
        <v>45779</v>
      </c>
      <c r="F554" s="2">
        <v>45779</v>
      </c>
      <c r="G554" s="1" t="s">
        <v>4005</v>
      </c>
      <c r="H554" s="3" t="s">
        <v>21</v>
      </c>
      <c r="I554" s="1" t="s">
        <v>3984</v>
      </c>
      <c r="J554" s="1" t="s">
        <v>12</v>
      </c>
      <c r="K554" s="3" t="s">
        <v>3995</v>
      </c>
      <c r="L554" s="1" t="s">
        <v>3987</v>
      </c>
      <c r="M554" s="1" t="s">
        <v>3996</v>
      </c>
      <c r="N554" s="1" t="s">
        <v>13</v>
      </c>
      <c r="O554" s="1" t="s">
        <v>3996</v>
      </c>
      <c r="P554" s="1" t="s">
        <v>13</v>
      </c>
      <c r="Q554" s="1" t="s">
        <v>28</v>
      </c>
      <c r="R554" s="1" t="s">
        <v>43</v>
      </c>
      <c r="S554" s="1" t="s">
        <v>4007</v>
      </c>
      <c r="T554" s="4">
        <v>18.8</v>
      </c>
    </row>
    <row r="555" spans="1:20">
      <c r="A555" s="1" t="s">
        <v>3981</v>
      </c>
      <c r="B555" s="1" t="s">
        <v>301</v>
      </c>
      <c r="C555" s="1" t="s">
        <v>3982</v>
      </c>
      <c r="D555" s="1" t="s">
        <v>391</v>
      </c>
      <c r="E555" s="2">
        <v>45779</v>
      </c>
      <c r="F555" s="2">
        <v>45779</v>
      </c>
      <c r="G555" s="1" t="s">
        <v>4005</v>
      </c>
      <c r="H555" s="3" t="s">
        <v>21</v>
      </c>
      <c r="I555" s="1" t="s">
        <v>3984</v>
      </c>
      <c r="J555" s="1" t="s">
        <v>12</v>
      </c>
      <c r="K555" s="3" t="s">
        <v>3995</v>
      </c>
      <c r="L555" s="1" t="s">
        <v>3987</v>
      </c>
      <c r="M555" s="1" t="s">
        <v>3996</v>
      </c>
      <c r="N555" s="1" t="s">
        <v>13</v>
      </c>
      <c r="O555" s="1" t="s">
        <v>3996</v>
      </c>
      <c r="P555" s="1" t="s">
        <v>13</v>
      </c>
      <c r="Q555" s="1" t="s">
        <v>28</v>
      </c>
      <c r="R555" s="1" t="s">
        <v>29</v>
      </c>
      <c r="S555" s="1" t="s">
        <v>4007</v>
      </c>
      <c r="T555" s="4">
        <v>1.1000000000000001</v>
      </c>
    </row>
    <row r="556" spans="1:20">
      <c r="A556" s="1" t="s">
        <v>3981</v>
      </c>
      <c r="B556" s="1" t="s">
        <v>301</v>
      </c>
      <c r="C556" s="1" t="s">
        <v>3982</v>
      </c>
      <c r="D556" s="1" t="s">
        <v>391</v>
      </c>
      <c r="E556" s="2">
        <v>45779</v>
      </c>
      <c r="F556" s="2">
        <v>45779</v>
      </c>
      <c r="G556" s="1" t="s">
        <v>4008</v>
      </c>
      <c r="H556" s="3" t="s">
        <v>25</v>
      </c>
      <c r="I556" s="1" t="s">
        <v>3984</v>
      </c>
      <c r="J556" s="1" t="s">
        <v>12</v>
      </c>
      <c r="K556" s="3" t="s">
        <v>3995</v>
      </c>
      <c r="L556" s="1" t="s">
        <v>4013</v>
      </c>
      <c r="M556" s="1" t="s">
        <v>4015</v>
      </c>
      <c r="N556" s="1" t="s">
        <v>4016</v>
      </c>
      <c r="O556" s="1" t="s">
        <v>13</v>
      </c>
      <c r="P556" s="1" t="s">
        <v>13</v>
      </c>
      <c r="Q556" s="1" t="s">
        <v>13</v>
      </c>
      <c r="R556" s="1" t="s">
        <v>13</v>
      </c>
      <c r="S556" s="1" t="s">
        <v>4009</v>
      </c>
      <c r="T556" s="4">
        <v>1.3</v>
      </c>
    </row>
    <row r="557" spans="1:20">
      <c r="A557" s="1" t="s">
        <v>3981</v>
      </c>
      <c r="B557" s="1" t="s">
        <v>301</v>
      </c>
      <c r="C557" s="1" t="s">
        <v>3982</v>
      </c>
      <c r="D557" s="1" t="s">
        <v>391</v>
      </c>
      <c r="E557" s="2">
        <v>45779</v>
      </c>
      <c r="F557" s="2">
        <v>45779</v>
      </c>
      <c r="G557" s="1" t="s">
        <v>4008</v>
      </c>
      <c r="H557" s="3" t="s">
        <v>25</v>
      </c>
      <c r="I557" s="1" t="s">
        <v>3984</v>
      </c>
      <c r="J557" s="1" t="s">
        <v>12</v>
      </c>
      <c r="K557" s="3" t="s">
        <v>3995</v>
      </c>
      <c r="L557" s="1" t="s">
        <v>4013</v>
      </c>
      <c r="M557" s="1" t="s">
        <v>4035</v>
      </c>
      <c r="N557" s="1" t="s">
        <v>4036</v>
      </c>
      <c r="O557" s="1" t="s">
        <v>13</v>
      </c>
      <c r="P557" s="1" t="s">
        <v>13</v>
      </c>
      <c r="Q557" s="1" t="s">
        <v>13</v>
      </c>
      <c r="R557" s="1" t="s">
        <v>13</v>
      </c>
      <c r="S557" s="1" t="s">
        <v>4009</v>
      </c>
      <c r="T557" s="4">
        <v>3.2</v>
      </c>
    </row>
    <row r="558" spans="1:20">
      <c r="A558" s="1" t="s">
        <v>3981</v>
      </c>
      <c r="B558" s="1" t="s">
        <v>301</v>
      </c>
      <c r="C558" s="1" t="s">
        <v>3982</v>
      </c>
      <c r="D558" s="1" t="s">
        <v>391</v>
      </c>
      <c r="E558" s="2">
        <v>45779</v>
      </c>
      <c r="F558" s="2">
        <v>45779</v>
      </c>
      <c r="G558" s="1" t="s">
        <v>4008</v>
      </c>
      <c r="H558" s="3" t="s">
        <v>25</v>
      </c>
      <c r="I558" s="1" t="s">
        <v>3984</v>
      </c>
      <c r="J558" s="1" t="s">
        <v>12</v>
      </c>
      <c r="K558" s="3" t="s">
        <v>3995</v>
      </c>
      <c r="L558" s="1" t="s">
        <v>3987</v>
      </c>
      <c r="M558" s="1" t="s">
        <v>3996</v>
      </c>
      <c r="N558" s="1" t="s">
        <v>13</v>
      </c>
      <c r="O558" s="1" t="s">
        <v>3996</v>
      </c>
      <c r="P558" s="1" t="s">
        <v>13</v>
      </c>
      <c r="Q558" s="1" t="s">
        <v>14</v>
      </c>
      <c r="R558" s="1" t="s">
        <v>37</v>
      </c>
      <c r="S558" s="1" t="s">
        <v>4009</v>
      </c>
      <c r="T558" s="4">
        <v>1</v>
      </c>
    </row>
    <row r="559" spans="1:20">
      <c r="A559" s="1" t="s">
        <v>3981</v>
      </c>
      <c r="B559" s="1" t="s">
        <v>301</v>
      </c>
      <c r="C559" s="1" t="s">
        <v>3982</v>
      </c>
      <c r="D559" s="1" t="s">
        <v>391</v>
      </c>
      <c r="E559" s="2">
        <v>45779</v>
      </c>
      <c r="F559" s="2">
        <v>45779</v>
      </c>
      <c r="G559" s="1" t="s">
        <v>4008</v>
      </c>
      <c r="H559" s="3" t="s">
        <v>25</v>
      </c>
      <c r="I559" s="1" t="s">
        <v>3984</v>
      </c>
      <c r="J559" s="1" t="s">
        <v>12</v>
      </c>
      <c r="K559" s="3" t="s">
        <v>3995</v>
      </c>
      <c r="L559" s="1" t="s">
        <v>3987</v>
      </c>
      <c r="M559" s="1" t="s">
        <v>3996</v>
      </c>
      <c r="N559" s="1" t="s">
        <v>13</v>
      </c>
      <c r="O559" s="1" t="s">
        <v>3996</v>
      </c>
      <c r="P559" s="1" t="s">
        <v>13</v>
      </c>
      <c r="Q559" s="1" t="s">
        <v>14</v>
      </c>
      <c r="R559" s="1" t="s">
        <v>75</v>
      </c>
      <c r="S559" s="1" t="s">
        <v>4009</v>
      </c>
      <c r="T559" s="4">
        <v>1</v>
      </c>
    </row>
    <row r="560" spans="1:20">
      <c r="A560" s="1" t="s">
        <v>3981</v>
      </c>
      <c r="B560" s="1" t="s">
        <v>301</v>
      </c>
      <c r="C560" s="1" t="s">
        <v>3982</v>
      </c>
      <c r="D560" s="1" t="s">
        <v>391</v>
      </c>
      <c r="E560" s="2">
        <v>45779</v>
      </c>
      <c r="F560" s="2">
        <v>45779</v>
      </c>
      <c r="G560" s="1" t="s">
        <v>4008</v>
      </c>
      <c r="H560" s="3" t="s">
        <v>25</v>
      </c>
      <c r="I560" s="1" t="s">
        <v>3984</v>
      </c>
      <c r="J560" s="1" t="s">
        <v>12</v>
      </c>
      <c r="K560" s="3" t="s">
        <v>3995</v>
      </c>
      <c r="L560" s="1" t="s">
        <v>3987</v>
      </c>
      <c r="M560" s="1" t="s">
        <v>3996</v>
      </c>
      <c r="N560" s="1" t="s">
        <v>13</v>
      </c>
      <c r="O560" s="1" t="s">
        <v>3996</v>
      </c>
      <c r="P560" s="1" t="s">
        <v>13</v>
      </c>
      <c r="Q560" s="1" t="s">
        <v>28</v>
      </c>
      <c r="R560" s="1" t="s">
        <v>29</v>
      </c>
      <c r="S560" s="1" t="s">
        <v>4009</v>
      </c>
      <c r="T560" s="4">
        <v>2.8</v>
      </c>
    </row>
    <row r="561" spans="1:20">
      <c r="A561" s="1" t="s">
        <v>3981</v>
      </c>
      <c r="B561" s="1" t="s">
        <v>301</v>
      </c>
      <c r="C561" s="1" t="s">
        <v>3982</v>
      </c>
      <c r="D561" s="1" t="s">
        <v>391</v>
      </c>
      <c r="E561" s="2">
        <v>45779</v>
      </c>
      <c r="F561" s="2">
        <v>45779</v>
      </c>
      <c r="G561" s="1" t="s">
        <v>4008</v>
      </c>
      <c r="H561" s="3" t="s">
        <v>25</v>
      </c>
      <c r="I561" s="1" t="s">
        <v>3984</v>
      </c>
      <c r="J561" s="1" t="s">
        <v>12</v>
      </c>
      <c r="K561" s="3" t="s">
        <v>3995</v>
      </c>
      <c r="L561" s="1" t="s">
        <v>3987</v>
      </c>
      <c r="M561" s="1" t="s">
        <v>3996</v>
      </c>
      <c r="N561" s="1" t="s">
        <v>13</v>
      </c>
      <c r="O561" s="1" t="s">
        <v>3996</v>
      </c>
      <c r="P561" s="1" t="s">
        <v>13</v>
      </c>
      <c r="Q561" s="1" t="s">
        <v>44</v>
      </c>
      <c r="R561" s="1" t="s">
        <v>45</v>
      </c>
      <c r="S561" s="1" t="s">
        <v>4009</v>
      </c>
      <c r="T561" s="4">
        <v>12</v>
      </c>
    </row>
    <row r="562" spans="1:20">
      <c r="A562" s="1" t="s">
        <v>3981</v>
      </c>
      <c r="B562" s="1" t="s">
        <v>301</v>
      </c>
      <c r="C562" s="1" t="s">
        <v>3982</v>
      </c>
      <c r="D562" s="1" t="s">
        <v>391</v>
      </c>
      <c r="E562" s="2">
        <v>45779</v>
      </c>
      <c r="F562" s="2">
        <v>45779</v>
      </c>
      <c r="G562" s="1" t="s">
        <v>4008</v>
      </c>
      <c r="H562" s="3" t="s">
        <v>25</v>
      </c>
      <c r="I562" s="1" t="s">
        <v>3984</v>
      </c>
      <c r="J562" s="1" t="s">
        <v>12</v>
      </c>
      <c r="K562" s="3" t="s">
        <v>3995</v>
      </c>
      <c r="L562" s="1" t="s">
        <v>3987</v>
      </c>
      <c r="M562" s="1" t="s">
        <v>3996</v>
      </c>
      <c r="N562" s="1" t="s">
        <v>13</v>
      </c>
      <c r="O562" s="1" t="s">
        <v>3996</v>
      </c>
      <c r="P562" s="1" t="s">
        <v>13</v>
      </c>
      <c r="Q562" s="1" t="s">
        <v>38</v>
      </c>
      <c r="R562" s="1" t="s">
        <v>46</v>
      </c>
      <c r="S562" s="1" t="s">
        <v>4009</v>
      </c>
      <c r="T562" s="4">
        <v>2</v>
      </c>
    </row>
    <row r="563" spans="1:20">
      <c r="A563" s="1" t="s">
        <v>3981</v>
      </c>
      <c r="B563" s="1" t="s">
        <v>301</v>
      </c>
      <c r="C563" s="1" t="s">
        <v>3982</v>
      </c>
      <c r="D563" s="1" t="s">
        <v>391</v>
      </c>
      <c r="E563" s="2">
        <v>45779</v>
      </c>
      <c r="F563" s="2">
        <v>45779</v>
      </c>
      <c r="G563" s="1" t="s">
        <v>4008</v>
      </c>
      <c r="H563" s="3" t="s">
        <v>25</v>
      </c>
      <c r="I563" s="1" t="s">
        <v>3984</v>
      </c>
      <c r="J563" s="1" t="s">
        <v>12</v>
      </c>
      <c r="K563" s="3" t="s">
        <v>3995</v>
      </c>
      <c r="L563" s="1" t="s">
        <v>3987</v>
      </c>
      <c r="M563" s="1" t="s">
        <v>3996</v>
      </c>
      <c r="N563" s="1" t="s">
        <v>13</v>
      </c>
      <c r="O563" s="1" t="s">
        <v>3996</v>
      </c>
      <c r="P563" s="1" t="s">
        <v>13</v>
      </c>
      <c r="Q563" s="1" t="s">
        <v>30</v>
      </c>
      <c r="R563" s="1" t="s">
        <v>67</v>
      </c>
      <c r="S563" s="1" t="s">
        <v>4009</v>
      </c>
      <c r="T563" s="4">
        <v>4.5</v>
      </c>
    </row>
    <row r="564" spans="1:20">
      <c r="A564" s="1" t="s">
        <v>3981</v>
      </c>
      <c r="B564" s="1" t="s">
        <v>301</v>
      </c>
      <c r="C564" s="1" t="s">
        <v>3982</v>
      </c>
      <c r="D564" s="1" t="s">
        <v>391</v>
      </c>
      <c r="E564" s="2">
        <v>45779</v>
      </c>
      <c r="F564" s="2">
        <v>45779</v>
      </c>
      <c r="G564" s="1" t="s">
        <v>4008</v>
      </c>
      <c r="H564" s="3" t="s">
        <v>25</v>
      </c>
      <c r="I564" s="1" t="s">
        <v>3984</v>
      </c>
      <c r="J564" s="1" t="s">
        <v>12</v>
      </c>
      <c r="K564" s="3" t="s">
        <v>3995</v>
      </c>
      <c r="L564" s="1" t="s">
        <v>3987</v>
      </c>
      <c r="M564" s="1" t="s">
        <v>3996</v>
      </c>
      <c r="N564" s="1" t="s">
        <v>13</v>
      </c>
      <c r="O564" s="1" t="s">
        <v>3996</v>
      </c>
      <c r="P564" s="1" t="s">
        <v>13</v>
      </c>
      <c r="Q564" s="1" t="s">
        <v>30</v>
      </c>
      <c r="R564" s="1" t="s">
        <v>62</v>
      </c>
      <c r="S564" s="1" t="s">
        <v>4009</v>
      </c>
      <c r="T564" s="4">
        <v>4.2</v>
      </c>
    </row>
    <row r="565" spans="1:20">
      <c r="A565" s="1" t="s">
        <v>3981</v>
      </c>
      <c r="B565" s="1" t="s">
        <v>301</v>
      </c>
      <c r="C565" s="1" t="s">
        <v>3982</v>
      </c>
      <c r="D565" s="1" t="s">
        <v>391</v>
      </c>
      <c r="E565" s="2">
        <v>45779</v>
      </c>
      <c r="F565" s="2">
        <v>45779</v>
      </c>
      <c r="G565" s="1" t="s">
        <v>4008</v>
      </c>
      <c r="H565" s="3" t="s">
        <v>25</v>
      </c>
      <c r="I565" s="1" t="s">
        <v>3984</v>
      </c>
      <c r="J565" s="1" t="s">
        <v>12</v>
      </c>
      <c r="K565" s="3" t="s">
        <v>3995</v>
      </c>
      <c r="L565" s="1" t="s">
        <v>3987</v>
      </c>
      <c r="M565" s="1" t="s">
        <v>3996</v>
      </c>
      <c r="N565" s="1" t="s">
        <v>13</v>
      </c>
      <c r="O565" s="1" t="s">
        <v>3996</v>
      </c>
      <c r="P565" s="1" t="s">
        <v>13</v>
      </c>
      <c r="Q565" s="1" t="s">
        <v>30</v>
      </c>
      <c r="R565" s="1" t="s">
        <v>68</v>
      </c>
      <c r="S565" s="1" t="s">
        <v>4009</v>
      </c>
      <c r="T565" s="4">
        <v>5</v>
      </c>
    </row>
    <row r="566" spans="1:20">
      <c r="A566" s="1" t="s">
        <v>3981</v>
      </c>
      <c r="B566" s="1" t="s">
        <v>301</v>
      </c>
      <c r="C566" s="1" t="s">
        <v>3982</v>
      </c>
      <c r="D566" s="1" t="s">
        <v>391</v>
      </c>
      <c r="E566" s="2">
        <v>45779</v>
      </c>
      <c r="F566" s="2">
        <v>45779</v>
      </c>
      <c r="G566" s="1" t="s">
        <v>4008</v>
      </c>
      <c r="H566" s="3" t="s">
        <v>25</v>
      </c>
      <c r="I566" s="1" t="s">
        <v>3984</v>
      </c>
      <c r="J566" s="1" t="s">
        <v>4038</v>
      </c>
      <c r="K566" s="3" t="s">
        <v>4039</v>
      </c>
      <c r="L566" s="1" t="s">
        <v>3987</v>
      </c>
      <c r="M566" s="1" t="s">
        <v>13</v>
      </c>
      <c r="N566" s="1" t="s">
        <v>13</v>
      </c>
      <c r="O566" s="1" t="s">
        <v>13</v>
      </c>
      <c r="P566" s="1" t="s">
        <v>13</v>
      </c>
      <c r="Q566" s="1" t="s">
        <v>13</v>
      </c>
      <c r="R566" s="1" t="s">
        <v>13</v>
      </c>
      <c r="S566" s="1" t="s">
        <v>4009</v>
      </c>
      <c r="T566" s="4">
        <v>9</v>
      </c>
    </row>
    <row r="567" spans="1:20">
      <c r="A567" s="1" t="s">
        <v>3981</v>
      </c>
      <c r="B567" s="1" t="s">
        <v>301</v>
      </c>
      <c r="C567" s="1" t="s">
        <v>3982</v>
      </c>
      <c r="D567" s="1" t="s">
        <v>391</v>
      </c>
      <c r="E567" s="2">
        <v>45793</v>
      </c>
      <c r="F567" s="2">
        <v>45786</v>
      </c>
      <c r="G567" s="1" t="s">
        <v>3983</v>
      </c>
      <c r="H567" s="3" t="s">
        <v>32</v>
      </c>
      <c r="I567" s="1" t="s">
        <v>3984</v>
      </c>
      <c r="J567" s="1" t="s">
        <v>12</v>
      </c>
      <c r="K567" s="3" t="s">
        <v>3995</v>
      </c>
      <c r="L567" s="1" t="s">
        <v>3987</v>
      </c>
      <c r="M567" s="1" t="s">
        <v>3996</v>
      </c>
      <c r="N567" s="1" t="s">
        <v>13</v>
      </c>
      <c r="O567" s="1" t="s">
        <v>3996</v>
      </c>
      <c r="P567" s="1" t="s">
        <v>13</v>
      </c>
      <c r="Q567" s="1" t="s">
        <v>14</v>
      </c>
      <c r="R567" s="1" t="s">
        <v>54</v>
      </c>
      <c r="S567" s="1" t="s">
        <v>3989</v>
      </c>
      <c r="T567" s="4">
        <v>1.5</v>
      </c>
    </row>
    <row r="568" spans="1:20">
      <c r="A568" s="1" t="s">
        <v>3981</v>
      </c>
      <c r="B568" s="1" t="s">
        <v>301</v>
      </c>
      <c r="C568" s="1" t="s">
        <v>3982</v>
      </c>
      <c r="D568" s="1" t="s">
        <v>391</v>
      </c>
      <c r="E568" s="2">
        <v>45793</v>
      </c>
      <c r="F568" s="2">
        <v>45786</v>
      </c>
      <c r="G568" s="1" t="s">
        <v>3983</v>
      </c>
      <c r="H568" s="3" t="s">
        <v>32</v>
      </c>
      <c r="I568" s="1" t="s">
        <v>3984</v>
      </c>
      <c r="J568" s="1" t="s">
        <v>12</v>
      </c>
      <c r="K568" s="3" t="s">
        <v>3995</v>
      </c>
      <c r="L568" s="1" t="s">
        <v>3987</v>
      </c>
      <c r="M568" s="1" t="s">
        <v>3996</v>
      </c>
      <c r="N568" s="1" t="s">
        <v>13</v>
      </c>
      <c r="O568" s="1" t="s">
        <v>3996</v>
      </c>
      <c r="P568" s="1" t="s">
        <v>13</v>
      </c>
      <c r="Q568" s="1" t="s">
        <v>14</v>
      </c>
      <c r="R568" s="1" t="s">
        <v>42</v>
      </c>
      <c r="S568" s="1" t="s">
        <v>3989</v>
      </c>
      <c r="T568" s="4">
        <v>3</v>
      </c>
    </row>
    <row r="569" spans="1:20">
      <c r="A569" s="1" t="s">
        <v>3981</v>
      </c>
      <c r="B569" s="1" t="s">
        <v>301</v>
      </c>
      <c r="C569" s="1" t="s">
        <v>3982</v>
      </c>
      <c r="D569" s="1" t="s">
        <v>391</v>
      </c>
      <c r="E569" s="2">
        <v>45793</v>
      </c>
      <c r="F569" s="2">
        <v>45786</v>
      </c>
      <c r="G569" s="1" t="s">
        <v>3983</v>
      </c>
      <c r="H569" s="3" t="s">
        <v>32</v>
      </c>
      <c r="I569" s="1" t="s">
        <v>3984</v>
      </c>
      <c r="J569" s="1" t="s">
        <v>12</v>
      </c>
      <c r="K569" s="3" t="s">
        <v>3995</v>
      </c>
      <c r="L569" s="1" t="s">
        <v>3987</v>
      </c>
      <c r="M569" s="1" t="s">
        <v>3996</v>
      </c>
      <c r="N569" s="1" t="s">
        <v>13</v>
      </c>
      <c r="O569" s="1" t="s">
        <v>3996</v>
      </c>
      <c r="P569" s="1" t="s">
        <v>13</v>
      </c>
      <c r="Q569" s="1" t="s">
        <v>44</v>
      </c>
      <c r="R569" s="1" t="s">
        <v>47</v>
      </c>
      <c r="S569" s="1" t="s">
        <v>3989</v>
      </c>
      <c r="T569" s="4">
        <v>34.5</v>
      </c>
    </row>
    <row r="570" spans="1:20">
      <c r="A570" s="1" t="s">
        <v>3981</v>
      </c>
      <c r="B570" s="1" t="s">
        <v>301</v>
      </c>
      <c r="C570" s="1" t="s">
        <v>3982</v>
      </c>
      <c r="D570" s="1" t="s">
        <v>391</v>
      </c>
      <c r="E570" s="2">
        <v>45793</v>
      </c>
      <c r="F570" s="2">
        <v>45786</v>
      </c>
      <c r="G570" s="1" t="s">
        <v>3990</v>
      </c>
      <c r="H570" s="3" t="s">
        <v>11</v>
      </c>
      <c r="I570" s="1" t="s">
        <v>3984</v>
      </c>
      <c r="J570" s="1" t="s">
        <v>3985</v>
      </c>
      <c r="K570" s="3" t="s">
        <v>3986</v>
      </c>
      <c r="L570" s="1" t="s">
        <v>3987</v>
      </c>
      <c r="M570" s="1" t="s">
        <v>13</v>
      </c>
      <c r="N570" s="1" t="s">
        <v>13</v>
      </c>
      <c r="O570" s="1" t="s">
        <v>3988</v>
      </c>
      <c r="P570" s="1" t="s">
        <v>13</v>
      </c>
      <c r="Q570" s="1" t="s">
        <v>13</v>
      </c>
      <c r="R570" s="1" t="s">
        <v>13</v>
      </c>
      <c r="S570" s="1" t="s">
        <v>3994</v>
      </c>
      <c r="T570" s="4">
        <v>3.2</v>
      </c>
    </row>
    <row r="571" spans="1:20">
      <c r="A571" s="1" t="s">
        <v>3981</v>
      </c>
      <c r="B571" s="1" t="s">
        <v>301</v>
      </c>
      <c r="C571" s="1" t="s">
        <v>3982</v>
      </c>
      <c r="D571" s="1" t="s">
        <v>391</v>
      </c>
      <c r="E571" s="2">
        <v>45793</v>
      </c>
      <c r="F571" s="2">
        <v>45786</v>
      </c>
      <c r="G571" s="1" t="s">
        <v>3990</v>
      </c>
      <c r="H571" s="3" t="s">
        <v>11</v>
      </c>
      <c r="I571" s="1" t="s">
        <v>3984</v>
      </c>
      <c r="J571" s="1" t="s">
        <v>12</v>
      </c>
      <c r="K571" s="3" t="s">
        <v>3995</v>
      </c>
      <c r="L571" s="1" t="s">
        <v>3987</v>
      </c>
      <c r="M571" s="1" t="s">
        <v>4033</v>
      </c>
      <c r="N571" s="1" t="s">
        <v>13</v>
      </c>
      <c r="O571" s="1" t="s">
        <v>4033</v>
      </c>
      <c r="P571" s="1" t="s">
        <v>13</v>
      </c>
      <c r="Q571" s="1" t="s">
        <v>4034</v>
      </c>
      <c r="R571" s="1" t="s">
        <v>4001</v>
      </c>
      <c r="S571" s="1" t="s">
        <v>3994</v>
      </c>
      <c r="T571" s="4">
        <v>3.3</v>
      </c>
    </row>
    <row r="572" spans="1:20">
      <c r="A572" s="1" t="s">
        <v>3981</v>
      </c>
      <c r="B572" s="1" t="s">
        <v>301</v>
      </c>
      <c r="C572" s="1" t="s">
        <v>3982</v>
      </c>
      <c r="D572" s="1" t="s">
        <v>391</v>
      </c>
      <c r="E572" s="2">
        <v>45793</v>
      </c>
      <c r="F572" s="2">
        <v>45786</v>
      </c>
      <c r="G572" s="1" t="s">
        <v>3990</v>
      </c>
      <c r="H572" s="3" t="s">
        <v>11</v>
      </c>
      <c r="I572" s="1" t="s">
        <v>3984</v>
      </c>
      <c r="J572" s="1" t="s">
        <v>12</v>
      </c>
      <c r="K572" s="3" t="s">
        <v>3995</v>
      </c>
      <c r="L572" s="1" t="s">
        <v>3987</v>
      </c>
      <c r="M572" s="1" t="s">
        <v>3996</v>
      </c>
      <c r="N572" s="1" t="s">
        <v>13</v>
      </c>
      <c r="O572" s="1" t="s">
        <v>3996</v>
      </c>
      <c r="P572" s="1" t="s">
        <v>13</v>
      </c>
      <c r="Q572" s="1" t="s">
        <v>14</v>
      </c>
      <c r="R572" s="1" t="s">
        <v>27</v>
      </c>
      <c r="S572" s="1" t="s">
        <v>3994</v>
      </c>
      <c r="T572" s="4">
        <v>7.4</v>
      </c>
    </row>
    <row r="573" spans="1:20">
      <c r="A573" s="1" t="s">
        <v>3981</v>
      </c>
      <c r="B573" s="1" t="s">
        <v>301</v>
      </c>
      <c r="C573" s="1" t="s">
        <v>3982</v>
      </c>
      <c r="D573" s="1" t="s">
        <v>391</v>
      </c>
      <c r="E573" s="2">
        <v>45793</v>
      </c>
      <c r="F573" s="2">
        <v>45786</v>
      </c>
      <c r="G573" s="1" t="s">
        <v>3990</v>
      </c>
      <c r="H573" s="3" t="s">
        <v>11</v>
      </c>
      <c r="I573" s="1" t="s">
        <v>3984</v>
      </c>
      <c r="J573" s="1" t="s">
        <v>12</v>
      </c>
      <c r="K573" s="3" t="s">
        <v>3995</v>
      </c>
      <c r="L573" s="1" t="s">
        <v>3987</v>
      </c>
      <c r="M573" s="1" t="s">
        <v>3996</v>
      </c>
      <c r="N573" s="1" t="s">
        <v>13</v>
      </c>
      <c r="O573" s="1" t="s">
        <v>3996</v>
      </c>
      <c r="P573" s="1" t="s">
        <v>13</v>
      </c>
      <c r="Q573" s="1" t="s">
        <v>14</v>
      </c>
      <c r="R573" s="1" t="s">
        <v>76</v>
      </c>
      <c r="S573" s="1" t="s">
        <v>3994</v>
      </c>
      <c r="T573" s="4">
        <v>2.6</v>
      </c>
    </row>
    <row r="574" spans="1:20">
      <c r="A574" s="1" t="s">
        <v>3981</v>
      </c>
      <c r="B574" s="1" t="s">
        <v>301</v>
      </c>
      <c r="C574" s="1" t="s">
        <v>3982</v>
      </c>
      <c r="D574" s="1" t="s">
        <v>391</v>
      </c>
      <c r="E574" s="2">
        <v>45793</v>
      </c>
      <c r="F574" s="2">
        <v>45786</v>
      </c>
      <c r="G574" s="1" t="s">
        <v>3990</v>
      </c>
      <c r="H574" s="3" t="s">
        <v>11</v>
      </c>
      <c r="I574" s="1" t="s">
        <v>3984</v>
      </c>
      <c r="J574" s="1" t="s">
        <v>12</v>
      </c>
      <c r="K574" s="3" t="s">
        <v>3995</v>
      </c>
      <c r="L574" s="1" t="s">
        <v>3987</v>
      </c>
      <c r="M574" s="1" t="s">
        <v>3996</v>
      </c>
      <c r="N574" s="1" t="s">
        <v>13</v>
      </c>
      <c r="O574" s="1" t="s">
        <v>3996</v>
      </c>
      <c r="P574" s="1" t="s">
        <v>13</v>
      </c>
      <c r="Q574" s="1" t="s">
        <v>14</v>
      </c>
      <c r="R574" s="1" t="s">
        <v>37</v>
      </c>
      <c r="S574" s="1" t="s">
        <v>3994</v>
      </c>
      <c r="T574" s="4">
        <v>1</v>
      </c>
    </row>
    <row r="575" spans="1:20">
      <c r="A575" s="1" t="s">
        <v>3981</v>
      </c>
      <c r="B575" s="1" t="s">
        <v>301</v>
      </c>
      <c r="C575" s="1" t="s">
        <v>3982</v>
      </c>
      <c r="D575" s="1" t="s">
        <v>391</v>
      </c>
      <c r="E575" s="2">
        <v>45793</v>
      </c>
      <c r="F575" s="2">
        <v>45786</v>
      </c>
      <c r="G575" s="1" t="s">
        <v>3990</v>
      </c>
      <c r="H575" s="3" t="s">
        <v>11</v>
      </c>
      <c r="I575" s="1" t="s">
        <v>3984</v>
      </c>
      <c r="J575" s="1" t="s">
        <v>12</v>
      </c>
      <c r="K575" s="3" t="s">
        <v>3995</v>
      </c>
      <c r="L575" s="1" t="s">
        <v>3987</v>
      </c>
      <c r="M575" s="1" t="s">
        <v>3996</v>
      </c>
      <c r="N575" s="1" t="s">
        <v>13</v>
      </c>
      <c r="O575" s="1" t="s">
        <v>3996</v>
      </c>
      <c r="P575" s="1" t="s">
        <v>13</v>
      </c>
      <c r="Q575" s="1" t="s">
        <v>14</v>
      </c>
      <c r="R575" s="1" t="s">
        <v>15</v>
      </c>
      <c r="S575" s="1" t="s">
        <v>3994</v>
      </c>
      <c r="T575" s="4">
        <v>2.2999999999999998</v>
      </c>
    </row>
    <row r="576" spans="1:20">
      <c r="A576" s="1" t="s">
        <v>3981</v>
      </c>
      <c r="B576" s="1" t="s">
        <v>301</v>
      </c>
      <c r="C576" s="1" t="s">
        <v>3982</v>
      </c>
      <c r="D576" s="1" t="s">
        <v>391</v>
      </c>
      <c r="E576" s="2">
        <v>45793</v>
      </c>
      <c r="F576" s="2">
        <v>45786</v>
      </c>
      <c r="G576" s="1" t="s">
        <v>3990</v>
      </c>
      <c r="H576" s="3" t="s">
        <v>11</v>
      </c>
      <c r="I576" s="1" t="s">
        <v>3984</v>
      </c>
      <c r="J576" s="1" t="s">
        <v>12</v>
      </c>
      <c r="K576" s="3" t="s">
        <v>3995</v>
      </c>
      <c r="L576" s="1" t="s">
        <v>3987</v>
      </c>
      <c r="M576" s="1" t="s">
        <v>3996</v>
      </c>
      <c r="N576" s="1" t="s">
        <v>13</v>
      </c>
      <c r="O576" s="1" t="s">
        <v>3996</v>
      </c>
      <c r="P576" s="1" t="s">
        <v>13</v>
      </c>
      <c r="Q576" s="1" t="s">
        <v>44</v>
      </c>
      <c r="R576" s="1" t="s">
        <v>47</v>
      </c>
      <c r="S576" s="1" t="s">
        <v>3994</v>
      </c>
      <c r="T576" s="4">
        <v>0.5</v>
      </c>
    </row>
    <row r="577" spans="1:20">
      <c r="A577" s="1" t="s">
        <v>3981</v>
      </c>
      <c r="B577" s="1" t="s">
        <v>301</v>
      </c>
      <c r="C577" s="1" t="s">
        <v>3982</v>
      </c>
      <c r="D577" s="1" t="s">
        <v>391</v>
      </c>
      <c r="E577" s="2">
        <v>45793</v>
      </c>
      <c r="F577" s="2">
        <v>45786</v>
      </c>
      <c r="G577" s="1" t="s">
        <v>3990</v>
      </c>
      <c r="H577" s="3" t="s">
        <v>11</v>
      </c>
      <c r="I577" s="1" t="s">
        <v>3984</v>
      </c>
      <c r="J577" s="1" t="s">
        <v>12</v>
      </c>
      <c r="K577" s="3" t="s">
        <v>3995</v>
      </c>
      <c r="L577" s="1" t="s">
        <v>3987</v>
      </c>
      <c r="M577" s="1" t="s">
        <v>3996</v>
      </c>
      <c r="N577" s="1" t="s">
        <v>13</v>
      </c>
      <c r="O577" s="1" t="s">
        <v>3996</v>
      </c>
      <c r="P577" s="1" t="s">
        <v>13</v>
      </c>
      <c r="Q577" s="1" t="s">
        <v>16</v>
      </c>
      <c r="R577" s="1" t="s">
        <v>40</v>
      </c>
      <c r="S577" s="1" t="s">
        <v>3994</v>
      </c>
      <c r="T577" s="4">
        <v>0.5</v>
      </c>
    </row>
    <row r="578" spans="1:20">
      <c r="A578" s="1" t="s">
        <v>3981</v>
      </c>
      <c r="B578" s="1" t="s">
        <v>301</v>
      </c>
      <c r="C578" s="1" t="s">
        <v>3982</v>
      </c>
      <c r="D578" s="1" t="s">
        <v>391</v>
      </c>
      <c r="E578" s="2">
        <v>45793</v>
      </c>
      <c r="F578" s="2">
        <v>45786</v>
      </c>
      <c r="G578" s="1" t="s">
        <v>3990</v>
      </c>
      <c r="H578" s="3" t="s">
        <v>11</v>
      </c>
      <c r="I578" s="1" t="s">
        <v>3984</v>
      </c>
      <c r="J578" s="1" t="s">
        <v>12</v>
      </c>
      <c r="K578" s="3" t="s">
        <v>3995</v>
      </c>
      <c r="L578" s="1" t="s">
        <v>3987</v>
      </c>
      <c r="M578" s="1" t="s">
        <v>3996</v>
      </c>
      <c r="N578" s="1" t="s">
        <v>13</v>
      </c>
      <c r="O578" s="1" t="s">
        <v>3996</v>
      </c>
      <c r="P578" s="1" t="s">
        <v>13</v>
      </c>
      <c r="Q578" s="1" t="s">
        <v>30</v>
      </c>
      <c r="R578" s="1" t="s">
        <v>62</v>
      </c>
      <c r="S578" s="1" t="s">
        <v>3994</v>
      </c>
      <c r="T578" s="4">
        <v>1.5</v>
      </c>
    </row>
    <row r="579" spans="1:20">
      <c r="A579" s="1" t="s">
        <v>3981</v>
      </c>
      <c r="B579" s="1" t="s">
        <v>301</v>
      </c>
      <c r="C579" s="1" t="s">
        <v>3982</v>
      </c>
      <c r="D579" s="1" t="s">
        <v>391</v>
      </c>
      <c r="E579" s="2">
        <v>45793</v>
      </c>
      <c r="F579" s="2">
        <v>45786</v>
      </c>
      <c r="G579" s="1" t="s">
        <v>3990</v>
      </c>
      <c r="H579" s="3" t="s">
        <v>11</v>
      </c>
      <c r="I579" s="1" t="s">
        <v>3984</v>
      </c>
      <c r="J579" s="1" t="s">
        <v>12</v>
      </c>
      <c r="K579" s="3" t="s">
        <v>3995</v>
      </c>
      <c r="L579" s="1" t="s">
        <v>3987</v>
      </c>
      <c r="M579" s="1" t="s">
        <v>4029</v>
      </c>
      <c r="N579" s="1" t="s">
        <v>13</v>
      </c>
      <c r="O579" s="1" t="s">
        <v>4029</v>
      </c>
      <c r="P579" s="1" t="s">
        <v>13</v>
      </c>
      <c r="Q579" s="1" t="s">
        <v>4030</v>
      </c>
      <c r="R579" s="1" t="s">
        <v>4031</v>
      </c>
      <c r="S579" s="1" t="s">
        <v>3994</v>
      </c>
      <c r="T579" s="4">
        <v>0.3</v>
      </c>
    </row>
    <row r="580" spans="1:20">
      <c r="A580" s="1" t="s">
        <v>3981</v>
      </c>
      <c r="B580" s="1" t="s">
        <v>301</v>
      </c>
      <c r="C580" s="1" t="s">
        <v>3982</v>
      </c>
      <c r="D580" s="1" t="s">
        <v>391</v>
      </c>
      <c r="E580" s="2">
        <v>45793</v>
      </c>
      <c r="F580" s="2">
        <v>45786</v>
      </c>
      <c r="G580" s="1" t="s">
        <v>3990</v>
      </c>
      <c r="H580" s="3" t="s">
        <v>11</v>
      </c>
      <c r="I580" s="1" t="s">
        <v>3984</v>
      </c>
      <c r="J580" s="1" t="s">
        <v>12</v>
      </c>
      <c r="K580" s="3" t="s">
        <v>3995</v>
      </c>
      <c r="L580" s="1" t="s">
        <v>3987</v>
      </c>
      <c r="M580" s="1" t="s">
        <v>4017</v>
      </c>
      <c r="N580" s="1" t="s">
        <v>4018</v>
      </c>
      <c r="O580" s="1" t="s">
        <v>13</v>
      </c>
      <c r="P580" s="1" t="s">
        <v>13</v>
      </c>
      <c r="Q580" s="1" t="s">
        <v>4019</v>
      </c>
      <c r="R580" s="1" t="s">
        <v>4019</v>
      </c>
      <c r="S580" s="1" t="s">
        <v>3994</v>
      </c>
      <c r="T580" s="4">
        <v>0.4</v>
      </c>
    </row>
    <row r="581" spans="1:20">
      <c r="A581" s="1" t="s">
        <v>3981</v>
      </c>
      <c r="B581" s="1" t="s">
        <v>301</v>
      </c>
      <c r="C581" s="1" t="s">
        <v>3982</v>
      </c>
      <c r="D581" s="1" t="s">
        <v>391</v>
      </c>
      <c r="E581" s="2">
        <v>45793</v>
      </c>
      <c r="F581" s="2">
        <v>45786</v>
      </c>
      <c r="G581" s="1" t="s">
        <v>3990</v>
      </c>
      <c r="H581" s="3" t="s">
        <v>11</v>
      </c>
      <c r="I581" s="1" t="s">
        <v>3984</v>
      </c>
      <c r="J581" s="1" t="s">
        <v>12</v>
      </c>
      <c r="K581" s="3" t="s">
        <v>3995</v>
      </c>
      <c r="L581" s="1" t="s">
        <v>3987</v>
      </c>
      <c r="M581" s="1" t="s">
        <v>4055</v>
      </c>
      <c r="N581" s="1" t="s">
        <v>4056</v>
      </c>
      <c r="O581" s="1" t="s">
        <v>13</v>
      </c>
      <c r="P581" s="1" t="s">
        <v>13</v>
      </c>
      <c r="Q581" s="1" t="s">
        <v>4057</v>
      </c>
      <c r="R581" s="1" t="s">
        <v>4061</v>
      </c>
      <c r="S581" s="1" t="s">
        <v>3994</v>
      </c>
      <c r="T581" s="4">
        <v>10.1</v>
      </c>
    </row>
    <row r="582" spans="1:20">
      <c r="A582" s="1" t="s">
        <v>3981</v>
      </c>
      <c r="B582" s="1" t="s">
        <v>301</v>
      </c>
      <c r="C582" s="1" t="s">
        <v>3982</v>
      </c>
      <c r="D582" s="1" t="s">
        <v>391</v>
      </c>
      <c r="E582" s="2">
        <v>45793</v>
      </c>
      <c r="F582" s="2">
        <v>45786</v>
      </c>
      <c r="G582" s="1" t="s">
        <v>3990</v>
      </c>
      <c r="H582" s="3" t="s">
        <v>11</v>
      </c>
      <c r="I582" s="1" t="s">
        <v>3984</v>
      </c>
      <c r="J582" s="1" t="s">
        <v>12</v>
      </c>
      <c r="K582" s="3" t="s">
        <v>3995</v>
      </c>
      <c r="L582" s="1" t="s">
        <v>4002</v>
      </c>
      <c r="M582" s="1" t="s">
        <v>4003</v>
      </c>
      <c r="N582" s="1" t="s">
        <v>13</v>
      </c>
      <c r="O582" s="1" t="s">
        <v>4003</v>
      </c>
      <c r="P582" s="1" t="s">
        <v>13</v>
      </c>
      <c r="Q582" s="1" t="s">
        <v>4004</v>
      </c>
      <c r="R582" s="1" t="s">
        <v>4001</v>
      </c>
      <c r="S582" s="1" t="s">
        <v>3994</v>
      </c>
      <c r="T582" s="4">
        <v>2.4</v>
      </c>
    </row>
    <row r="583" spans="1:20">
      <c r="A583" s="1" t="s">
        <v>3981</v>
      </c>
      <c r="B583" s="1" t="s">
        <v>301</v>
      </c>
      <c r="C583" s="1" t="s">
        <v>3982</v>
      </c>
      <c r="D583" s="1" t="s">
        <v>391</v>
      </c>
      <c r="E583" s="2">
        <v>45793</v>
      </c>
      <c r="F583" s="2">
        <v>45786</v>
      </c>
      <c r="G583" s="1" t="s">
        <v>3990</v>
      </c>
      <c r="H583" s="3" t="s">
        <v>11</v>
      </c>
      <c r="I583" s="1" t="s">
        <v>3984</v>
      </c>
      <c r="J583" s="1" t="s">
        <v>12</v>
      </c>
      <c r="K583" s="3" t="s">
        <v>3995</v>
      </c>
      <c r="L583" s="1" t="s">
        <v>4062</v>
      </c>
      <c r="M583" s="1" t="s">
        <v>4003</v>
      </c>
      <c r="N583" s="1" t="s">
        <v>13</v>
      </c>
      <c r="O583" s="1" t="s">
        <v>4003</v>
      </c>
      <c r="P583" s="1" t="s">
        <v>13</v>
      </c>
      <c r="Q583" s="1" t="s">
        <v>4063</v>
      </c>
      <c r="R583" s="1" t="s">
        <v>4024</v>
      </c>
      <c r="S583" s="1" t="s">
        <v>3994</v>
      </c>
      <c r="T583" s="4">
        <v>0.2</v>
      </c>
    </row>
    <row r="584" spans="1:20">
      <c r="A584" s="1" t="s">
        <v>3981</v>
      </c>
      <c r="B584" s="1" t="s">
        <v>301</v>
      </c>
      <c r="C584" s="1" t="s">
        <v>3982</v>
      </c>
      <c r="D584" s="1" t="s">
        <v>391</v>
      </c>
      <c r="E584" s="2">
        <v>45793</v>
      </c>
      <c r="F584" s="2">
        <v>45786</v>
      </c>
      <c r="G584" s="1" t="s">
        <v>3997</v>
      </c>
      <c r="H584" s="3" t="s">
        <v>41</v>
      </c>
      <c r="I584" s="1" t="s">
        <v>3984</v>
      </c>
      <c r="J584" s="1" t="s">
        <v>12</v>
      </c>
      <c r="K584" s="3" t="s">
        <v>3995</v>
      </c>
      <c r="L584" s="1" t="s">
        <v>3987</v>
      </c>
      <c r="M584" s="1" t="s">
        <v>3999</v>
      </c>
      <c r="N584" s="1" t="s">
        <v>13</v>
      </c>
      <c r="O584" s="1" t="s">
        <v>3999</v>
      </c>
      <c r="P584" s="1" t="s">
        <v>13</v>
      </c>
      <c r="Q584" s="1" t="s">
        <v>4000</v>
      </c>
      <c r="R584" s="1" t="s">
        <v>4001</v>
      </c>
      <c r="S584" s="1" t="s">
        <v>3998</v>
      </c>
      <c r="T584" s="4">
        <v>20.5</v>
      </c>
    </row>
    <row r="585" spans="1:20">
      <c r="A585" s="1" t="s">
        <v>3981</v>
      </c>
      <c r="B585" s="1" t="s">
        <v>301</v>
      </c>
      <c r="C585" s="1" t="s">
        <v>3982</v>
      </c>
      <c r="D585" s="1" t="s">
        <v>391</v>
      </c>
      <c r="E585" s="2">
        <v>45793</v>
      </c>
      <c r="F585" s="2">
        <v>45786</v>
      </c>
      <c r="G585" s="1" t="s">
        <v>3997</v>
      </c>
      <c r="H585" s="3" t="s">
        <v>41</v>
      </c>
      <c r="I585" s="1" t="s">
        <v>3984</v>
      </c>
      <c r="J585" s="1" t="s">
        <v>12</v>
      </c>
      <c r="K585" s="3" t="s">
        <v>3995</v>
      </c>
      <c r="L585" s="1" t="s">
        <v>3987</v>
      </c>
      <c r="M585" s="1" t="s">
        <v>3996</v>
      </c>
      <c r="N585" s="1" t="s">
        <v>13</v>
      </c>
      <c r="O585" s="1" t="s">
        <v>3996</v>
      </c>
      <c r="P585" s="1" t="s">
        <v>13</v>
      </c>
      <c r="Q585" s="1" t="s">
        <v>30</v>
      </c>
      <c r="R585" s="1" t="s">
        <v>62</v>
      </c>
      <c r="S585" s="1" t="s">
        <v>3998</v>
      </c>
      <c r="T585" s="4">
        <v>0.5</v>
      </c>
    </row>
    <row r="586" spans="1:20">
      <c r="A586" s="1" t="s">
        <v>3981</v>
      </c>
      <c r="B586" s="1" t="s">
        <v>301</v>
      </c>
      <c r="C586" s="1" t="s">
        <v>3982</v>
      </c>
      <c r="D586" s="1" t="s">
        <v>391</v>
      </c>
      <c r="E586" s="2">
        <v>45793</v>
      </c>
      <c r="F586" s="2">
        <v>45786</v>
      </c>
      <c r="G586" s="1" t="s">
        <v>3997</v>
      </c>
      <c r="H586" s="3" t="s">
        <v>41</v>
      </c>
      <c r="I586" s="1" t="s">
        <v>3984</v>
      </c>
      <c r="J586" s="1" t="s">
        <v>12</v>
      </c>
      <c r="K586" s="3" t="s">
        <v>3995</v>
      </c>
      <c r="L586" s="1" t="s">
        <v>4002</v>
      </c>
      <c r="M586" s="1" t="s">
        <v>4003</v>
      </c>
      <c r="N586" s="1" t="s">
        <v>13</v>
      </c>
      <c r="O586" s="1" t="s">
        <v>4003</v>
      </c>
      <c r="P586" s="1" t="s">
        <v>13</v>
      </c>
      <c r="Q586" s="1" t="s">
        <v>4004</v>
      </c>
      <c r="R586" s="1" t="s">
        <v>4001</v>
      </c>
      <c r="S586" s="1" t="s">
        <v>3998</v>
      </c>
      <c r="T586" s="4">
        <v>22.5</v>
      </c>
    </row>
    <row r="587" spans="1:20">
      <c r="A587" s="1" t="s">
        <v>3981</v>
      </c>
      <c r="B587" s="1" t="s">
        <v>301</v>
      </c>
      <c r="C587" s="1" t="s">
        <v>3982</v>
      </c>
      <c r="D587" s="1" t="s">
        <v>391</v>
      </c>
      <c r="E587" s="2">
        <v>45793</v>
      </c>
      <c r="F587" s="2">
        <v>45786</v>
      </c>
      <c r="G587" s="1" t="s">
        <v>3997</v>
      </c>
      <c r="H587" s="3" t="s">
        <v>41</v>
      </c>
      <c r="I587" s="1" t="s">
        <v>3984</v>
      </c>
      <c r="J587" s="1" t="s">
        <v>12</v>
      </c>
      <c r="K587" s="3" t="s">
        <v>3995</v>
      </c>
      <c r="L587" s="1" t="s">
        <v>4032</v>
      </c>
      <c r="M587" s="1" t="s">
        <v>4033</v>
      </c>
      <c r="N587" s="1" t="s">
        <v>13</v>
      </c>
      <c r="O587" s="1" t="s">
        <v>4033</v>
      </c>
      <c r="P587" s="1" t="s">
        <v>13</v>
      </c>
      <c r="Q587" s="1" t="s">
        <v>4034</v>
      </c>
      <c r="R587" s="1" t="s">
        <v>4001</v>
      </c>
      <c r="S587" s="1" t="s">
        <v>3998</v>
      </c>
      <c r="T587" s="4">
        <v>0.5</v>
      </c>
    </row>
    <row r="588" spans="1:20">
      <c r="A588" s="1" t="s">
        <v>3981</v>
      </c>
      <c r="B588" s="1" t="s">
        <v>301</v>
      </c>
      <c r="C588" s="1" t="s">
        <v>3982</v>
      </c>
      <c r="D588" s="1" t="s">
        <v>391</v>
      </c>
      <c r="E588" s="2">
        <v>45793</v>
      </c>
      <c r="F588" s="2">
        <v>45786</v>
      </c>
      <c r="G588" s="1" t="s">
        <v>4005</v>
      </c>
      <c r="H588" s="3" t="s">
        <v>21</v>
      </c>
      <c r="I588" s="1" t="s">
        <v>3984</v>
      </c>
      <c r="J588" s="1" t="s">
        <v>12</v>
      </c>
      <c r="K588" s="3" t="s">
        <v>3995</v>
      </c>
      <c r="L588" s="1" t="s">
        <v>3987</v>
      </c>
      <c r="M588" s="1" t="s">
        <v>3996</v>
      </c>
      <c r="N588" s="1" t="s">
        <v>13</v>
      </c>
      <c r="O588" s="1" t="s">
        <v>3996</v>
      </c>
      <c r="P588" s="1" t="s">
        <v>13</v>
      </c>
      <c r="Q588" s="1" t="s">
        <v>14</v>
      </c>
      <c r="R588" s="1" t="s">
        <v>77</v>
      </c>
      <c r="S588" s="1" t="s">
        <v>4007</v>
      </c>
      <c r="T588" s="4">
        <v>17.899999999999999</v>
      </c>
    </row>
    <row r="589" spans="1:20">
      <c r="A589" s="1" t="s">
        <v>3981</v>
      </c>
      <c r="B589" s="1" t="s">
        <v>301</v>
      </c>
      <c r="C589" s="1" t="s">
        <v>3982</v>
      </c>
      <c r="D589" s="1" t="s">
        <v>391</v>
      </c>
      <c r="E589" s="2">
        <v>45793</v>
      </c>
      <c r="F589" s="2">
        <v>45786</v>
      </c>
      <c r="G589" s="1" t="s">
        <v>4005</v>
      </c>
      <c r="H589" s="3" t="s">
        <v>21</v>
      </c>
      <c r="I589" s="1" t="s">
        <v>3984</v>
      </c>
      <c r="J589" s="1" t="s">
        <v>12</v>
      </c>
      <c r="K589" s="3" t="s">
        <v>3995</v>
      </c>
      <c r="L589" s="1" t="s">
        <v>3987</v>
      </c>
      <c r="M589" s="1" t="s">
        <v>3996</v>
      </c>
      <c r="N589" s="1" t="s">
        <v>13</v>
      </c>
      <c r="O589" s="1" t="s">
        <v>3996</v>
      </c>
      <c r="P589" s="1" t="s">
        <v>13</v>
      </c>
      <c r="Q589" s="1" t="s">
        <v>14</v>
      </c>
      <c r="R589" s="1" t="s">
        <v>42</v>
      </c>
      <c r="S589" s="1" t="s">
        <v>4007</v>
      </c>
      <c r="T589" s="4">
        <v>2</v>
      </c>
    </row>
    <row r="590" spans="1:20">
      <c r="A590" s="1" t="s">
        <v>3981</v>
      </c>
      <c r="B590" s="1" t="s">
        <v>301</v>
      </c>
      <c r="C590" s="1" t="s">
        <v>3982</v>
      </c>
      <c r="D590" s="1" t="s">
        <v>391</v>
      </c>
      <c r="E590" s="2">
        <v>45793</v>
      </c>
      <c r="F590" s="2">
        <v>45786</v>
      </c>
      <c r="G590" s="1" t="s">
        <v>4005</v>
      </c>
      <c r="H590" s="3" t="s">
        <v>21</v>
      </c>
      <c r="I590" s="1" t="s">
        <v>3984</v>
      </c>
      <c r="J590" s="1" t="s">
        <v>12</v>
      </c>
      <c r="K590" s="3" t="s">
        <v>3995</v>
      </c>
      <c r="L590" s="1" t="s">
        <v>3987</v>
      </c>
      <c r="M590" s="1" t="s">
        <v>3996</v>
      </c>
      <c r="N590" s="1" t="s">
        <v>13</v>
      </c>
      <c r="O590" s="1" t="s">
        <v>3996</v>
      </c>
      <c r="P590" s="1" t="s">
        <v>13</v>
      </c>
      <c r="Q590" s="1" t="s">
        <v>28</v>
      </c>
      <c r="R590" s="1" t="s">
        <v>43</v>
      </c>
      <c r="S590" s="1" t="s">
        <v>4007</v>
      </c>
      <c r="T590" s="4">
        <v>17.100000000000001</v>
      </c>
    </row>
    <row r="591" spans="1:20">
      <c r="A591" s="1" t="s">
        <v>3981</v>
      </c>
      <c r="B591" s="1" t="s">
        <v>301</v>
      </c>
      <c r="C591" s="1" t="s">
        <v>3982</v>
      </c>
      <c r="D591" s="1" t="s">
        <v>391</v>
      </c>
      <c r="E591" s="2">
        <v>45793</v>
      </c>
      <c r="F591" s="2">
        <v>45786</v>
      </c>
      <c r="G591" s="1" t="s">
        <v>4008</v>
      </c>
      <c r="H591" s="3" t="s">
        <v>25</v>
      </c>
      <c r="I591" s="1" t="s">
        <v>3984</v>
      </c>
      <c r="J591" s="1" t="s">
        <v>12</v>
      </c>
      <c r="K591" s="3" t="s">
        <v>3995</v>
      </c>
      <c r="L591" s="1" t="s">
        <v>4013</v>
      </c>
      <c r="M591" s="1" t="s">
        <v>4015</v>
      </c>
      <c r="N591" s="1" t="s">
        <v>4016</v>
      </c>
      <c r="O591" s="1" t="s">
        <v>13</v>
      </c>
      <c r="P591" s="1" t="s">
        <v>13</v>
      </c>
      <c r="Q591" s="1" t="s">
        <v>13</v>
      </c>
      <c r="R591" s="1" t="s">
        <v>13</v>
      </c>
      <c r="S591" s="1" t="s">
        <v>4009</v>
      </c>
      <c r="T591" s="4">
        <v>1.8</v>
      </c>
    </row>
    <row r="592" spans="1:20">
      <c r="A592" s="1" t="s">
        <v>3981</v>
      </c>
      <c r="B592" s="1" t="s">
        <v>301</v>
      </c>
      <c r="C592" s="1" t="s">
        <v>3982</v>
      </c>
      <c r="D592" s="1" t="s">
        <v>391</v>
      </c>
      <c r="E592" s="2">
        <v>45793</v>
      </c>
      <c r="F592" s="2">
        <v>45786</v>
      </c>
      <c r="G592" s="1" t="s">
        <v>4008</v>
      </c>
      <c r="H592" s="3" t="s">
        <v>25</v>
      </c>
      <c r="I592" s="1" t="s">
        <v>3984</v>
      </c>
      <c r="J592" s="1" t="s">
        <v>12</v>
      </c>
      <c r="K592" s="3" t="s">
        <v>3995</v>
      </c>
      <c r="L592" s="1" t="s">
        <v>3987</v>
      </c>
      <c r="M592" s="1" t="s">
        <v>3996</v>
      </c>
      <c r="N592" s="1" t="s">
        <v>13</v>
      </c>
      <c r="O592" s="1" t="s">
        <v>3996</v>
      </c>
      <c r="P592" s="1" t="s">
        <v>13</v>
      </c>
      <c r="Q592" s="1" t="s">
        <v>14</v>
      </c>
      <c r="R592" s="1" t="s">
        <v>76</v>
      </c>
      <c r="S592" s="1" t="s">
        <v>4009</v>
      </c>
      <c r="T592" s="4">
        <v>1</v>
      </c>
    </row>
    <row r="593" spans="1:20">
      <c r="A593" s="1" t="s">
        <v>3981</v>
      </c>
      <c r="B593" s="1" t="s">
        <v>301</v>
      </c>
      <c r="C593" s="1" t="s">
        <v>3982</v>
      </c>
      <c r="D593" s="1" t="s">
        <v>391</v>
      </c>
      <c r="E593" s="2">
        <v>45793</v>
      </c>
      <c r="F593" s="2">
        <v>45786</v>
      </c>
      <c r="G593" s="1" t="s">
        <v>4008</v>
      </c>
      <c r="H593" s="3" t="s">
        <v>25</v>
      </c>
      <c r="I593" s="1" t="s">
        <v>3984</v>
      </c>
      <c r="J593" s="1" t="s">
        <v>12</v>
      </c>
      <c r="K593" s="3" t="s">
        <v>3995</v>
      </c>
      <c r="L593" s="1" t="s">
        <v>3987</v>
      </c>
      <c r="M593" s="1" t="s">
        <v>3996</v>
      </c>
      <c r="N593" s="1" t="s">
        <v>13</v>
      </c>
      <c r="O593" s="1" t="s">
        <v>3996</v>
      </c>
      <c r="P593" s="1" t="s">
        <v>13</v>
      </c>
      <c r="Q593" s="1" t="s">
        <v>14</v>
      </c>
      <c r="R593" s="1" t="s">
        <v>37</v>
      </c>
      <c r="S593" s="1" t="s">
        <v>4009</v>
      </c>
      <c r="T593" s="4">
        <v>0.3</v>
      </c>
    </row>
    <row r="594" spans="1:20">
      <c r="A594" s="1" t="s">
        <v>3981</v>
      </c>
      <c r="B594" s="1" t="s">
        <v>301</v>
      </c>
      <c r="C594" s="1" t="s">
        <v>3982</v>
      </c>
      <c r="D594" s="1" t="s">
        <v>391</v>
      </c>
      <c r="E594" s="2">
        <v>45793</v>
      </c>
      <c r="F594" s="2">
        <v>45786</v>
      </c>
      <c r="G594" s="1" t="s">
        <v>4008</v>
      </c>
      <c r="H594" s="3" t="s">
        <v>25</v>
      </c>
      <c r="I594" s="1" t="s">
        <v>3984</v>
      </c>
      <c r="J594" s="1" t="s">
        <v>12</v>
      </c>
      <c r="K594" s="3" t="s">
        <v>3995</v>
      </c>
      <c r="L594" s="1" t="s">
        <v>3987</v>
      </c>
      <c r="M594" s="1" t="s">
        <v>3996</v>
      </c>
      <c r="N594" s="1" t="s">
        <v>13</v>
      </c>
      <c r="O594" s="1" t="s">
        <v>3996</v>
      </c>
      <c r="P594" s="1" t="s">
        <v>13</v>
      </c>
      <c r="Q594" s="1" t="s">
        <v>44</v>
      </c>
      <c r="R594" s="1" t="s">
        <v>45</v>
      </c>
      <c r="S594" s="1" t="s">
        <v>4009</v>
      </c>
      <c r="T594" s="4">
        <v>8.5</v>
      </c>
    </row>
    <row r="595" spans="1:20">
      <c r="A595" s="1" t="s">
        <v>3981</v>
      </c>
      <c r="B595" s="1" t="s">
        <v>301</v>
      </c>
      <c r="C595" s="1" t="s">
        <v>3982</v>
      </c>
      <c r="D595" s="1" t="s">
        <v>391</v>
      </c>
      <c r="E595" s="2">
        <v>45793</v>
      </c>
      <c r="F595" s="2">
        <v>45786</v>
      </c>
      <c r="G595" s="1" t="s">
        <v>4008</v>
      </c>
      <c r="H595" s="3" t="s">
        <v>25</v>
      </c>
      <c r="I595" s="1" t="s">
        <v>3984</v>
      </c>
      <c r="J595" s="1" t="s">
        <v>12</v>
      </c>
      <c r="K595" s="3" t="s">
        <v>3995</v>
      </c>
      <c r="L595" s="1" t="s">
        <v>3987</v>
      </c>
      <c r="M595" s="1" t="s">
        <v>3996</v>
      </c>
      <c r="N595" s="1" t="s">
        <v>13</v>
      </c>
      <c r="O595" s="1" t="s">
        <v>3996</v>
      </c>
      <c r="P595" s="1" t="s">
        <v>13</v>
      </c>
      <c r="Q595" s="1" t="s">
        <v>38</v>
      </c>
      <c r="R595" s="1" t="s">
        <v>46</v>
      </c>
      <c r="S595" s="1" t="s">
        <v>4009</v>
      </c>
      <c r="T595" s="4">
        <v>5.7</v>
      </c>
    </row>
    <row r="596" spans="1:20">
      <c r="A596" s="1" t="s">
        <v>3981</v>
      </c>
      <c r="B596" s="1" t="s">
        <v>301</v>
      </c>
      <c r="C596" s="1" t="s">
        <v>3982</v>
      </c>
      <c r="D596" s="1" t="s">
        <v>391</v>
      </c>
      <c r="E596" s="2">
        <v>45793</v>
      </c>
      <c r="F596" s="2">
        <v>45786</v>
      </c>
      <c r="G596" s="1" t="s">
        <v>4008</v>
      </c>
      <c r="H596" s="3" t="s">
        <v>25</v>
      </c>
      <c r="I596" s="1" t="s">
        <v>3984</v>
      </c>
      <c r="J596" s="1" t="s">
        <v>12</v>
      </c>
      <c r="K596" s="3" t="s">
        <v>3995</v>
      </c>
      <c r="L596" s="1" t="s">
        <v>3987</v>
      </c>
      <c r="M596" s="1" t="s">
        <v>3996</v>
      </c>
      <c r="N596" s="1" t="s">
        <v>13</v>
      </c>
      <c r="O596" s="1" t="s">
        <v>3996</v>
      </c>
      <c r="P596" s="1" t="s">
        <v>13</v>
      </c>
      <c r="Q596" s="1" t="s">
        <v>30</v>
      </c>
      <c r="R596" s="1" t="s">
        <v>67</v>
      </c>
      <c r="S596" s="1" t="s">
        <v>4009</v>
      </c>
      <c r="T596" s="4">
        <v>2.5</v>
      </c>
    </row>
    <row r="597" spans="1:20">
      <c r="A597" s="1" t="s">
        <v>3981</v>
      </c>
      <c r="B597" s="1" t="s">
        <v>301</v>
      </c>
      <c r="C597" s="1" t="s">
        <v>3982</v>
      </c>
      <c r="D597" s="1" t="s">
        <v>391</v>
      </c>
      <c r="E597" s="2">
        <v>45793</v>
      </c>
      <c r="F597" s="2">
        <v>45786</v>
      </c>
      <c r="G597" s="1" t="s">
        <v>4008</v>
      </c>
      <c r="H597" s="3" t="s">
        <v>25</v>
      </c>
      <c r="I597" s="1" t="s">
        <v>3984</v>
      </c>
      <c r="J597" s="1" t="s">
        <v>12</v>
      </c>
      <c r="K597" s="3" t="s">
        <v>3995</v>
      </c>
      <c r="L597" s="1" t="s">
        <v>3987</v>
      </c>
      <c r="M597" s="1" t="s">
        <v>3996</v>
      </c>
      <c r="N597" s="1" t="s">
        <v>13</v>
      </c>
      <c r="O597" s="1" t="s">
        <v>3996</v>
      </c>
      <c r="P597" s="1" t="s">
        <v>13</v>
      </c>
      <c r="Q597" s="1" t="s">
        <v>30</v>
      </c>
      <c r="R597" s="1" t="s">
        <v>62</v>
      </c>
      <c r="S597" s="1" t="s">
        <v>4009</v>
      </c>
      <c r="T597" s="4">
        <v>5.5</v>
      </c>
    </row>
    <row r="598" spans="1:20">
      <c r="A598" s="1" t="s">
        <v>3981</v>
      </c>
      <c r="B598" s="1" t="s">
        <v>301</v>
      </c>
      <c r="C598" s="1" t="s">
        <v>3982</v>
      </c>
      <c r="D598" s="1" t="s">
        <v>391</v>
      </c>
      <c r="E598" s="2">
        <v>45793</v>
      </c>
      <c r="F598" s="2">
        <v>45786</v>
      </c>
      <c r="G598" s="1" t="s">
        <v>4008</v>
      </c>
      <c r="H598" s="3" t="s">
        <v>25</v>
      </c>
      <c r="I598" s="1" t="s">
        <v>3984</v>
      </c>
      <c r="J598" s="1" t="s">
        <v>12</v>
      </c>
      <c r="K598" s="3" t="s">
        <v>3995</v>
      </c>
      <c r="L598" s="1" t="s">
        <v>3987</v>
      </c>
      <c r="M598" s="1" t="s">
        <v>3996</v>
      </c>
      <c r="N598" s="1" t="s">
        <v>13</v>
      </c>
      <c r="O598" s="1" t="s">
        <v>3996</v>
      </c>
      <c r="P598" s="1" t="s">
        <v>13</v>
      </c>
      <c r="Q598" s="1" t="s">
        <v>30</v>
      </c>
      <c r="R598" s="1" t="s">
        <v>68</v>
      </c>
      <c r="S598" s="1" t="s">
        <v>4009</v>
      </c>
      <c r="T598" s="4">
        <v>4.5</v>
      </c>
    </row>
    <row r="599" spans="1:20">
      <c r="A599" s="1" t="s">
        <v>3981</v>
      </c>
      <c r="B599" s="1" t="s">
        <v>301</v>
      </c>
      <c r="C599" s="1" t="s">
        <v>3982</v>
      </c>
      <c r="D599" s="1" t="s">
        <v>391</v>
      </c>
      <c r="E599" s="2">
        <v>45793</v>
      </c>
      <c r="F599" s="2">
        <v>45786</v>
      </c>
      <c r="G599" s="1" t="s">
        <v>4008</v>
      </c>
      <c r="H599" s="3" t="s">
        <v>25</v>
      </c>
      <c r="I599" s="1" t="s">
        <v>3984</v>
      </c>
      <c r="J599" s="1" t="s">
        <v>12</v>
      </c>
      <c r="K599" s="3" t="s">
        <v>3995</v>
      </c>
      <c r="L599" s="1" t="s">
        <v>3987</v>
      </c>
      <c r="M599" s="1" t="s">
        <v>4035</v>
      </c>
      <c r="N599" s="1" t="s">
        <v>4036</v>
      </c>
      <c r="O599" s="1" t="s">
        <v>13</v>
      </c>
      <c r="P599" s="1" t="s">
        <v>13</v>
      </c>
      <c r="Q599" s="1" t="s">
        <v>13</v>
      </c>
      <c r="R599" s="1" t="s">
        <v>13</v>
      </c>
      <c r="S599" s="1" t="s">
        <v>4009</v>
      </c>
      <c r="T599" s="4">
        <v>2.2000000000000002</v>
      </c>
    </row>
    <row r="600" spans="1:20">
      <c r="A600" s="1" t="s">
        <v>3981</v>
      </c>
      <c r="B600" s="1" t="s">
        <v>301</v>
      </c>
      <c r="C600" s="1" t="s">
        <v>3982</v>
      </c>
      <c r="D600" s="1" t="s">
        <v>391</v>
      </c>
      <c r="E600" s="2">
        <v>45793</v>
      </c>
      <c r="F600" s="2">
        <v>45793</v>
      </c>
      <c r="G600" s="1" t="s">
        <v>3983</v>
      </c>
      <c r="H600" s="3" t="s">
        <v>32</v>
      </c>
      <c r="I600" s="1" t="s">
        <v>3984</v>
      </c>
      <c r="J600" s="1" t="s">
        <v>12</v>
      </c>
      <c r="K600" s="3" t="s">
        <v>3995</v>
      </c>
      <c r="L600" s="1" t="s">
        <v>3987</v>
      </c>
      <c r="M600" s="1" t="s">
        <v>3999</v>
      </c>
      <c r="N600" s="1" t="s">
        <v>13</v>
      </c>
      <c r="O600" s="1" t="s">
        <v>3999</v>
      </c>
      <c r="P600" s="1" t="s">
        <v>13</v>
      </c>
      <c r="Q600" s="1" t="s">
        <v>4044</v>
      </c>
      <c r="R600" s="1" t="s">
        <v>4037</v>
      </c>
      <c r="S600" s="1" t="s">
        <v>3989</v>
      </c>
      <c r="T600" s="4">
        <v>3</v>
      </c>
    </row>
    <row r="601" spans="1:20">
      <c r="A601" s="1" t="s">
        <v>3981</v>
      </c>
      <c r="B601" s="1" t="s">
        <v>301</v>
      </c>
      <c r="C601" s="1" t="s">
        <v>3982</v>
      </c>
      <c r="D601" s="1" t="s">
        <v>391</v>
      </c>
      <c r="E601" s="2">
        <v>45793</v>
      </c>
      <c r="F601" s="2">
        <v>45793</v>
      </c>
      <c r="G601" s="1" t="s">
        <v>3983</v>
      </c>
      <c r="H601" s="3" t="s">
        <v>32</v>
      </c>
      <c r="I601" s="1" t="s">
        <v>3984</v>
      </c>
      <c r="J601" s="1" t="s">
        <v>12</v>
      </c>
      <c r="K601" s="3" t="s">
        <v>3995</v>
      </c>
      <c r="L601" s="1" t="s">
        <v>3987</v>
      </c>
      <c r="M601" s="1" t="s">
        <v>3996</v>
      </c>
      <c r="N601" s="1" t="s">
        <v>13</v>
      </c>
      <c r="O601" s="1" t="s">
        <v>3996</v>
      </c>
      <c r="P601" s="1" t="s">
        <v>13</v>
      </c>
      <c r="Q601" s="1" t="s">
        <v>14</v>
      </c>
      <c r="R601" s="1" t="s">
        <v>54</v>
      </c>
      <c r="S601" s="1" t="s">
        <v>3989</v>
      </c>
      <c r="T601" s="4">
        <v>2</v>
      </c>
    </row>
    <row r="602" spans="1:20">
      <c r="A602" s="1" t="s">
        <v>3981</v>
      </c>
      <c r="B602" s="1" t="s">
        <v>301</v>
      </c>
      <c r="C602" s="1" t="s">
        <v>3982</v>
      </c>
      <c r="D602" s="1" t="s">
        <v>391</v>
      </c>
      <c r="E602" s="2">
        <v>45793</v>
      </c>
      <c r="F602" s="2">
        <v>45793</v>
      </c>
      <c r="G602" s="1" t="s">
        <v>3983</v>
      </c>
      <c r="H602" s="3" t="s">
        <v>32</v>
      </c>
      <c r="I602" s="1" t="s">
        <v>3984</v>
      </c>
      <c r="J602" s="1" t="s">
        <v>12</v>
      </c>
      <c r="K602" s="3" t="s">
        <v>3995</v>
      </c>
      <c r="L602" s="1" t="s">
        <v>3987</v>
      </c>
      <c r="M602" s="1" t="s">
        <v>3996</v>
      </c>
      <c r="N602" s="1" t="s">
        <v>13</v>
      </c>
      <c r="O602" s="1" t="s">
        <v>3996</v>
      </c>
      <c r="P602" s="1" t="s">
        <v>13</v>
      </c>
      <c r="Q602" s="1" t="s">
        <v>14</v>
      </c>
      <c r="R602" s="1" t="s">
        <v>78</v>
      </c>
      <c r="S602" s="1" t="s">
        <v>3989</v>
      </c>
      <c r="T602" s="4">
        <v>10</v>
      </c>
    </row>
    <row r="603" spans="1:20">
      <c r="A603" s="1" t="s">
        <v>3981</v>
      </c>
      <c r="B603" s="1" t="s">
        <v>301</v>
      </c>
      <c r="C603" s="1" t="s">
        <v>3982</v>
      </c>
      <c r="D603" s="1" t="s">
        <v>391</v>
      </c>
      <c r="E603" s="2">
        <v>45793</v>
      </c>
      <c r="F603" s="2">
        <v>45793</v>
      </c>
      <c r="G603" s="1" t="s">
        <v>3983</v>
      </c>
      <c r="H603" s="3" t="s">
        <v>32</v>
      </c>
      <c r="I603" s="1" t="s">
        <v>3984</v>
      </c>
      <c r="J603" s="1" t="s">
        <v>12</v>
      </c>
      <c r="K603" s="3" t="s">
        <v>3995</v>
      </c>
      <c r="L603" s="1" t="s">
        <v>3987</v>
      </c>
      <c r="M603" s="1" t="s">
        <v>3996</v>
      </c>
      <c r="N603" s="1" t="s">
        <v>13</v>
      </c>
      <c r="O603" s="1" t="s">
        <v>3996</v>
      </c>
      <c r="P603" s="1" t="s">
        <v>13</v>
      </c>
      <c r="Q603" s="1" t="s">
        <v>14</v>
      </c>
      <c r="R603" s="1" t="s">
        <v>42</v>
      </c>
      <c r="S603" s="1" t="s">
        <v>3989</v>
      </c>
      <c r="T603" s="4">
        <v>1</v>
      </c>
    </row>
    <row r="604" spans="1:20">
      <c r="A604" s="1" t="s">
        <v>3981</v>
      </c>
      <c r="B604" s="1" t="s">
        <v>301</v>
      </c>
      <c r="C604" s="1" t="s">
        <v>3982</v>
      </c>
      <c r="D604" s="1" t="s">
        <v>391</v>
      </c>
      <c r="E604" s="2">
        <v>45793</v>
      </c>
      <c r="F604" s="2">
        <v>45793</v>
      </c>
      <c r="G604" s="1" t="s">
        <v>3983</v>
      </c>
      <c r="H604" s="3" t="s">
        <v>32</v>
      </c>
      <c r="I604" s="1" t="s">
        <v>3984</v>
      </c>
      <c r="J604" s="1" t="s">
        <v>12</v>
      </c>
      <c r="K604" s="3" t="s">
        <v>3995</v>
      </c>
      <c r="L604" s="1" t="s">
        <v>3987</v>
      </c>
      <c r="M604" s="1" t="s">
        <v>3996</v>
      </c>
      <c r="N604" s="1" t="s">
        <v>13</v>
      </c>
      <c r="O604" s="1" t="s">
        <v>3996</v>
      </c>
      <c r="P604" s="1" t="s">
        <v>13</v>
      </c>
      <c r="Q604" s="1" t="s">
        <v>44</v>
      </c>
      <c r="R604" s="1" t="s">
        <v>47</v>
      </c>
      <c r="S604" s="1" t="s">
        <v>3989</v>
      </c>
      <c r="T604" s="4">
        <v>25</v>
      </c>
    </row>
    <row r="605" spans="1:20">
      <c r="A605" s="1" t="s">
        <v>3981</v>
      </c>
      <c r="B605" s="1" t="s">
        <v>301</v>
      </c>
      <c r="C605" s="1" t="s">
        <v>3982</v>
      </c>
      <c r="D605" s="1" t="s">
        <v>391</v>
      </c>
      <c r="E605" s="2">
        <v>45793</v>
      </c>
      <c r="F605" s="2">
        <v>45793</v>
      </c>
      <c r="G605" s="1" t="s">
        <v>3990</v>
      </c>
      <c r="H605" s="3" t="s">
        <v>11</v>
      </c>
      <c r="I605" s="1" t="s">
        <v>3984</v>
      </c>
      <c r="J605" s="1" t="s">
        <v>12</v>
      </c>
      <c r="K605" s="3" t="s">
        <v>3995</v>
      </c>
      <c r="L605" s="1" t="s">
        <v>3987</v>
      </c>
      <c r="M605" s="1" t="s">
        <v>4033</v>
      </c>
      <c r="N605" s="1" t="s">
        <v>13</v>
      </c>
      <c r="O605" s="1" t="s">
        <v>4033</v>
      </c>
      <c r="P605" s="1" t="s">
        <v>13</v>
      </c>
      <c r="Q605" s="1" t="s">
        <v>4034</v>
      </c>
      <c r="R605" s="1" t="s">
        <v>4001</v>
      </c>
      <c r="S605" s="1" t="s">
        <v>3994</v>
      </c>
      <c r="T605" s="4">
        <v>1.1000000000000001</v>
      </c>
    </row>
    <row r="606" spans="1:20">
      <c r="A606" s="1" t="s">
        <v>3981</v>
      </c>
      <c r="B606" s="1" t="s">
        <v>301</v>
      </c>
      <c r="C606" s="1" t="s">
        <v>3982</v>
      </c>
      <c r="D606" s="1" t="s">
        <v>391</v>
      </c>
      <c r="E606" s="2">
        <v>45793</v>
      </c>
      <c r="F606" s="2">
        <v>45793</v>
      </c>
      <c r="G606" s="1" t="s">
        <v>3990</v>
      </c>
      <c r="H606" s="3" t="s">
        <v>11</v>
      </c>
      <c r="I606" s="1" t="s">
        <v>3984</v>
      </c>
      <c r="J606" s="1" t="s">
        <v>12</v>
      </c>
      <c r="K606" s="3" t="s">
        <v>3995</v>
      </c>
      <c r="L606" s="1" t="s">
        <v>3987</v>
      </c>
      <c r="M606" s="1" t="s">
        <v>3996</v>
      </c>
      <c r="N606" s="1" t="s">
        <v>13</v>
      </c>
      <c r="O606" s="1" t="s">
        <v>3996</v>
      </c>
      <c r="P606" s="1" t="s">
        <v>13</v>
      </c>
      <c r="Q606" s="1" t="s">
        <v>14</v>
      </c>
      <c r="R606" s="1" t="s">
        <v>27</v>
      </c>
      <c r="S606" s="1" t="s">
        <v>3994</v>
      </c>
      <c r="T606" s="4">
        <v>2</v>
      </c>
    </row>
    <row r="607" spans="1:20">
      <c r="A607" s="1" t="s">
        <v>3981</v>
      </c>
      <c r="B607" s="1" t="s">
        <v>301</v>
      </c>
      <c r="C607" s="1" t="s">
        <v>3982</v>
      </c>
      <c r="D607" s="1" t="s">
        <v>391</v>
      </c>
      <c r="E607" s="2">
        <v>45793</v>
      </c>
      <c r="F607" s="2">
        <v>45793</v>
      </c>
      <c r="G607" s="1" t="s">
        <v>3990</v>
      </c>
      <c r="H607" s="3" t="s">
        <v>11</v>
      </c>
      <c r="I607" s="1" t="s">
        <v>3984</v>
      </c>
      <c r="J607" s="1" t="s">
        <v>12</v>
      </c>
      <c r="K607" s="3" t="s">
        <v>3995</v>
      </c>
      <c r="L607" s="1" t="s">
        <v>3987</v>
      </c>
      <c r="M607" s="1" t="s">
        <v>3996</v>
      </c>
      <c r="N607" s="1" t="s">
        <v>13</v>
      </c>
      <c r="O607" s="1" t="s">
        <v>3996</v>
      </c>
      <c r="P607" s="1" t="s">
        <v>13</v>
      </c>
      <c r="Q607" s="1" t="s">
        <v>14</v>
      </c>
      <c r="R607" s="1" t="s">
        <v>76</v>
      </c>
      <c r="S607" s="1" t="s">
        <v>3994</v>
      </c>
      <c r="T607" s="4">
        <v>3.5</v>
      </c>
    </row>
    <row r="608" spans="1:20">
      <c r="A608" s="1" t="s">
        <v>3981</v>
      </c>
      <c r="B608" s="1" t="s">
        <v>301</v>
      </c>
      <c r="C608" s="1" t="s">
        <v>3982</v>
      </c>
      <c r="D608" s="1" t="s">
        <v>391</v>
      </c>
      <c r="E608" s="2">
        <v>45793</v>
      </c>
      <c r="F608" s="2">
        <v>45793</v>
      </c>
      <c r="G608" s="1" t="s">
        <v>3990</v>
      </c>
      <c r="H608" s="3" t="s">
        <v>11</v>
      </c>
      <c r="I608" s="1" t="s">
        <v>3984</v>
      </c>
      <c r="J608" s="1" t="s">
        <v>12</v>
      </c>
      <c r="K608" s="3" t="s">
        <v>3995</v>
      </c>
      <c r="L608" s="1" t="s">
        <v>3987</v>
      </c>
      <c r="M608" s="1" t="s">
        <v>3996</v>
      </c>
      <c r="N608" s="1" t="s">
        <v>13</v>
      </c>
      <c r="O608" s="1" t="s">
        <v>3996</v>
      </c>
      <c r="P608" s="1" t="s">
        <v>13</v>
      </c>
      <c r="Q608" s="1" t="s">
        <v>14</v>
      </c>
      <c r="R608" s="1" t="s">
        <v>37</v>
      </c>
      <c r="S608" s="1" t="s">
        <v>3994</v>
      </c>
      <c r="T608" s="4">
        <v>0.7</v>
      </c>
    </row>
    <row r="609" spans="1:20">
      <c r="A609" s="1" t="s">
        <v>3981</v>
      </c>
      <c r="B609" s="1" t="s">
        <v>301</v>
      </c>
      <c r="C609" s="1" t="s">
        <v>3982</v>
      </c>
      <c r="D609" s="1" t="s">
        <v>391</v>
      </c>
      <c r="E609" s="2">
        <v>45793</v>
      </c>
      <c r="F609" s="2">
        <v>45793</v>
      </c>
      <c r="G609" s="1" t="s">
        <v>3990</v>
      </c>
      <c r="H609" s="3" t="s">
        <v>11</v>
      </c>
      <c r="I609" s="1" t="s">
        <v>3984</v>
      </c>
      <c r="J609" s="1" t="s">
        <v>12</v>
      </c>
      <c r="K609" s="3" t="s">
        <v>3995</v>
      </c>
      <c r="L609" s="1" t="s">
        <v>3987</v>
      </c>
      <c r="M609" s="1" t="s">
        <v>3996</v>
      </c>
      <c r="N609" s="1" t="s">
        <v>13</v>
      </c>
      <c r="O609" s="1" t="s">
        <v>3996</v>
      </c>
      <c r="P609" s="1" t="s">
        <v>13</v>
      </c>
      <c r="Q609" s="1" t="s">
        <v>14</v>
      </c>
      <c r="R609" s="1" t="s">
        <v>15</v>
      </c>
      <c r="S609" s="1" t="s">
        <v>3994</v>
      </c>
      <c r="T609" s="4">
        <v>2.6</v>
      </c>
    </row>
    <row r="610" spans="1:20">
      <c r="A610" s="1" t="s">
        <v>3981</v>
      </c>
      <c r="B610" s="1" t="s">
        <v>301</v>
      </c>
      <c r="C610" s="1" t="s">
        <v>3982</v>
      </c>
      <c r="D610" s="1" t="s">
        <v>391</v>
      </c>
      <c r="E610" s="2">
        <v>45793</v>
      </c>
      <c r="F610" s="2">
        <v>45793</v>
      </c>
      <c r="G610" s="1" t="s">
        <v>3990</v>
      </c>
      <c r="H610" s="3" t="s">
        <v>11</v>
      </c>
      <c r="I610" s="1" t="s">
        <v>3984</v>
      </c>
      <c r="J610" s="1" t="s">
        <v>12</v>
      </c>
      <c r="K610" s="3" t="s">
        <v>3995</v>
      </c>
      <c r="L610" s="1" t="s">
        <v>3987</v>
      </c>
      <c r="M610" s="1" t="s">
        <v>3996</v>
      </c>
      <c r="N610" s="1" t="s">
        <v>13</v>
      </c>
      <c r="O610" s="1" t="s">
        <v>3996</v>
      </c>
      <c r="P610" s="1" t="s">
        <v>13</v>
      </c>
      <c r="Q610" s="1" t="s">
        <v>44</v>
      </c>
      <c r="R610" s="1" t="s">
        <v>64</v>
      </c>
      <c r="S610" s="1" t="s">
        <v>3994</v>
      </c>
      <c r="T610" s="4">
        <v>1.7</v>
      </c>
    </row>
    <row r="611" spans="1:20">
      <c r="A611" s="1" t="s">
        <v>3981</v>
      </c>
      <c r="B611" s="1" t="s">
        <v>301</v>
      </c>
      <c r="C611" s="1" t="s">
        <v>3982</v>
      </c>
      <c r="D611" s="1" t="s">
        <v>391</v>
      </c>
      <c r="E611" s="2">
        <v>45793</v>
      </c>
      <c r="F611" s="2">
        <v>45793</v>
      </c>
      <c r="G611" s="1" t="s">
        <v>3990</v>
      </c>
      <c r="H611" s="3" t="s">
        <v>11</v>
      </c>
      <c r="I611" s="1" t="s">
        <v>3984</v>
      </c>
      <c r="J611" s="1" t="s">
        <v>12</v>
      </c>
      <c r="K611" s="3" t="s">
        <v>3995</v>
      </c>
      <c r="L611" s="1" t="s">
        <v>3987</v>
      </c>
      <c r="M611" s="1" t="s">
        <v>3996</v>
      </c>
      <c r="N611" s="1" t="s">
        <v>13</v>
      </c>
      <c r="O611" s="1" t="s">
        <v>3996</v>
      </c>
      <c r="P611" s="1" t="s">
        <v>13</v>
      </c>
      <c r="Q611" s="1" t="s">
        <v>38</v>
      </c>
      <c r="R611" s="1" t="s">
        <v>64</v>
      </c>
      <c r="S611" s="1" t="s">
        <v>3994</v>
      </c>
      <c r="T611" s="4">
        <v>0.3</v>
      </c>
    </row>
    <row r="612" spans="1:20">
      <c r="A612" s="1" t="s">
        <v>3981</v>
      </c>
      <c r="B612" s="1" t="s">
        <v>301</v>
      </c>
      <c r="C612" s="1" t="s">
        <v>3982</v>
      </c>
      <c r="D612" s="1" t="s">
        <v>391</v>
      </c>
      <c r="E612" s="2">
        <v>45793</v>
      </c>
      <c r="F612" s="2">
        <v>45793</v>
      </c>
      <c r="G612" s="1" t="s">
        <v>3990</v>
      </c>
      <c r="H612" s="3" t="s">
        <v>11</v>
      </c>
      <c r="I612" s="1" t="s">
        <v>3984</v>
      </c>
      <c r="J612" s="1" t="s">
        <v>12</v>
      </c>
      <c r="K612" s="3" t="s">
        <v>3995</v>
      </c>
      <c r="L612" s="1" t="s">
        <v>3987</v>
      </c>
      <c r="M612" s="1" t="s">
        <v>3996</v>
      </c>
      <c r="N612" s="1" t="s">
        <v>13</v>
      </c>
      <c r="O612" s="1" t="s">
        <v>3996</v>
      </c>
      <c r="P612" s="1" t="s">
        <v>13</v>
      </c>
      <c r="Q612" s="1" t="s">
        <v>16</v>
      </c>
      <c r="R612" s="1" t="s">
        <v>17</v>
      </c>
      <c r="S612" s="1" t="s">
        <v>3994</v>
      </c>
      <c r="T612" s="4">
        <v>4.8</v>
      </c>
    </row>
    <row r="613" spans="1:20">
      <c r="A613" s="1" t="s">
        <v>3981</v>
      </c>
      <c r="B613" s="1" t="s">
        <v>301</v>
      </c>
      <c r="C613" s="1" t="s">
        <v>3982</v>
      </c>
      <c r="D613" s="1" t="s">
        <v>391</v>
      </c>
      <c r="E613" s="2">
        <v>45793</v>
      </c>
      <c r="F613" s="2">
        <v>45793</v>
      </c>
      <c r="G613" s="1" t="s">
        <v>3990</v>
      </c>
      <c r="H613" s="3" t="s">
        <v>11</v>
      </c>
      <c r="I613" s="1" t="s">
        <v>3984</v>
      </c>
      <c r="J613" s="1" t="s">
        <v>12</v>
      </c>
      <c r="K613" s="3" t="s">
        <v>3995</v>
      </c>
      <c r="L613" s="1" t="s">
        <v>3987</v>
      </c>
      <c r="M613" s="1" t="s">
        <v>3996</v>
      </c>
      <c r="N613" s="1" t="s">
        <v>13</v>
      </c>
      <c r="O613" s="1" t="s">
        <v>3996</v>
      </c>
      <c r="P613" s="1" t="s">
        <v>13</v>
      </c>
      <c r="Q613" s="1" t="s">
        <v>16</v>
      </c>
      <c r="R613" s="1" t="s">
        <v>61</v>
      </c>
      <c r="S613" s="1" t="s">
        <v>3994</v>
      </c>
      <c r="T613" s="4">
        <v>3.9</v>
      </c>
    </row>
    <row r="614" spans="1:20">
      <c r="A614" s="1" t="s">
        <v>3981</v>
      </c>
      <c r="B614" s="1" t="s">
        <v>301</v>
      </c>
      <c r="C614" s="1" t="s">
        <v>3982</v>
      </c>
      <c r="D614" s="1" t="s">
        <v>391</v>
      </c>
      <c r="E614" s="2">
        <v>45793</v>
      </c>
      <c r="F614" s="2">
        <v>45793</v>
      </c>
      <c r="G614" s="1" t="s">
        <v>3990</v>
      </c>
      <c r="H614" s="3" t="s">
        <v>11</v>
      </c>
      <c r="I614" s="1" t="s">
        <v>3984</v>
      </c>
      <c r="J614" s="1" t="s">
        <v>12</v>
      </c>
      <c r="K614" s="3" t="s">
        <v>3995</v>
      </c>
      <c r="L614" s="1" t="s">
        <v>3987</v>
      </c>
      <c r="M614" s="1" t="s">
        <v>3996</v>
      </c>
      <c r="N614" s="1" t="s">
        <v>13</v>
      </c>
      <c r="O614" s="1" t="s">
        <v>3996</v>
      </c>
      <c r="P614" s="1" t="s">
        <v>13</v>
      </c>
      <c r="Q614" s="1" t="s">
        <v>30</v>
      </c>
      <c r="R614" s="1" t="s">
        <v>62</v>
      </c>
      <c r="S614" s="1" t="s">
        <v>3994</v>
      </c>
      <c r="T614" s="4">
        <v>1.5</v>
      </c>
    </row>
    <row r="615" spans="1:20">
      <c r="A615" s="1" t="s">
        <v>3981</v>
      </c>
      <c r="B615" s="1" t="s">
        <v>301</v>
      </c>
      <c r="C615" s="1" t="s">
        <v>3982</v>
      </c>
      <c r="D615" s="1" t="s">
        <v>391</v>
      </c>
      <c r="E615" s="2">
        <v>45793</v>
      </c>
      <c r="F615" s="2">
        <v>45793</v>
      </c>
      <c r="G615" s="1" t="s">
        <v>3990</v>
      </c>
      <c r="H615" s="3" t="s">
        <v>11</v>
      </c>
      <c r="I615" s="1" t="s">
        <v>3984</v>
      </c>
      <c r="J615" s="1" t="s">
        <v>12</v>
      </c>
      <c r="K615" s="3" t="s">
        <v>3995</v>
      </c>
      <c r="L615" s="1" t="s">
        <v>3987</v>
      </c>
      <c r="M615" s="1" t="s">
        <v>4029</v>
      </c>
      <c r="N615" s="1" t="s">
        <v>13</v>
      </c>
      <c r="O615" s="1" t="s">
        <v>4029</v>
      </c>
      <c r="P615" s="1" t="s">
        <v>13</v>
      </c>
      <c r="Q615" s="1" t="s">
        <v>4030</v>
      </c>
      <c r="R615" s="1" t="s">
        <v>4031</v>
      </c>
      <c r="S615" s="1" t="s">
        <v>3994</v>
      </c>
      <c r="T615" s="4">
        <v>2.5</v>
      </c>
    </row>
    <row r="616" spans="1:20">
      <c r="A616" s="1" t="s">
        <v>3981</v>
      </c>
      <c r="B616" s="1" t="s">
        <v>301</v>
      </c>
      <c r="C616" s="1" t="s">
        <v>3982</v>
      </c>
      <c r="D616" s="1" t="s">
        <v>391</v>
      </c>
      <c r="E616" s="2">
        <v>45793</v>
      </c>
      <c r="F616" s="2">
        <v>45793</v>
      </c>
      <c r="G616" s="1" t="s">
        <v>3990</v>
      </c>
      <c r="H616" s="3" t="s">
        <v>11</v>
      </c>
      <c r="I616" s="1" t="s">
        <v>3984</v>
      </c>
      <c r="J616" s="1" t="s">
        <v>12</v>
      </c>
      <c r="K616" s="3" t="s">
        <v>3995</v>
      </c>
      <c r="L616" s="1" t="s">
        <v>3987</v>
      </c>
      <c r="M616" s="1" t="s">
        <v>4017</v>
      </c>
      <c r="N616" s="1" t="s">
        <v>4018</v>
      </c>
      <c r="O616" s="1" t="s">
        <v>13</v>
      </c>
      <c r="P616" s="1" t="s">
        <v>13</v>
      </c>
      <c r="Q616" s="1" t="s">
        <v>4019</v>
      </c>
      <c r="R616" s="1" t="s">
        <v>4019</v>
      </c>
      <c r="S616" s="1" t="s">
        <v>3994</v>
      </c>
      <c r="T616" s="4">
        <v>0.5</v>
      </c>
    </row>
    <row r="617" spans="1:20">
      <c r="A617" s="1" t="s">
        <v>3981</v>
      </c>
      <c r="B617" s="1" t="s">
        <v>301</v>
      </c>
      <c r="C617" s="1" t="s">
        <v>3982</v>
      </c>
      <c r="D617" s="1" t="s">
        <v>391</v>
      </c>
      <c r="E617" s="2">
        <v>45793</v>
      </c>
      <c r="F617" s="2">
        <v>45793</v>
      </c>
      <c r="G617" s="1" t="s">
        <v>3990</v>
      </c>
      <c r="H617" s="3" t="s">
        <v>11</v>
      </c>
      <c r="I617" s="1" t="s">
        <v>3984</v>
      </c>
      <c r="J617" s="1" t="s">
        <v>12</v>
      </c>
      <c r="K617" s="3" t="s">
        <v>3995</v>
      </c>
      <c r="L617" s="1" t="s">
        <v>3987</v>
      </c>
      <c r="M617" s="1" t="s">
        <v>4055</v>
      </c>
      <c r="N617" s="1" t="s">
        <v>4056</v>
      </c>
      <c r="O617" s="1" t="s">
        <v>13</v>
      </c>
      <c r="P617" s="1" t="s">
        <v>13</v>
      </c>
      <c r="Q617" s="1" t="s">
        <v>4057</v>
      </c>
      <c r="R617" s="1" t="s">
        <v>4061</v>
      </c>
      <c r="S617" s="1" t="s">
        <v>3994</v>
      </c>
      <c r="T617" s="4">
        <v>14.7</v>
      </c>
    </row>
    <row r="618" spans="1:20">
      <c r="A618" s="1" t="s">
        <v>3981</v>
      </c>
      <c r="B618" s="1" t="s">
        <v>301</v>
      </c>
      <c r="C618" s="1" t="s">
        <v>3982</v>
      </c>
      <c r="D618" s="1" t="s">
        <v>391</v>
      </c>
      <c r="E618" s="2">
        <v>45793</v>
      </c>
      <c r="F618" s="2">
        <v>45793</v>
      </c>
      <c r="G618" s="1" t="s">
        <v>3990</v>
      </c>
      <c r="H618" s="3" t="s">
        <v>11</v>
      </c>
      <c r="I618" s="1" t="s">
        <v>3984</v>
      </c>
      <c r="J618" s="1" t="s">
        <v>12</v>
      </c>
      <c r="K618" s="3" t="s">
        <v>3995</v>
      </c>
      <c r="L618" s="1" t="s">
        <v>4062</v>
      </c>
      <c r="M618" s="1" t="s">
        <v>4003</v>
      </c>
      <c r="N618" s="1" t="s">
        <v>13</v>
      </c>
      <c r="O618" s="1" t="s">
        <v>4003</v>
      </c>
      <c r="P618" s="1" t="s">
        <v>13</v>
      </c>
      <c r="Q618" s="1" t="s">
        <v>4063</v>
      </c>
      <c r="R618" s="1" t="s">
        <v>4024</v>
      </c>
      <c r="S618" s="1" t="s">
        <v>3994</v>
      </c>
      <c r="T618" s="4">
        <v>4.5</v>
      </c>
    </row>
    <row r="619" spans="1:20">
      <c r="A619" s="1" t="s">
        <v>3981</v>
      </c>
      <c r="B619" s="1" t="s">
        <v>301</v>
      </c>
      <c r="C619" s="1" t="s">
        <v>3982</v>
      </c>
      <c r="D619" s="1" t="s">
        <v>391</v>
      </c>
      <c r="E619" s="2">
        <v>45793</v>
      </c>
      <c r="F619" s="2">
        <v>45793</v>
      </c>
      <c r="G619" s="1" t="s">
        <v>3997</v>
      </c>
      <c r="H619" s="3" t="s">
        <v>41</v>
      </c>
      <c r="I619" s="1" t="s">
        <v>3984</v>
      </c>
      <c r="J619" s="1" t="s">
        <v>3985</v>
      </c>
      <c r="K619" s="3" t="s">
        <v>3986</v>
      </c>
      <c r="L619" s="1" t="s">
        <v>3987</v>
      </c>
      <c r="M619" s="1" t="s">
        <v>13</v>
      </c>
      <c r="N619" s="1" t="s">
        <v>13</v>
      </c>
      <c r="O619" s="1" t="s">
        <v>3988</v>
      </c>
      <c r="P619" s="1" t="s">
        <v>13</v>
      </c>
      <c r="Q619" s="1" t="s">
        <v>13</v>
      </c>
      <c r="R619" s="1" t="s">
        <v>13</v>
      </c>
      <c r="S619" s="1" t="s">
        <v>3998</v>
      </c>
      <c r="T619" s="4">
        <v>13</v>
      </c>
    </row>
    <row r="620" spans="1:20">
      <c r="A620" s="1" t="s">
        <v>3981</v>
      </c>
      <c r="B620" s="1" t="s">
        <v>301</v>
      </c>
      <c r="C620" s="1" t="s">
        <v>3982</v>
      </c>
      <c r="D620" s="1" t="s">
        <v>391</v>
      </c>
      <c r="E620" s="2">
        <v>45793</v>
      </c>
      <c r="F620" s="2">
        <v>45793</v>
      </c>
      <c r="G620" s="1" t="s">
        <v>3997</v>
      </c>
      <c r="H620" s="3" t="s">
        <v>41</v>
      </c>
      <c r="I620" s="1" t="s">
        <v>3984</v>
      </c>
      <c r="J620" s="1" t="s">
        <v>12</v>
      </c>
      <c r="K620" s="3" t="s">
        <v>3995</v>
      </c>
      <c r="L620" s="1" t="s">
        <v>3987</v>
      </c>
      <c r="M620" s="1" t="s">
        <v>3999</v>
      </c>
      <c r="N620" s="1" t="s">
        <v>13</v>
      </c>
      <c r="O620" s="1" t="s">
        <v>3999</v>
      </c>
      <c r="P620" s="1" t="s">
        <v>13</v>
      </c>
      <c r="Q620" s="1" t="s">
        <v>4000</v>
      </c>
      <c r="R620" s="1" t="s">
        <v>4001</v>
      </c>
      <c r="S620" s="1" t="s">
        <v>3998</v>
      </c>
      <c r="T620" s="4">
        <v>9</v>
      </c>
    </row>
    <row r="621" spans="1:20">
      <c r="A621" s="1" t="s">
        <v>3981</v>
      </c>
      <c r="B621" s="1" t="s">
        <v>301</v>
      </c>
      <c r="C621" s="1" t="s">
        <v>3982</v>
      </c>
      <c r="D621" s="1" t="s">
        <v>391</v>
      </c>
      <c r="E621" s="2">
        <v>45793</v>
      </c>
      <c r="F621" s="2">
        <v>45793</v>
      </c>
      <c r="G621" s="1" t="s">
        <v>3997</v>
      </c>
      <c r="H621" s="3" t="s">
        <v>41</v>
      </c>
      <c r="I621" s="1" t="s">
        <v>3984</v>
      </c>
      <c r="J621" s="1" t="s">
        <v>12</v>
      </c>
      <c r="K621" s="3" t="s">
        <v>3995</v>
      </c>
      <c r="L621" s="1" t="s">
        <v>4002</v>
      </c>
      <c r="M621" s="1" t="s">
        <v>4003</v>
      </c>
      <c r="N621" s="1" t="s">
        <v>13</v>
      </c>
      <c r="O621" s="1" t="s">
        <v>4003</v>
      </c>
      <c r="P621" s="1" t="s">
        <v>13</v>
      </c>
      <c r="Q621" s="1" t="s">
        <v>4004</v>
      </c>
      <c r="R621" s="1" t="s">
        <v>4001</v>
      </c>
      <c r="S621" s="1" t="s">
        <v>3998</v>
      </c>
      <c r="T621" s="4">
        <v>14</v>
      </c>
    </row>
    <row r="622" spans="1:20">
      <c r="A622" s="1" t="s">
        <v>3981</v>
      </c>
      <c r="B622" s="1" t="s">
        <v>301</v>
      </c>
      <c r="C622" s="1" t="s">
        <v>3982</v>
      </c>
      <c r="D622" s="1" t="s">
        <v>391</v>
      </c>
      <c r="E622" s="2">
        <v>45793</v>
      </c>
      <c r="F622" s="2">
        <v>45793</v>
      </c>
      <c r="G622" s="1" t="s">
        <v>4005</v>
      </c>
      <c r="H622" s="3" t="s">
        <v>21</v>
      </c>
      <c r="I622" s="1" t="s">
        <v>3984</v>
      </c>
      <c r="J622" s="1" t="s">
        <v>12</v>
      </c>
      <c r="K622" s="3" t="s">
        <v>3995</v>
      </c>
      <c r="L622" s="1" t="s">
        <v>3987</v>
      </c>
      <c r="M622" s="1" t="s">
        <v>3996</v>
      </c>
      <c r="N622" s="1" t="s">
        <v>13</v>
      </c>
      <c r="O622" s="1" t="s">
        <v>3996</v>
      </c>
      <c r="P622" s="1" t="s">
        <v>13</v>
      </c>
      <c r="Q622" s="1" t="s">
        <v>14</v>
      </c>
      <c r="R622" s="1" t="s">
        <v>57</v>
      </c>
      <c r="S622" s="1" t="s">
        <v>4007</v>
      </c>
      <c r="T622" s="4">
        <v>0.5</v>
      </c>
    </row>
    <row r="623" spans="1:20">
      <c r="A623" s="1" t="s">
        <v>3981</v>
      </c>
      <c r="B623" s="1" t="s">
        <v>301</v>
      </c>
      <c r="C623" s="1" t="s">
        <v>3982</v>
      </c>
      <c r="D623" s="1" t="s">
        <v>391</v>
      </c>
      <c r="E623" s="2">
        <v>45793</v>
      </c>
      <c r="F623" s="2">
        <v>45793</v>
      </c>
      <c r="G623" s="1" t="s">
        <v>4005</v>
      </c>
      <c r="H623" s="3" t="s">
        <v>21</v>
      </c>
      <c r="I623" s="1" t="s">
        <v>3984</v>
      </c>
      <c r="J623" s="1" t="s">
        <v>12</v>
      </c>
      <c r="K623" s="3" t="s">
        <v>3995</v>
      </c>
      <c r="L623" s="1" t="s">
        <v>3987</v>
      </c>
      <c r="M623" s="1" t="s">
        <v>3996</v>
      </c>
      <c r="N623" s="1" t="s">
        <v>13</v>
      </c>
      <c r="O623" s="1" t="s">
        <v>3996</v>
      </c>
      <c r="P623" s="1" t="s">
        <v>13</v>
      </c>
      <c r="Q623" s="1" t="s">
        <v>14</v>
      </c>
      <c r="R623" s="1" t="s">
        <v>77</v>
      </c>
      <c r="S623" s="1" t="s">
        <v>4007</v>
      </c>
      <c r="T623" s="4">
        <v>28.8</v>
      </c>
    </row>
    <row r="624" spans="1:20">
      <c r="A624" s="1" t="s">
        <v>3981</v>
      </c>
      <c r="B624" s="1" t="s">
        <v>301</v>
      </c>
      <c r="C624" s="1" t="s">
        <v>3982</v>
      </c>
      <c r="D624" s="1" t="s">
        <v>391</v>
      </c>
      <c r="E624" s="2">
        <v>45793</v>
      </c>
      <c r="F624" s="2">
        <v>45793</v>
      </c>
      <c r="G624" s="1" t="s">
        <v>4005</v>
      </c>
      <c r="H624" s="3" t="s">
        <v>21</v>
      </c>
      <c r="I624" s="1" t="s">
        <v>3984</v>
      </c>
      <c r="J624" s="1" t="s">
        <v>12</v>
      </c>
      <c r="K624" s="3" t="s">
        <v>3995</v>
      </c>
      <c r="L624" s="1" t="s">
        <v>3987</v>
      </c>
      <c r="M624" s="1" t="s">
        <v>3996</v>
      </c>
      <c r="N624" s="1" t="s">
        <v>13</v>
      </c>
      <c r="O624" s="1" t="s">
        <v>3996</v>
      </c>
      <c r="P624" s="1" t="s">
        <v>13</v>
      </c>
      <c r="Q624" s="1" t="s">
        <v>14</v>
      </c>
      <c r="R624" s="1" t="s">
        <v>42</v>
      </c>
      <c r="S624" s="1" t="s">
        <v>4007</v>
      </c>
      <c r="T624" s="4">
        <v>1</v>
      </c>
    </row>
    <row r="625" spans="1:20">
      <c r="A625" s="1" t="s">
        <v>3981</v>
      </c>
      <c r="B625" s="1" t="s">
        <v>301</v>
      </c>
      <c r="C625" s="1" t="s">
        <v>3982</v>
      </c>
      <c r="D625" s="1" t="s">
        <v>391</v>
      </c>
      <c r="E625" s="2">
        <v>45793</v>
      </c>
      <c r="F625" s="2">
        <v>45793</v>
      </c>
      <c r="G625" s="1" t="s">
        <v>4005</v>
      </c>
      <c r="H625" s="3" t="s">
        <v>21</v>
      </c>
      <c r="I625" s="1" t="s">
        <v>3984</v>
      </c>
      <c r="J625" s="1" t="s">
        <v>12</v>
      </c>
      <c r="K625" s="3" t="s">
        <v>3995</v>
      </c>
      <c r="L625" s="1" t="s">
        <v>3987</v>
      </c>
      <c r="M625" s="1" t="s">
        <v>3996</v>
      </c>
      <c r="N625" s="1" t="s">
        <v>13</v>
      </c>
      <c r="O625" s="1" t="s">
        <v>3996</v>
      </c>
      <c r="P625" s="1" t="s">
        <v>13</v>
      </c>
      <c r="Q625" s="1" t="s">
        <v>28</v>
      </c>
      <c r="R625" s="1" t="s">
        <v>43</v>
      </c>
      <c r="S625" s="1" t="s">
        <v>4007</v>
      </c>
      <c r="T625" s="4">
        <v>12</v>
      </c>
    </row>
    <row r="626" spans="1:20">
      <c r="A626" s="1" t="s">
        <v>3981</v>
      </c>
      <c r="B626" s="1" t="s">
        <v>301</v>
      </c>
      <c r="C626" s="1" t="s">
        <v>3982</v>
      </c>
      <c r="D626" s="1" t="s">
        <v>391</v>
      </c>
      <c r="E626" s="2">
        <v>45793</v>
      </c>
      <c r="F626" s="2">
        <v>45793</v>
      </c>
      <c r="G626" s="1" t="s">
        <v>4005</v>
      </c>
      <c r="H626" s="3" t="s">
        <v>21</v>
      </c>
      <c r="I626" s="1" t="s">
        <v>3984</v>
      </c>
      <c r="J626" s="1" t="s">
        <v>12</v>
      </c>
      <c r="K626" s="3" t="s">
        <v>3995</v>
      </c>
      <c r="L626" s="1" t="s">
        <v>3987</v>
      </c>
      <c r="M626" s="1" t="s">
        <v>3996</v>
      </c>
      <c r="N626" s="1" t="s">
        <v>13</v>
      </c>
      <c r="O626" s="1" t="s">
        <v>3996</v>
      </c>
      <c r="P626" s="1" t="s">
        <v>13</v>
      </c>
      <c r="Q626" s="1" t="s">
        <v>28</v>
      </c>
      <c r="R626" s="1" t="s">
        <v>29</v>
      </c>
      <c r="S626" s="1" t="s">
        <v>4007</v>
      </c>
      <c r="T626" s="4">
        <v>2.6</v>
      </c>
    </row>
    <row r="627" spans="1:20">
      <c r="A627" s="1" t="s">
        <v>3981</v>
      </c>
      <c r="B627" s="1" t="s">
        <v>301</v>
      </c>
      <c r="C627" s="1" t="s">
        <v>3982</v>
      </c>
      <c r="D627" s="1" t="s">
        <v>391</v>
      </c>
      <c r="E627" s="2">
        <v>45793</v>
      </c>
      <c r="F627" s="2">
        <v>45793</v>
      </c>
      <c r="G627" s="1" t="s">
        <v>4008</v>
      </c>
      <c r="H627" s="3" t="s">
        <v>25</v>
      </c>
      <c r="I627" s="1" t="s">
        <v>3984</v>
      </c>
      <c r="J627" s="1" t="s">
        <v>12</v>
      </c>
      <c r="K627" s="3" t="s">
        <v>3995</v>
      </c>
      <c r="L627" s="1" t="s">
        <v>4013</v>
      </c>
      <c r="M627" s="1" t="s">
        <v>4064</v>
      </c>
      <c r="N627" s="1" t="s">
        <v>4065</v>
      </c>
      <c r="O627" s="1" t="s">
        <v>13</v>
      </c>
      <c r="P627" s="1" t="s">
        <v>13</v>
      </c>
      <c r="Q627" s="1" t="s">
        <v>13</v>
      </c>
      <c r="R627" s="1" t="s">
        <v>13</v>
      </c>
      <c r="S627" s="1" t="s">
        <v>4009</v>
      </c>
      <c r="T627" s="4">
        <v>0.5</v>
      </c>
    </row>
    <row r="628" spans="1:20">
      <c r="A628" s="1" t="s">
        <v>3981</v>
      </c>
      <c r="B628" s="1" t="s">
        <v>301</v>
      </c>
      <c r="C628" s="1" t="s">
        <v>3982</v>
      </c>
      <c r="D628" s="1" t="s">
        <v>391</v>
      </c>
      <c r="E628" s="2">
        <v>45793</v>
      </c>
      <c r="F628" s="2">
        <v>45793</v>
      </c>
      <c r="G628" s="1" t="s">
        <v>4008</v>
      </c>
      <c r="H628" s="3" t="s">
        <v>25</v>
      </c>
      <c r="I628" s="1" t="s">
        <v>3984</v>
      </c>
      <c r="J628" s="1" t="s">
        <v>12</v>
      </c>
      <c r="K628" s="3" t="s">
        <v>3995</v>
      </c>
      <c r="L628" s="1" t="s">
        <v>3987</v>
      </c>
      <c r="M628" s="1" t="s">
        <v>3996</v>
      </c>
      <c r="N628" s="1" t="s">
        <v>13</v>
      </c>
      <c r="O628" s="1" t="s">
        <v>3996</v>
      </c>
      <c r="P628" s="1" t="s">
        <v>13</v>
      </c>
      <c r="Q628" s="1" t="s">
        <v>14</v>
      </c>
      <c r="R628" s="1" t="s">
        <v>76</v>
      </c>
      <c r="S628" s="1" t="s">
        <v>4009</v>
      </c>
      <c r="T628" s="4">
        <v>0.5</v>
      </c>
    </row>
    <row r="629" spans="1:20">
      <c r="A629" s="1" t="s">
        <v>3981</v>
      </c>
      <c r="B629" s="1" t="s">
        <v>301</v>
      </c>
      <c r="C629" s="1" t="s">
        <v>3982</v>
      </c>
      <c r="D629" s="1" t="s">
        <v>391</v>
      </c>
      <c r="E629" s="2">
        <v>45793</v>
      </c>
      <c r="F629" s="2">
        <v>45793</v>
      </c>
      <c r="G629" s="1" t="s">
        <v>4008</v>
      </c>
      <c r="H629" s="3" t="s">
        <v>25</v>
      </c>
      <c r="I629" s="1" t="s">
        <v>3984</v>
      </c>
      <c r="J629" s="1" t="s">
        <v>12</v>
      </c>
      <c r="K629" s="3" t="s">
        <v>3995</v>
      </c>
      <c r="L629" s="1" t="s">
        <v>3987</v>
      </c>
      <c r="M629" s="1" t="s">
        <v>3996</v>
      </c>
      <c r="N629" s="1" t="s">
        <v>13</v>
      </c>
      <c r="O629" s="1" t="s">
        <v>3996</v>
      </c>
      <c r="P629" s="1" t="s">
        <v>13</v>
      </c>
      <c r="Q629" s="1" t="s">
        <v>14</v>
      </c>
      <c r="R629" s="1" t="s">
        <v>37</v>
      </c>
      <c r="S629" s="1" t="s">
        <v>4009</v>
      </c>
      <c r="T629" s="4">
        <v>0.5</v>
      </c>
    </row>
    <row r="630" spans="1:20">
      <c r="A630" s="1" t="s">
        <v>3981</v>
      </c>
      <c r="B630" s="1" t="s">
        <v>301</v>
      </c>
      <c r="C630" s="1" t="s">
        <v>3982</v>
      </c>
      <c r="D630" s="1" t="s">
        <v>391</v>
      </c>
      <c r="E630" s="2">
        <v>45793</v>
      </c>
      <c r="F630" s="2">
        <v>45793</v>
      </c>
      <c r="G630" s="1" t="s">
        <v>4008</v>
      </c>
      <c r="H630" s="3" t="s">
        <v>25</v>
      </c>
      <c r="I630" s="1" t="s">
        <v>3984</v>
      </c>
      <c r="J630" s="1" t="s">
        <v>12</v>
      </c>
      <c r="K630" s="3" t="s">
        <v>3995</v>
      </c>
      <c r="L630" s="1" t="s">
        <v>3987</v>
      </c>
      <c r="M630" s="1" t="s">
        <v>3996</v>
      </c>
      <c r="N630" s="1" t="s">
        <v>13</v>
      </c>
      <c r="O630" s="1" t="s">
        <v>3996</v>
      </c>
      <c r="P630" s="1" t="s">
        <v>13</v>
      </c>
      <c r="Q630" s="1" t="s">
        <v>28</v>
      </c>
      <c r="R630" s="1" t="s">
        <v>29</v>
      </c>
      <c r="S630" s="1" t="s">
        <v>4009</v>
      </c>
      <c r="T630" s="4">
        <v>9.5</v>
      </c>
    </row>
    <row r="631" spans="1:20">
      <c r="A631" s="1" t="s">
        <v>3981</v>
      </c>
      <c r="B631" s="1" t="s">
        <v>301</v>
      </c>
      <c r="C631" s="1" t="s">
        <v>3982</v>
      </c>
      <c r="D631" s="1" t="s">
        <v>391</v>
      </c>
      <c r="E631" s="2">
        <v>45793</v>
      </c>
      <c r="F631" s="2">
        <v>45793</v>
      </c>
      <c r="G631" s="1" t="s">
        <v>4008</v>
      </c>
      <c r="H631" s="3" t="s">
        <v>25</v>
      </c>
      <c r="I631" s="1" t="s">
        <v>3984</v>
      </c>
      <c r="J631" s="1" t="s">
        <v>12</v>
      </c>
      <c r="K631" s="3" t="s">
        <v>3995</v>
      </c>
      <c r="L631" s="1" t="s">
        <v>3987</v>
      </c>
      <c r="M631" s="1" t="s">
        <v>3996</v>
      </c>
      <c r="N631" s="1" t="s">
        <v>13</v>
      </c>
      <c r="O631" s="1" t="s">
        <v>3996</v>
      </c>
      <c r="P631" s="1" t="s">
        <v>13</v>
      </c>
      <c r="Q631" s="1" t="s">
        <v>44</v>
      </c>
      <c r="R631" s="1" t="s">
        <v>45</v>
      </c>
      <c r="S631" s="1" t="s">
        <v>4009</v>
      </c>
      <c r="T631" s="4">
        <v>13.5</v>
      </c>
    </row>
    <row r="632" spans="1:20">
      <c r="A632" s="1" t="s">
        <v>3981</v>
      </c>
      <c r="B632" s="1" t="s">
        <v>301</v>
      </c>
      <c r="C632" s="1" t="s">
        <v>3982</v>
      </c>
      <c r="D632" s="1" t="s">
        <v>391</v>
      </c>
      <c r="E632" s="2">
        <v>45793</v>
      </c>
      <c r="F632" s="2">
        <v>45793</v>
      </c>
      <c r="G632" s="1" t="s">
        <v>4008</v>
      </c>
      <c r="H632" s="3" t="s">
        <v>25</v>
      </c>
      <c r="I632" s="1" t="s">
        <v>3984</v>
      </c>
      <c r="J632" s="1" t="s">
        <v>12</v>
      </c>
      <c r="K632" s="3" t="s">
        <v>3995</v>
      </c>
      <c r="L632" s="1" t="s">
        <v>3987</v>
      </c>
      <c r="M632" s="1" t="s">
        <v>3996</v>
      </c>
      <c r="N632" s="1" t="s">
        <v>13</v>
      </c>
      <c r="O632" s="1" t="s">
        <v>3996</v>
      </c>
      <c r="P632" s="1" t="s">
        <v>13</v>
      </c>
      <c r="Q632" s="1" t="s">
        <v>38</v>
      </c>
      <c r="R632" s="1" t="s">
        <v>46</v>
      </c>
      <c r="S632" s="1" t="s">
        <v>4009</v>
      </c>
      <c r="T632" s="4">
        <v>2.2000000000000002</v>
      </c>
    </row>
    <row r="633" spans="1:20">
      <c r="A633" s="1" t="s">
        <v>3981</v>
      </c>
      <c r="B633" s="1" t="s">
        <v>301</v>
      </c>
      <c r="C633" s="1" t="s">
        <v>3982</v>
      </c>
      <c r="D633" s="1" t="s">
        <v>391</v>
      </c>
      <c r="E633" s="2">
        <v>45793</v>
      </c>
      <c r="F633" s="2">
        <v>45793</v>
      </c>
      <c r="G633" s="1" t="s">
        <v>4008</v>
      </c>
      <c r="H633" s="3" t="s">
        <v>25</v>
      </c>
      <c r="I633" s="1" t="s">
        <v>3984</v>
      </c>
      <c r="J633" s="1" t="s">
        <v>12</v>
      </c>
      <c r="K633" s="3" t="s">
        <v>3995</v>
      </c>
      <c r="L633" s="1" t="s">
        <v>3987</v>
      </c>
      <c r="M633" s="1" t="s">
        <v>3996</v>
      </c>
      <c r="N633" s="1" t="s">
        <v>13</v>
      </c>
      <c r="O633" s="1" t="s">
        <v>3996</v>
      </c>
      <c r="P633" s="1" t="s">
        <v>13</v>
      </c>
      <c r="Q633" s="1" t="s">
        <v>38</v>
      </c>
      <c r="R633" s="1" t="s">
        <v>51</v>
      </c>
      <c r="S633" s="1" t="s">
        <v>4009</v>
      </c>
      <c r="T633" s="4">
        <v>0.3</v>
      </c>
    </row>
    <row r="634" spans="1:20">
      <c r="A634" s="1" t="s">
        <v>3981</v>
      </c>
      <c r="B634" s="1" t="s">
        <v>301</v>
      </c>
      <c r="C634" s="1" t="s">
        <v>3982</v>
      </c>
      <c r="D634" s="1" t="s">
        <v>391</v>
      </c>
      <c r="E634" s="2">
        <v>45793</v>
      </c>
      <c r="F634" s="2">
        <v>45793</v>
      </c>
      <c r="G634" s="1" t="s">
        <v>4008</v>
      </c>
      <c r="H634" s="3" t="s">
        <v>25</v>
      </c>
      <c r="I634" s="1" t="s">
        <v>3984</v>
      </c>
      <c r="J634" s="1" t="s">
        <v>12</v>
      </c>
      <c r="K634" s="3" t="s">
        <v>3995</v>
      </c>
      <c r="L634" s="1" t="s">
        <v>3987</v>
      </c>
      <c r="M634" s="1" t="s">
        <v>3996</v>
      </c>
      <c r="N634" s="1" t="s">
        <v>13</v>
      </c>
      <c r="O634" s="1" t="s">
        <v>3996</v>
      </c>
      <c r="P634" s="1" t="s">
        <v>13</v>
      </c>
      <c r="Q634" s="1" t="s">
        <v>38</v>
      </c>
      <c r="R634" s="1" t="s">
        <v>52</v>
      </c>
      <c r="S634" s="1" t="s">
        <v>4009</v>
      </c>
      <c r="T634" s="4">
        <v>1.5</v>
      </c>
    </row>
    <row r="635" spans="1:20">
      <c r="A635" s="1" t="s">
        <v>3981</v>
      </c>
      <c r="B635" s="1" t="s">
        <v>301</v>
      </c>
      <c r="C635" s="1" t="s">
        <v>3982</v>
      </c>
      <c r="D635" s="1" t="s">
        <v>391</v>
      </c>
      <c r="E635" s="2">
        <v>45793</v>
      </c>
      <c r="F635" s="2">
        <v>45793</v>
      </c>
      <c r="G635" s="1" t="s">
        <v>4008</v>
      </c>
      <c r="H635" s="3" t="s">
        <v>25</v>
      </c>
      <c r="I635" s="1" t="s">
        <v>3984</v>
      </c>
      <c r="J635" s="1" t="s">
        <v>12</v>
      </c>
      <c r="K635" s="3" t="s">
        <v>3995</v>
      </c>
      <c r="L635" s="1" t="s">
        <v>3987</v>
      </c>
      <c r="M635" s="1" t="s">
        <v>3996</v>
      </c>
      <c r="N635" s="1" t="s">
        <v>13</v>
      </c>
      <c r="O635" s="1" t="s">
        <v>3996</v>
      </c>
      <c r="P635" s="1" t="s">
        <v>13</v>
      </c>
      <c r="Q635" s="1" t="s">
        <v>30</v>
      </c>
      <c r="R635" s="1" t="s">
        <v>67</v>
      </c>
      <c r="S635" s="1" t="s">
        <v>4009</v>
      </c>
      <c r="T635" s="4">
        <v>5.5</v>
      </c>
    </row>
    <row r="636" spans="1:20">
      <c r="A636" s="1" t="s">
        <v>3981</v>
      </c>
      <c r="B636" s="1" t="s">
        <v>301</v>
      </c>
      <c r="C636" s="1" t="s">
        <v>3982</v>
      </c>
      <c r="D636" s="1" t="s">
        <v>391</v>
      </c>
      <c r="E636" s="2">
        <v>45793</v>
      </c>
      <c r="F636" s="2">
        <v>45793</v>
      </c>
      <c r="G636" s="1" t="s">
        <v>4008</v>
      </c>
      <c r="H636" s="3" t="s">
        <v>25</v>
      </c>
      <c r="I636" s="1" t="s">
        <v>3984</v>
      </c>
      <c r="J636" s="1" t="s">
        <v>12</v>
      </c>
      <c r="K636" s="3" t="s">
        <v>3995</v>
      </c>
      <c r="L636" s="1" t="s">
        <v>3987</v>
      </c>
      <c r="M636" s="1" t="s">
        <v>3996</v>
      </c>
      <c r="N636" s="1" t="s">
        <v>13</v>
      </c>
      <c r="O636" s="1" t="s">
        <v>3996</v>
      </c>
      <c r="P636" s="1" t="s">
        <v>13</v>
      </c>
      <c r="Q636" s="1" t="s">
        <v>30</v>
      </c>
      <c r="R636" s="1" t="s">
        <v>62</v>
      </c>
      <c r="S636" s="1" t="s">
        <v>4009</v>
      </c>
      <c r="T636" s="4">
        <v>5.5</v>
      </c>
    </row>
    <row r="637" spans="1:20">
      <c r="A637" s="1" t="s">
        <v>3981</v>
      </c>
      <c r="B637" s="1" t="s">
        <v>301</v>
      </c>
      <c r="C637" s="1" t="s">
        <v>3982</v>
      </c>
      <c r="D637" s="1" t="s">
        <v>391</v>
      </c>
      <c r="E637" s="2">
        <v>45793</v>
      </c>
      <c r="F637" s="2">
        <v>45793</v>
      </c>
      <c r="G637" s="1" t="s">
        <v>4008</v>
      </c>
      <c r="H637" s="3" t="s">
        <v>25</v>
      </c>
      <c r="I637" s="1" t="s">
        <v>3984</v>
      </c>
      <c r="J637" s="1" t="s">
        <v>12</v>
      </c>
      <c r="K637" s="3" t="s">
        <v>3995</v>
      </c>
      <c r="L637" s="1" t="s">
        <v>3987</v>
      </c>
      <c r="M637" s="1" t="s">
        <v>3996</v>
      </c>
      <c r="N637" s="1" t="s">
        <v>13</v>
      </c>
      <c r="O637" s="1" t="s">
        <v>3996</v>
      </c>
      <c r="P637" s="1" t="s">
        <v>13</v>
      </c>
      <c r="Q637" s="1" t="s">
        <v>30</v>
      </c>
      <c r="R637" s="1" t="s">
        <v>68</v>
      </c>
      <c r="S637" s="1" t="s">
        <v>4009</v>
      </c>
      <c r="T637" s="4">
        <v>8.5</v>
      </c>
    </row>
    <row r="638" spans="1:20">
      <c r="A638" s="1" t="s">
        <v>3981</v>
      </c>
      <c r="B638" s="1" t="s">
        <v>301</v>
      </c>
      <c r="C638" s="1" t="s">
        <v>3982</v>
      </c>
      <c r="D638" s="1" t="s">
        <v>391</v>
      </c>
      <c r="E638" s="2">
        <v>45807</v>
      </c>
      <c r="F638" s="2">
        <v>45800</v>
      </c>
      <c r="G638" s="1" t="s">
        <v>3983</v>
      </c>
      <c r="H638" s="3" t="s">
        <v>32</v>
      </c>
      <c r="I638" s="1" t="s">
        <v>3984</v>
      </c>
      <c r="J638" s="1" t="s">
        <v>12</v>
      </c>
      <c r="K638" s="3" t="s">
        <v>3995</v>
      </c>
      <c r="L638" s="1" t="s">
        <v>3987</v>
      </c>
      <c r="M638" s="1" t="s">
        <v>3996</v>
      </c>
      <c r="N638" s="1" t="s">
        <v>13</v>
      </c>
      <c r="O638" s="1" t="s">
        <v>3996</v>
      </c>
      <c r="P638" s="1" t="s">
        <v>13</v>
      </c>
      <c r="Q638" s="1" t="s">
        <v>14</v>
      </c>
      <c r="R638" s="1" t="s">
        <v>54</v>
      </c>
      <c r="S638" s="1" t="s">
        <v>3989</v>
      </c>
      <c r="T638" s="4">
        <v>3</v>
      </c>
    </row>
    <row r="639" spans="1:20">
      <c r="A639" s="1" t="s">
        <v>3981</v>
      </c>
      <c r="B639" s="1" t="s">
        <v>301</v>
      </c>
      <c r="C639" s="1" t="s">
        <v>3982</v>
      </c>
      <c r="D639" s="1" t="s">
        <v>391</v>
      </c>
      <c r="E639" s="2">
        <v>45807</v>
      </c>
      <c r="F639" s="2">
        <v>45800</v>
      </c>
      <c r="G639" s="1" t="s">
        <v>3983</v>
      </c>
      <c r="H639" s="3" t="s">
        <v>32</v>
      </c>
      <c r="I639" s="1" t="s">
        <v>3984</v>
      </c>
      <c r="J639" s="1" t="s">
        <v>12</v>
      </c>
      <c r="K639" s="3" t="s">
        <v>3995</v>
      </c>
      <c r="L639" s="1" t="s">
        <v>3987</v>
      </c>
      <c r="M639" s="1" t="s">
        <v>3996</v>
      </c>
      <c r="N639" s="1" t="s">
        <v>13</v>
      </c>
      <c r="O639" s="1" t="s">
        <v>3996</v>
      </c>
      <c r="P639" s="1" t="s">
        <v>13</v>
      </c>
      <c r="Q639" s="1" t="s">
        <v>14</v>
      </c>
      <c r="R639" s="1" t="s">
        <v>78</v>
      </c>
      <c r="S639" s="1" t="s">
        <v>3989</v>
      </c>
      <c r="T639" s="4">
        <v>23</v>
      </c>
    </row>
    <row r="640" spans="1:20">
      <c r="A640" s="1" t="s">
        <v>3981</v>
      </c>
      <c r="B640" s="1" t="s">
        <v>301</v>
      </c>
      <c r="C640" s="1" t="s">
        <v>3982</v>
      </c>
      <c r="D640" s="1" t="s">
        <v>391</v>
      </c>
      <c r="E640" s="2">
        <v>45807</v>
      </c>
      <c r="F640" s="2">
        <v>45800</v>
      </c>
      <c r="G640" s="1" t="s">
        <v>3983</v>
      </c>
      <c r="H640" s="3" t="s">
        <v>32</v>
      </c>
      <c r="I640" s="1" t="s">
        <v>3984</v>
      </c>
      <c r="J640" s="1" t="s">
        <v>12</v>
      </c>
      <c r="K640" s="3" t="s">
        <v>3995</v>
      </c>
      <c r="L640" s="1" t="s">
        <v>3987</v>
      </c>
      <c r="M640" s="1" t="s">
        <v>3996</v>
      </c>
      <c r="N640" s="1" t="s">
        <v>13</v>
      </c>
      <c r="O640" s="1" t="s">
        <v>3996</v>
      </c>
      <c r="P640" s="1" t="s">
        <v>13</v>
      </c>
      <c r="Q640" s="1" t="s">
        <v>14</v>
      </c>
      <c r="R640" s="1" t="s">
        <v>42</v>
      </c>
      <c r="S640" s="1" t="s">
        <v>3989</v>
      </c>
      <c r="T640" s="4">
        <v>2</v>
      </c>
    </row>
    <row r="641" spans="1:20">
      <c r="A641" s="1" t="s">
        <v>3981</v>
      </c>
      <c r="B641" s="1" t="s">
        <v>301</v>
      </c>
      <c r="C641" s="1" t="s">
        <v>3982</v>
      </c>
      <c r="D641" s="1" t="s">
        <v>391</v>
      </c>
      <c r="E641" s="2">
        <v>45807</v>
      </c>
      <c r="F641" s="2">
        <v>45800</v>
      </c>
      <c r="G641" s="1" t="s">
        <v>3983</v>
      </c>
      <c r="H641" s="3" t="s">
        <v>32</v>
      </c>
      <c r="I641" s="1" t="s">
        <v>3984</v>
      </c>
      <c r="J641" s="1" t="s">
        <v>12</v>
      </c>
      <c r="K641" s="3" t="s">
        <v>3995</v>
      </c>
      <c r="L641" s="1" t="s">
        <v>3987</v>
      </c>
      <c r="M641" s="1" t="s">
        <v>3996</v>
      </c>
      <c r="N641" s="1" t="s">
        <v>13</v>
      </c>
      <c r="O641" s="1" t="s">
        <v>3996</v>
      </c>
      <c r="P641" s="1" t="s">
        <v>13</v>
      </c>
      <c r="Q641" s="1" t="s">
        <v>44</v>
      </c>
      <c r="R641" s="1" t="s">
        <v>47</v>
      </c>
      <c r="S641" s="1" t="s">
        <v>3989</v>
      </c>
      <c r="T641" s="4">
        <v>12</v>
      </c>
    </row>
    <row r="642" spans="1:20">
      <c r="A642" s="1" t="s">
        <v>3981</v>
      </c>
      <c r="B642" s="1" t="s">
        <v>301</v>
      </c>
      <c r="C642" s="1" t="s">
        <v>3982</v>
      </c>
      <c r="D642" s="1" t="s">
        <v>391</v>
      </c>
      <c r="E642" s="2">
        <v>45807</v>
      </c>
      <c r="F642" s="2">
        <v>45800</v>
      </c>
      <c r="G642" s="1" t="s">
        <v>3990</v>
      </c>
      <c r="H642" s="3" t="s">
        <v>11</v>
      </c>
      <c r="I642" s="1" t="s">
        <v>3984</v>
      </c>
      <c r="J642" s="1" t="s">
        <v>12</v>
      </c>
      <c r="K642" s="3" t="s">
        <v>3995</v>
      </c>
      <c r="L642" s="1" t="s">
        <v>3987</v>
      </c>
      <c r="M642" s="1" t="s">
        <v>3996</v>
      </c>
      <c r="N642" s="1" t="s">
        <v>13</v>
      </c>
      <c r="O642" s="1" t="s">
        <v>3996</v>
      </c>
      <c r="P642" s="1" t="s">
        <v>13</v>
      </c>
      <c r="Q642" s="1" t="s">
        <v>14</v>
      </c>
      <c r="R642" s="1" t="s">
        <v>37</v>
      </c>
      <c r="S642" s="1" t="s">
        <v>3994</v>
      </c>
      <c r="T642" s="4">
        <v>0.5</v>
      </c>
    </row>
    <row r="643" spans="1:20">
      <c r="A643" s="1" t="s">
        <v>3981</v>
      </c>
      <c r="B643" s="1" t="s">
        <v>301</v>
      </c>
      <c r="C643" s="1" t="s">
        <v>3982</v>
      </c>
      <c r="D643" s="1" t="s">
        <v>391</v>
      </c>
      <c r="E643" s="2">
        <v>45807</v>
      </c>
      <c r="F643" s="2">
        <v>45800</v>
      </c>
      <c r="G643" s="1" t="s">
        <v>3990</v>
      </c>
      <c r="H643" s="3" t="s">
        <v>11</v>
      </c>
      <c r="I643" s="1" t="s">
        <v>3984</v>
      </c>
      <c r="J643" s="1" t="s">
        <v>12</v>
      </c>
      <c r="K643" s="3" t="s">
        <v>3995</v>
      </c>
      <c r="L643" s="1" t="s">
        <v>3987</v>
      </c>
      <c r="M643" s="1" t="s">
        <v>3996</v>
      </c>
      <c r="N643" s="1" t="s">
        <v>13</v>
      </c>
      <c r="O643" s="1" t="s">
        <v>3996</v>
      </c>
      <c r="P643" s="1" t="s">
        <v>13</v>
      </c>
      <c r="Q643" s="1" t="s">
        <v>14</v>
      </c>
      <c r="R643" s="1" t="s">
        <v>15</v>
      </c>
      <c r="S643" s="1" t="s">
        <v>3994</v>
      </c>
      <c r="T643" s="4">
        <v>1.2</v>
      </c>
    </row>
    <row r="644" spans="1:20">
      <c r="A644" s="1" t="s">
        <v>3981</v>
      </c>
      <c r="B644" s="1" t="s">
        <v>301</v>
      </c>
      <c r="C644" s="1" t="s">
        <v>3982</v>
      </c>
      <c r="D644" s="1" t="s">
        <v>391</v>
      </c>
      <c r="E644" s="2">
        <v>45807</v>
      </c>
      <c r="F644" s="2">
        <v>45800</v>
      </c>
      <c r="G644" s="1" t="s">
        <v>3990</v>
      </c>
      <c r="H644" s="3" t="s">
        <v>11</v>
      </c>
      <c r="I644" s="1" t="s">
        <v>3984</v>
      </c>
      <c r="J644" s="1" t="s">
        <v>12</v>
      </c>
      <c r="K644" s="3" t="s">
        <v>3995</v>
      </c>
      <c r="L644" s="1" t="s">
        <v>3987</v>
      </c>
      <c r="M644" s="1" t="s">
        <v>3996</v>
      </c>
      <c r="N644" s="1" t="s">
        <v>13</v>
      </c>
      <c r="O644" s="1" t="s">
        <v>3996</v>
      </c>
      <c r="P644" s="1" t="s">
        <v>13</v>
      </c>
      <c r="Q644" s="1" t="s">
        <v>44</v>
      </c>
      <c r="R644" s="1" t="s">
        <v>45</v>
      </c>
      <c r="S644" s="1" t="s">
        <v>3994</v>
      </c>
      <c r="T644" s="4">
        <v>5.8</v>
      </c>
    </row>
    <row r="645" spans="1:20">
      <c r="A645" s="1" t="s">
        <v>3981</v>
      </c>
      <c r="B645" s="1" t="s">
        <v>301</v>
      </c>
      <c r="C645" s="1" t="s">
        <v>3982</v>
      </c>
      <c r="D645" s="1" t="s">
        <v>391</v>
      </c>
      <c r="E645" s="2">
        <v>45807</v>
      </c>
      <c r="F645" s="2">
        <v>45800</v>
      </c>
      <c r="G645" s="1" t="s">
        <v>3990</v>
      </c>
      <c r="H645" s="3" t="s">
        <v>11</v>
      </c>
      <c r="I645" s="1" t="s">
        <v>3984</v>
      </c>
      <c r="J645" s="1" t="s">
        <v>12</v>
      </c>
      <c r="K645" s="3" t="s">
        <v>3995</v>
      </c>
      <c r="L645" s="1" t="s">
        <v>3987</v>
      </c>
      <c r="M645" s="1" t="s">
        <v>3996</v>
      </c>
      <c r="N645" s="1" t="s">
        <v>13</v>
      </c>
      <c r="O645" s="1" t="s">
        <v>3996</v>
      </c>
      <c r="P645" s="1" t="s">
        <v>13</v>
      </c>
      <c r="Q645" s="1" t="s">
        <v>16</v>
      </c>
      <c r="R645" s="1" t="s">
        <v>17</v>
      </c>
      <c r="S645" s="1" t="s">
        <v>3994</v>
      </c>
      <c r="T645" s="4">
        <v>10.8</v>
      </c>
    </row>
    <row r="646" spans="1:20">
      <c r="A646" s="1" t="s">
        <v>3981</v>
      </c>
      <c r="B646" s="1" t="s">
        <v>301</v>
      </c>
      <c r="C646" s="1" t="s">
        <v>3982</v>
      </c>
      <c r="D646" s="1" t="s">
        <v>391</v>
      </c>
      <c r="E646" s="2">
        <v>45807</v>
      </c>
      <c r="F646" s="2">
        <v>45800</v>
      </c>
      <c r="G646" s="1" t="s">
        <v>3990</v>
      </c>
      <c r="H646" s="3" t="s">
        <v>11</v>
      </c>
      <c r="I646" s="1" t="s">
        <v>3984</v>
      </c>
      <c r="J646" s="1" t="s">
        <v>12</v>
      </c>
      <c r="K646" s="3" t="s">
        <v>3995</v>
      </c>
      <c r="L646" s="1" t="s">
        <v>3987</v>
      </c>
      <c r="M646" s="1" t="s">
        <v>4055</v>
      </c>
      <c r="N646" s="1" t="s">
        <v>4056</v>
      </c>
      <c r="O646" s="1" t="s">
        <v>13</v>
      </c>
      <c r="P646" s="1" t="s">
        <v>13</v>
      </c>
      <c r="Q646" s="1" t="s">
        <v>4057</v>
      </c>
      <c r="R646" s="1" t="s">
        <v>4061</v>
      </c>
      <c r="S646" s="1" t="s">
        <v>3994</v>
      </c>
      <c r="T646" s="4">
        <v>15.2</v>
      </c>
    </row>
    <row r="647" spans="1:20">
      <c r="A647" s="1" t="s">
        <v>3981</v>
      </c>
      <c r="B647" s="1" t="s">
        <v>301</v>
      </c>
      <c r="C647" s="1" t="s">
        <v>3982</v>
      </c>
      <c r="D647" s="1" t="s">
        <v>391</v>
      </c>
      <c r="E647" s="2">
        <v>45807</v>
      </c>
      <c r="F647" s="2">
        <v>45800</v>
      </c>
      <c r="G647" s="1" t="s">
        <v>3990</v>
      </c>
      <c r="H647" s="3" t="s">
        <v>11</v>
      </c>
      <c r="I647" s="1" t="s">
        <v>3984</v>
      </c>
      <c r="J647" s="1" t="s">
        <v>12</v>
      </c>
      <c r="K647" s="3" t="s">
        <v>3995</v>
      </c>
      <c r="L647" s="1" t="s">
        <v>4066</v>
      </c>
      <c r="M647" s="1" t="s">
        <v>4067</v>
      </c>
      <c r="N647" s="1" t="s">
        <v>13</v>
      </c>
      <c r="O647" s="1" t="s">
        <v>4067</v>
      </c>
      <c r="P647" s="1" t="s">
        <v>4068</v>
      </c>
      <c r="Q647" s="1" t="s">
        <v>13</v>
      </c>
      <c r="R647" s="1" t="s">
        <v>13</v>
      </c>
      <c r="S647" s="1" t="s">
        <v>3994</v>
      </c>
      <c r="T647" s="4">
        <v>1</v>
      </c>
    </row>
    <row r="648" spans="1:20">
      <c r="A648" s="1" t="s">
        <v>3981</v>
      </c>
      <c r="B648" s="1" t="s">
        <v>301</v>
      </c>
      <c r="C648" s="1" t="s">
        <v>3982</v>
      </c>
      <c r="D648" s="1" t="s">
        <v>391</v>
      </c>
      <c r="E648" s="2">
        <v>45807</v>
      </c>
      <c r="F648" s="2">
        <v>45800</v>
      </c>
      <c r="G648" s="1" t="s">
        <v>3990</v>
      </c>
      <c r="H648" s="3" t="s">
        <v>11</v>
      </c>
      <c r="I648" s="1" t="s">
        <v>3984</v>
      </c>
      <c r="J648" s="1" t="s">
        <v>12</v>
      </c>
      <c r="K648" s="3" t="s">
        <v>3995</v>
      </c>
      <c r="L648" s="1" t="s">
        <v>4002</v>
      </c>
      <c r="M648" s="1" t="s">
        <v>4003</v>
      </c>
      <c r="N648" s="1" t="s">
        <v>13</v>
      </c>
      <c r="O648" s="1" t="s">
        <v>4003</v>
      </c>
      <c r="P648" s="1" t="s">
        <v>13</v>
      </c>
      <c r="Q648" s="1" t="s">
        <v>4004</v>
      </c>
      <c r="R648" s="1" t="s">
        <v>4001</v>
      </c>
      <c r="S648" s="1" t="s">
        <v>3994</v>
      </c>
      <c r="T648" s="4">
        <v>1</v>
      </c>
    </row>
    <row r="649" spans="1:20">
      <c r="A649" s="1" t="s">
        <v>3981</v>
      </c>
      <c r="B649" s="1" t="s">
        <v>301</v>
      </c>
      <c r="C649" s="1" t="s">
        <v>3982</v>
      </c>
      <c r="D649" s="1" t="s">
        <v>391</v>
      </c>
      <c r="E649" s="2">
        <v>45807</v>
      </c>
      <c r="F649" s="2">
        <v>45800</v>
      </c>
      <c r="G649" s="1" t="s">
        <v>3990</v>
      </c>
      <c r="H649" s="3" t="s">
        <v>11</v>
      </c>
      <c r="I649" s="1" t="s">
        <v>3984</v>
      </c>
      <c r="J649" s="1" t="s">
        <v>12</v>
      </c>
      <c r="K649" s="3" t="s">
        <v>3995</v>
      </c>
      <c r="L649" s="1" t="s">
        <v>4062</v>
      </c>
      <c r="M649" s="1" t="s">
        <v>4003</v>
      </c>
      <c r="N649" s="1" t="s">
        <v>13</v>
      </c>
      <c r="O649" s="1" t="s">
        <v>4003</v>
      </c>
      <c r="P649" s="1" t="s">
        <v>13</v>
      </c>
      <c r="Q649" s="1" t="s">
        <v>4063</v>
      </c>
      <c r="R649" s="1" t="s">
        <v>4024</v>
      </c>
      <c r="S649" s="1" t="s">
        <v>3994</v>
      </c>
      <c r="T649" s="4">
        <v>1.1000000000000001</v>
      </c>
    </row>
    <row r="650" spans="1:20">
      <c r="A650" s="1" t="s">
        <v>3981</v>
      </c>
      <c r="B650" s="1" t="s">
        <v>301</v>
      </c>
      <c r="C650" s="1" t="s">
        <v>3982</v>
      </c>
      <c r="D650" s="1" t="s">
        <v>391</v>
      </c>
      <c r="E650" s="2">
        <v>45807</v>
      </c>
      <c r="F650" s="2">
        <v>45800</v>
      </c>
      <c r="G650" s="1" t="s">
        <v>3997</v>
      </c>
      <c r="H650" s="3" t="s">
        <v>41</v>
      </c>
      <c r="I650" s="1" t="s">
        <v>3984</v>
      </c>
      <c r="J650" s="1" t="s">
        <v>3985</v>
      </c>
      <c r="K650" s="3" t="s">
        <v>3986</v>
      </c>
      <c r="L650" s="1" t="s">
        <v>3987</v>
      </c>
      <c r="M650" s="1" t="s">
        <v>13</v>
      </c>
      <c r="N650" s="1" t="s">
        <v>13</v>
      </c>
      <c r="O650" s="1" t="s">
        <v>3988</v>
      </c>
      <c r="P650" s="1" t="s">
        <v>13</v>
      </c>
      <c r="Q650" s="1" t="s">
        <v>13</v>
      </c>
      <c r="R650" s="1" t="s">
        <v>13</v>
      </c>
      <c r="S650" s="1" t="s">
        <v>3998</v>
      </c>
      <c r="T650" s="4">
        <v>3.5</v>
      </c>
    </row>
    <row r="651" spans="1:20">
      <c r="A651" s="1" t="s">
        <v>3981</v>
      </c>
      <c r="B651" s="1" t="s">
        <v>301</v>
      </c>
      <c r="C651" s="1" t="s">
        <v>3982</v>
      </c>
      <c r="D651" s="1" t="s">
        <v>391</v>
      </c>
      <c r="E651" s="2">
        <v>45807</v>
      </c>
      <c r="F651" s="2">
        <v>45800</v>
      </c>
      <c r="G651" s="1" t="s">
        <v>3997</v>
      </c>
      <c r="H651" s="3" t="s">
        <v>41</v>
      </c>
      <c r="I651" s="1" t="s">
        <v>3984</v>
      </c>
      <c r="J651" s="1" t="s">
        <v>12</v>
      </c>
      <c r="K651" s="3" t="s">
        <v>3995</v>
      </c>
      <c r="L651" s="1" t="s">
        <v>3987</v>
      </c>
      <c r="M651" s="1" t="s">
        <v>3999</v>
      </c>
      <c r="N651" s="1" t="s">
        <v>13</v>
      </c>
      <c r="O651" s="1" t="s">
        <v>3999</v>
      </c>
      <c r="P651" s="1" t="s">
        <v>13</v>
      </c>
      <c r="Q651" s="1" t="s">
        <v>4000</v>
      </c>
      <c r="R651" s="1" t="s">
        <v>4001</v>
      </c>
      <c r="S651" s="1" t="s">
        <v>3998</v>
      </c>
      <c r="T651" s="4">
        <v>10</v>
      </c>
    </row>
    <row r="652" spans="1:20">
      <c r="A652" s="1" t="s">
        <v>3981</v>
      </c>
      <c r="B652" s="1" t="s">
        <v>301</v>
      </c>
      <c r="C652" s="1" t="s">
        <v>3982</v>
      </c>
      <c r="D652" s="1" t="s">
        <v>391</v>
      </c>
      <c r="E652" s="2">
        <v>45807</v>
      </c>
      <c r="F652" s="2">
        <v>45800</v>
      </c>
      <c r="G652" s="1" t="s">
        <v>3997</v>
      </c>
      <c r="H652" s="3" t="s">
        <v>41</v>
      </c>
      <c r="I652" s="1" t="s">
        <v>3984</v>
      </c>
      <c r="J652" s="1" t="s">
        <v>12</v>
      </c>
      <c r="K652" s="3" t="s">
        <v>3995</v>
      </c>
      <c r="L652" s="1" t="s">
        <v>3987</v>
      </c>
      <c r="M652" s="1" t="s">
        <v>3996</v>
      </c>
      <c r="N652" s="1" t="s">
        <v>13</v>
      </c>
      <c r="O652" s="1" t="s">
        <v>3996</v>
      </c>
      <c r="P652" s="1" t="s">
        <v>13</v>
      </c>
      <c r="Q652" s="1" t="s">
        <v>44</v>
      </c>
      <c r="R652" s="1" t="s">
        <v>45</v>
      </c>
      <c r="S652" s="1" t="s">
        <v>3998</v>
      </c>
      <c r="T652" s="4">
        <v>1.5</v>
      </c>
    </row>
    <row r="653" spans="1:20">
      <c r="A653" s="1" t="s">
        <v>3981</v>
      </c>
      <c r="B653" s="1" t="s">
        <v>301</v>
      </c>
      <c r="C653" s="1" t="s">
        <v>3982</v>
      </c>
      <c r="D653" s="1" t="s">
        <v>391</v>
      </c>
      <c r="E653" s="2">
        <v>45807</v>
      </c>
      <c r="F653" s="2">
        <v>45800</v>
      </c>
      <c r="G653" s="1" t="s">
        <v>3997</v>
      </c>
      <c r="H653" s="3" t="s">
        <v>41</v>
      </c>
      <c r="I653" s="1" t="s">
        <v>3984</v>
      </c>
      <c r="J653" s="1" t="s">
        <v>12</v>
      </c>
      <c r="K653" s="3" t="s">
        <v>3995</v>
      </c>
      <c r="L653" s="1" t="s">
        <v>4002</v>
      </c>
      <c r="M653" s="1" t="s">
        <v>4003</v>
      </c>
      <c r="N653" s="1" t="s">
        <v>13</v>
      </c>
      <c r="O653" s="1" t="s">
        <v>4003</v>
      </c>
      <c r="P653" s="1" t="s">
        <v>13</v>
      </c>
      <c r="Q653" s="1" t="s">
        <v>4004</v>
      </c>
      <c r="R653" s="1" t="s">
        <v>4001</v>
      </c>
      <c r="S653" s="1" t="s">
        <v>3998</v>
      </c>
      <c r="T653" s="4">
        <v>18.5</v>
      </c>
    </row>
    <row r="654" spans="1:20">
      <c r="A654" s="1" t="s">
        <v>3981</v>
      </c>
      <c r="B654" s="1" t="s">
        <v>301</v>
      </c>
      <c r="C654" s="1" t="s">
        <v>3982</v>
      </c>
      <c r="D654" s="1" t="s">
        <v>391</v>
      </c>
      <c r="E654" s="2">
        <v>45807</v>
      </c>
      <c r="F654" s="2">
        <v>45800</v>
      </c>
      <c r="G654" s="1" t="s">
        <v>4005</v>
      </c>
      <c r="H654" s="3" t="s">
        <v>21</v>
      </c>
      <c r="I654" s="1" t="s">
        <v>3984</v>
      </c>
      <c r="J654" s="1" t="s">
        <v>12</v>
      </c>
      <c r="K654" s="3" t="s">
        <v>3995</v>
      </c>
      <c r="L654" s="1" t="s">
        <v>3987</v>
      </c>
      <c r="M654" s="1" t="s">
        <v>3996</v>
      </c>
      <c r="N654" s="1" t="s">
        <v>13</v>
      </c>
      <c r="O654" s="1" t="s">
        <v>3996</v>
      </c>
      <c r="P654" s="1" t="s">
        <v>13</v>
      </c>
      <c r="Q654" s="1" t="s">
        <v>14</v>
      </c>
      <c r="R654" s="1" t="s">
        <v>77</v>
      </c>
      <c r="S654" s="1" t="s">
        <v>4007</v>
      </c>
      <c r="T654" s="4">
        <v>20.100000000000001</v>
      </c>
    </row>
    <row r="655" spans="1:20">
      <c r="A655" s="1" t="s">
        <v>3981</v>
      </c>
      <c r="B655" s="1" t="s">
        <v>301</v>
      </c>
      <c r="C655" s="1" t="s">
        <v>3982</v>
      </c>
      <c r="D655" s="1" t="s">
        <v>391</v>
      </c>
      <c r="E655" s="2">
        <v>45807</v>
      </c>
      <c r="F655" s="2">
        <v>45800</v>
      </c>
      <c r="G655" s="1" t="s">
        <v>4005</v>
      </c>
      <c r="H655" s="3" t="s">
        <v>21</v>
      </c>
      <c r="I655" s="1" t="s">
        <v>3984</v>
      </c>
      <c r="J655" s="1" t="s">
        <v>12</v>
      </c>
      <c r="K655" s="3" t="s">
        <v>3995</v>
      </c>
      <c r="L655" s="1" t="s">
        <v>3987</v>
      </c>
      <c r="M655" s="1" t="s">
        <v>3996</v>
      </c>
      <c r="N655" s="1" t="s">
        <v>13</v>
      </c>
      <c r="O655" s="1" t="s">
        <v>3996</v>
      </c>
      <c r="P655" s="1" t="s">
        <v>13</v>
      </c>
      <c r="Q655" s="1" t="s">
        <v>14</v>
      </c>
      <c r="R655" s="1" t="s">
        <v>15</v>
      </c>
      <c r="S655" s="1" t="s">
        <v>4007</v>
      </c>
      <c r="T655" s="4">
        <v>8.8000000000000007</v>
      </c>
    </row>
    <row r="656" spans="1:20">
      <c r="A656" s="1" t="s">
        <v>3981</v>
      </c>
      <c r="B656" s="1" t="s">
        <v>301</v>
      </c>
      <c r="C656" s="1" t="s">
        <v>3982</v>
      </c>
      <c r="D656" s="1" t="s">
        <v>391</v>
      </c>
      <c r="E656" s="2">
        <v>45807</v>
      </c>
      <c r="F656" s="2">
        <v>45800</v>
      </c>
      <c r="G656" s="1" t="s">
        <v>4005</v>
      </c>
      <c r="H656" s="3" t="s">
        <v>21</v>
      </c>
      <c r="I656" s="1" t="s">
        <v>3984</v>
      </c>
      <c r="J656" s="1" t="s">
        <v>12</v>
      </c>
      <c r="K656" s="3" t="s">
        <v>3995</v>
      </c>
      <c r="L656" s="1" t="s">
        <v>3987</v>
      </c>
      <c r="M656" s="1" t="s">
        <v>3996</v>
      </c>
      <c r="N656" s="1" t="s">
        <v>13</v>
      </c>
      <c r="O656" s="1" t="s">
        <v>3996</v>
      </c>
      <c r="P656" s="1" t="s">
        <v>13</v>
      </c>
      <c r="Q656" s="1" t="s">
        <v>28</v>
      </c>
      <c r="R656" s="1" t="s">
        <v>29</v>
      </c>
      <c r="S656" s="1" t="s">
        <v>4007</v>
      </c>
      <c r="T656" s="4">
        <v>5.4</v>
      </c>
    </row>
    <row r="657" spans="1:20">
      <c r="A657" s="1" t="s">
        <v>3981</v>
      </c>
      <c r="B657" s="1" t="s">
        <v>301</v>
      </c>
      <c r="C657" s="1" t="s">
        <v>3982</v>
      </c>
      <c r="D657" s="1" t="s">
        <v>391</v>
      </c>
      <c r="E657" s="2">
        <v>45807</v>
      </c>
      <c r="F657" s="2">
        <v>45800</v>
      </c>
      <c r="G657" s="1" t="s">
        <v>4005</v>
      </c>
      <c r="H657" s="3" t="s">
        <v>21</v>
      </c>
      <c r="I657" s="1" t="s">
        <v>3984</v>
      </c>
      <c r="J657" s="1" t="s">
        <v>12</v>
      </c>
      <c r="K657" s="3" t="s">
        <v>3995</v>
      </c>
      <c r="L657" s="1" t="s">
        <v>3987</v>
      </c>
      <c r="M657" s="1" t="s">
        <v>3996</v>
      </c>
      <c r="N657" s="1" t="s">
        <v>13</v>
      </c>
      <c r="O657" s="1" t="s">
        <v>3996</v>
      </c>
      <c r="P657" s="1" t="s">
        <v>13</v>
      </c>
      <c r="Q657" s="1" t="s">
        <v>44</v>
      </c>
      <c r="R657" s="1" t="s">
        <v>45</v>
      </c>
      <c r="S657" s="1" t="s">
        <v>4007</v>
      </c>
      <c r="T657" s="4">
        <v>1.8</v>
      </c>
    </row>
    <row r="658" spans="1:20">
      <c r="A658" s="1" t="s">
        <v>3981</v>
      </c>
      <c r="B658" s="1" t="s">
        <v>301</v>
      </c>
      <c r="C658" s="1" t="s">
        <v>3982</v>
      </c>
      <c r="D658" s="1" t="s">
        <v>391</v>
      </c>
      <c r="E658" s="2">
        <v>45807</v>
      </c>
      <c r="F658" s="2">
        <v>45800</v>
      </c>
      <c r="G658" s="1" t="s">
        <v>4008</v>
      </c>
      <c r="H658" s="3" t="s">
        <v>25</v>
      </c>
      <c r="I658" s="1" t="s">
        <v>3984</v>
      </c>
      <c r="J658" s="1" t="s">
        <v>12</v>
      </c>
      <c r="K658" s="3" t="s">
        <v>3995</v>
      </c>
      <c r="L658" s="1" t="s">
        <v>3987</v>
      </c>
      <c r="M658" s="1" t="s">
        <v>3996</v>
      </c>
      <c r="N658" s="1" t="s">
        <v>13</v>
      </c>
      <c r="O658" s="1" t="s">
        <v>3996</v>
      </c>
      <c r="P658" s="1" t="s">
        <v>13</v>
      </c>
      <c r="Q658" s="1" t="s">
        <v>28</v>
      </c>
      <c r="R658" s="1" t="s">
        <v>29</v>
      </c>
      <c r="S658" s="1" t="s">
        <v>4009</v>
      </c>
      <c r="T658" s="4">
        <v>2.5</v>
      </c>
    </row>
    <row r="659" spans="1:20">
      <c r="A659" s="1" t="s">
        <v>3981</v>
      </c>
      <c r="B659" s="1" t="s">
        <v>301</v>
      </c>
      <c r="C659" s="1" t="s">
        <v>3982</v>
      </c>
      <c r="D659" s="1" t="s">
        <v>391</v>
      </c>
      <c r="E659" s="2">
        <v>45807</v>
      </c>
      <c r="F659" s="2">
        <v>45800</v>
      </c>
      <c r="G659" s="1" t="s">
        <v>4008</v>
      </c>
      <c r="H659" s="3" t="s">
        <v>25</v>
      </c>
      <c r="I659" s="1" t="s">
        <v>3984</v>
      </c>
      <c r="J659" s="1" t="s">
        <v>12</v>
      </c>
      <c r="K659" s="3" t="s">
        <v>3995</v>
      </c>
      <c r="L659" s="1" t="s">
        <v>3987</v>
      </c>
      <c r="M659" s="1" t="s">
        <v>3996</v>
      </c>
      <c r="N659" s="1" t="s">
        <v>13</v>
      </c>
      <c r="O659" s="1" t="s">
        <v>3996</v>
      </c>
      <c r="P659" s="1" t="s">
        <v>13</v>
      </c>
      <c r="Q659" s="1" t="s">
        <v>44</v>
      </c>
      <c r="R659" s="1" t="s">
        <v>45</v>
      </c>
      <c r="S659" s="1" t="s">
        <v>4009</v>
      </c>
      <c r="T659" s="4">
        <v>8</v>
      </c>
    </row>
    <row r="660" spans="1:20">
      <c r="A660" s="1" t="s">
        <v>3981</v>
      </c>
      <c r="B660" s="1" t="s">
        <v>301</v>
      </c>
      <c r="C660" s="1" t="s">
        <v>3982</v>
      </c>
      <c r="D660" s="1" t="s">
        <v>391</v>
      </c>
      <c r="E660" s="2">
        <v>45807</v>
      </c>
      <c r="F660" s="2">
        <v>45800</v>
      </c>
      <c r="G660" s="1" t="s">
        <v>4008</v>
      </c>
      <c r="H660" s="3" t="s">
        <v>25</v>
      </c>
      <c r="I660" s="1" t="s">
        <v>3984</v>
      </c>
      <c r="J660" s="1" t="s">
        <v>12</v>
      </c>
      <c r="K660" s="3" t="s">
        <v>3995</v>
      </c>
      <c r="L660" s="1" t="s">
        <v>3987</v>
      </c>
      <c r="M660" s="1" t="s">
        <v>3996</v>
      </c>
      <c r="N660" s="1" t="s">
        <v>13</v>
      </c>
      <c r="O660" s="1" t="s">
        <v>3996</v>
      </c>
      <c r="P660" s="1" t="s">
        <v>13</v>
      </c>
      <c r="Q660" s="1" t="s">
        <v>38</v>
      </c>
      <c r="R660" s="1" t="s">
        <v>46</v>
      </c>
      <c r="S660" s="1" t="s">
        <v>4009</v>
      </c>
      <c r="T660" s="4">
        <v>1.5</v>
      </c>
    </row>
    <row r="661" spans="1:20">
      <c r="A661" s="1" t="s">
        <v>3981</v>
      </c>
      <c r="B661" s="1" t="s">
        <v>301</v>
      </c>
      <c r="C661" s="1" t="s">
        <v>3982</v>
      </c>
      <c r="D661" s="1" t="s">
        <v>391</v>
      </c>
      <c r="E661" s="2">
        <v>45807</v>
      </c>
      <c r="F661" s="2">
        <v>45800</v>
      </c>
      <c r="G661" s="1" t="s">
        <v>4008</v>
      </c>
      <c r="H661" s="3" t="s">
        <v>25</v>
      </c>
      <c r="I661" s="1" t="s">
        <v>3984</v>
      </c>
      <c r="J661" s="1" t="s">
        <v>12</v>
      </c>
      <c r="K661" s="3" t="s">
        <v>3995</v>
      </c>
      <c r="L661" s="1" t="s">
        <v>3987</v>
      </c>
      <c r="M661" s="1" t="s">
        <v>3996</v>
      </c>
      <c r="N661" s="1" t="s">
        <v>13</v>
      </c>
      <c r="O661" s="1" t="s">
        <v>3996</v>
      </c>
      <c r="P661" s="1" t="s">
        <v>13</v>
      </c>
      <c r="Q661" s="1" t="s">
        <v>30</v>
      </c>
      <c r="R661" s="1" t="s">
        <v>67</v>
      </c>
      <c r="S661" s="1" t="s">
        <v>4009</v>
      </c>
      <c r="T661" s="4">
        <v>1</v>
      </c>
    </row>
    <row r="662" spans="1:20">
      <c r="A662" s="1" t="s">
        <v>3981</v>
      </c>
      <c r="B662" s="1" t="s">
        <v>301</v>
      </c>
      <c r="C662" s="1" t="s">
        <v>3982</v>
      </c>
      <c r="D662" s="1" t="s">
        <v>391</v>
      </c>
      <c r="E662" s="2">
        <v>45807</v>
      </c>
      <c r="F662" s="2">
        <v>45800</v>
      </c>
      <c r="G662" s="1" t="s">
        <v>4008</v>
      </c>
      <c r="H662" s="3" t="s">
        <v>25</v>
      </c>
      <c r="I662" s="1" t="s">
        <v>3984</v>
      </c>
      <c r="J662" s="1" t="s">
        <v>12</v>
      </c>
      <c r="K662" s="3" t="s">
        <v>3995</v>
      </c>
      <c r="L662" s="1" t="s">
        <v>3987</v>
      </c>
      <c r="M662" s="1" t="s">
        <v>3996</v>
      </c>
      <c r="N662" s="1" t="s">
        <v>13</v>
      </c>
      <c r="O662" s="1" t="s">
        <v>3996</v>
      </c>
      <c r="P662" s="1" t="s">
        <v>13</v>
      </c>
      <c r="Q662" s="1" t="s">
        <v>30</v>
      </c>
      <c r="R662" s="1" t="s">
        <v>68</v>
      </c>
      <c r="S662" s="1" t="s">
        <v>4009</v>
      </c>
      <c r="T662" s="4">
        <v>1</v>
      </c>
    </row>
    <row r="663" spans="1:20">
      <c r="A663" s="1" t="s">
        <v>3981</v>
      </c>
      <c r="B663" s="1" t="s">
        <v>301</v>
      </c>
      <c r="C663" s="1" t="s">
        <v>3982</v>
      </c>
      <c r="D663" s="1" t="s">
        <v>391</v>
      </c>
      <c r="E663" s="2">
        <v>45807</v>
      </c>
      <c r="F663" s="2">
        <v>45800</v>
      </c>
      <c r="G663" s="1" t="s">
        <v>4008</v>
      </c>
      <c r="H663" s="3" t="s">
        <v>25</v>
      </c>
      <c r="I663" s="1" t="s">
        <v>3984</v>
      </c>
      <c r="J663" s="1" t="s">
        <v>4038</v>
      </c>
      <c r="K663" s="3" t="s">
        <v>4039</v>
      </c>
      <c r="L663" s="1" t="s">
        <v>3987</v>
      </c>
      <c r="M663" s="1" t="s">
        <v>13</v>
      </c>
      <c r="N663" s="1" t="s">
        <v>13</v>
      </c>
      <c r="O663" s="1" t="s">
        <v>13</v>
      </c>
      <c r="P663" s="1" t="s">
        <v>13</v>
      </c>
      <c r="Q663" s="1" t="s">
        <v>13</v>
      </c>
      <c r="R663" s="1" t="s">
        <v>13</v>
      </c>
      <c r="S663" s="1" t="s">
        <v>4009</v>
      </c>
      <c r="T663" s="4">
        <v>18</v>
      </c>
    </row>
    <row r="664" spans="1:20">
      <c r="A664" s="1" t="s">
        <v>3981</v>
      </c>
      <c r="B664" s="1" t="s">
        <v>301</v>
      </c>
      <c r="C664" s="1" t="s">
        <v>3982</v>
      </c>
      <c r="D664" s="1" t="s">
        <v>408</v>
      </c>
      <c r="E664" s="2">
        <v>45807</v>
      </c>
      <c r="F664" s="2">
        <v>45807</v>
      </c>
      <c r="G664" s="1" t="s">
        <v>3983</v>
      </c>
      <c r="H664" s="3" t="s">
        <v>32</v>
      </c>
      <c r="I664" s="1" t="s">
        <v>3984</v>
      </c>
      <c r="J664" s="1" t="s">
        <v>3991</v>
      </c>
      <c r="K664" s="3" t="s">
        <v>3992</v>
      </c>
      <c r="L664" s="1" t="s">
        <v>3987</v>
      </c>
      <c r="M664" s="1" t="s">
        <v>13</v>
      </c>
      <c r="N664" s="1" t="s">
        <v>13</v>
      </c>
      <c r="O664" s="1" t="s">
        <v>3993</v>
      </c>
      <c r="P664" s="1" t="s">
        <v>13</v>
      </c>
      <c r="Q664" s="1" t="s">
        <v>13</v>
      </c>
      <c r="R664" s="1" t="s">
        <v>13</v>
      </c>
      <c r="S664" s="1" t="s">
        <v>3989</v>
      </c>
      <c r="T664" s="4">
        <v>9</v>
      </c>
    </row>
    <row r="665" spans="1:20">
      <c r="A665" s="1" t="s">
        <v>3981</v>
      </c>
      <c r="B665" s="1" t="s">
        <v>301</v>
      </c>
      <c r="C665" s="1" t="s">
        <v>3982</v>
      </c>
      <c r="D665" s="1" t="s">
        <v>408</v>
      </c>
      <c r="E665" s="2">
        <v>45807</v>
      </c>
      <c r="F665" s="2">
        <v>45807</v>
      </c>
      <c r="G665" s="1" t="s">
        <v>3983</v>
      </c>
      <c r="H665" s="3" t="s">
        <v>32</v>
      </c>
      <c r="I665" s="1" t="s">
        <v>3984</v>
      </c>
      <c r="J665" s="1" t="s">
        <v>12</v>
      </c>
      <c r="K665" s="3" t="s">
        <v>3995</v>
      </c>
      <c r="L665" s="1" t="s">
        <v>3987</v>
      </c>
      <c r="M665" s="1" t="s">
        <v>3996</v>
      </c>
      <c r="N665" s="1" t="s">
        <v>13</v>
      </c>
      <c r="O665" s="1" t="s">
        <v>3996</v>
      </c>
      <c r="P665" s="1" t="s">
        <v>13</v>
      </c>
      <c r="Q665" s="1" t="s">
        <v>14</v>
      </c>
      <c r="R665" s="1" t="s">
        <v>78</v>
      </c>
      <c r="S665" s="1" t="s">
        <v>3989</v>
      </c>
      <c r="T665" s="4">
        <v>10</v>
      </c>
    </row>
    <row r="666" spans="1:20">
      <c r="A666" s="1" t="s">
        <v>3981</v>
      </c>
      <c r="B666" s="1" t="s">
        <v>301</v>
      </c>
      <c r="C666" s="1" t="s">
        <v>3982</v>
      </c>
      <c r="D666" s="1" t="s">
        <v>408</v>
      </c>
      <c r="E666" s="2">
        <v>45807</v>
      </c>
      <c r="F666" s="2">
        <v>45807</v>
      </c>
      <c r="G666" s="1" t="s">
        <v>3983</v>
      </c>
      <c r="H666" s="3" t="s">
        <v>32</v>
      </c>
      <c r="I666" s="1" t="s">
        <v>3984</v>
      </c>
      <c r="J666" s="1" t="s">
        <v>12</v>
      </c>
      <c r="K666" s="3" t="s">
        <v>3995</v>
      </c>
      <c r="L666" s="1" t="s">
        <v>3987</v>
      </c>
      <c r="M666" s="1" t="s">
        <v>3996</v>
      </c>
      <c r="N666" s="1" t="s">
        <v>13</v>
      </c>
      <c r="O666" s="1" t="s">
        <v>3996</v>
      </c>
      <c r="P666" s="1" t="s">
        <v>13</v>
      </c>
      <c r="Q666" s="1" t="s">
        <v>44</v>
      </c>
      <c r="R666" s="1" t="s">
        <v>47</v>
      </c>
      <c r="S666" s="1" t="s">
        <v>3989</v>
      </c>
      <c r="T666" s="4">
        <v>21</v>
      </c>
    </row>
    <row r="667" spans="1:20">
      <c r="A667" s="1" t="s">
        <v>3981</v>
      </c>
      <c r="B667" s="1" t="s">
        <v>301</v>
      </c>
      <c r="C667" s="1" t="s">
        <v>3982</v>
      </c>
      <c r="D667" s="1" t="s">
        <v>408</v>
      </c>
      <c r="E667" s="2">
        <v>45807</v>
      </c>
      <c r="F667" s="2">
        <v>45807</v>
      </c>
      <c r="G667" s="1" t="s">
        <v>3990</v>
      </c>
      <c r="H667" s="3" t="s">
        <v>11</v>
      </c>
      <c r="I667" s="1" t="s">
        <v>3984</v>
      </c>
      <c r="J667" s="1" t="s">
        <v>3991</v>
      </c>
      <c r="K667" s="3" t="s">
        <v>3992</v>
      </c>
      <c r="L667" s="1" t="s">
        <v>3987</v>
      </c>
      <c r="M667" s="1" t="s">
        <v>13</v>
      </c>
      <c r="N667" s="1" t="s">
        <v>13</v>
      </c>
      <c r="O667" s="1" t="s">
        <v>3993</v>
      </c>
      <c r="P667" s="1" t="s">
        <v>13</v>
      </c>
      <c r="Q667" s="1" t="s">
        <v>13</v>
      </c>
      <c r="R667" s="1" t="s">
        <v>13</v>
      </c>
      <c r="S667" s="1" t="s">
        <v>3994</v>
      </c>
      <c r="T667" s="4">
        <v>9</v>
      </c>
    </row>
    <row r="668" spans="1:20">
      <c r="A668" s="1" t="s">
        <v>3981</v>
      </c>
      <c r="B668" s="1" t="s">
        <v>301</v>
      </c>
      <c r="C668" s="1" t="s">
        <v>3982</v>
      </c>
      <c r="D668" s="1" t="s">
        <v>408</v>
      </c>
      <c r="E668" s="2">
        <v>45807</v>
      </c>
      <c r="F668" s="2">
        <v>45807</v>
      </c>
      <c r="G668" s="1" t="s">
        <v>3990</v>
      </c>
      <c r="H668" s="3" t="s">
        <v>11</v>
      </c>
      <c r="I668" s="1" t="s">
        <v>3984</v>
      </c>
      <c r="J668" s="1" t="s">
        <v>12</v>
      </c>
      <c r="K668" s="3" t="s">
        <v>3995</v>
      </c>
      <c r="L668" s="1" t="s">
        <v>3987</v>
      </c>
      <c r="M668" s="1" t="s">
        <v>3996</v>
      </c>
      <c r="N668" s="1" t="s">
        <v>13</v>
      </c>
      <c r="O668" s="1" t="s">
        <v>3996</v>
      </c>
      <c r="P668" s="1" t="s">
        <v>13</v>
      </c>
      <c r="Q668" s="1" t="s">
        <v>14</v>
      </c>
      <c r="R668" s="1" t="s">
        <v>27</v>
      </c>
      <c r="S668" s="1" t="s">
        <v>3994</v>
      </c>
      <c r="T668" s="4">
        <v>2.2999999999999998</v>
      </c>
    </row>
    <row r="669" spans="1:20">
      <c r="A669" s="1" t="s">
        <v>3981</v>
      </c>
      <c r="B669" s="1" t="s">
        <v>301</v>
      </c>
      <c r="C669" s="1" t="s">
        <v>3982</v>
      </c>
      <c r="D669" s="1" t="s">
        <v>408</v>
      </c>
      <c r="E669" s="2">
        <v>45807</v>
      </c>
      <c r="F669" s="2">
        <v>45807</v>
      </c>
      <c r="G669" s="1" t="s">
        <v>3990</v>
      </c>
      <c r="H669" s="3" t="s">
        <v>11</v>
      </c>
      <c r="I669" s="1" t="s">
        <v>3984</v>
      </c>
      <c r="J669" s="1" t="s">
        <v>12</v>
      </c>
      <c r="K669" s="3" t="s">
        <v>3995</v>
      </c>
      <c r="L669" s="1" t="s">
        <v>3987</v>
      </c>
      <c r="M669" s="1" t="s">
        <v>3996</v>
      </c>
      <c r="N669" s="1" t="s">
        <v>13</v>
      </c>
      <c r="O669" s="1" t="s">
        <v>3996</v>
      </c>
      <c r="P669" s="1" t="s">
        <v>13</v>
      </c>
      <c r="Q669" s="1" t="s">
        <v>14</v>
      </c>
      <c r="R669" s="1" t="s">
        <v>37</v>
      </c>
      <c r="S669" s="1" t="s">
        <v>3994</v>
      </c>
      <c r="T669" s="4">
        <v>0.5</v>
      </c>
    </row>
    <row r="670" spans="1:20">
      <c r="A670" s="1" t="s">
        <v>3981</v>
      </c>
      <c r="B670" s="1" t="s">
        <v>301</v>
      </c>
      <c r="C670" s="1" t="s">
        <v>3982</v>
      </c>
      <c r="D670" s="1" t="s">
        <v>408</v>
      </c>
      <c r="E670" s="2">
        <v>45807</v>
      </c>
      <c r="F670" s="2">
        <v>45807</v>
      </c>
      <c r="G670" s="1" t="s">
        <v>3990</v>
      </c>
      <c r="H670" s="3" t="s">
        <v>11</v>
      </c>
      <c r="I670" s="1" t="s">
        <v>3984</v>
      </c>
      <c r="J670" s="1" t="s">
        <v>12</v>
      </c>
      <c r="K670" s="3" t="s">
        <v>3995</v>
      </c>
      <c r="L670" s="1" t="s">
        <v>3987</v>
      </c>
      <c r="M670" s="1" t="s">
        <v>3996</v>
      </c>
      <c r="N670" s="1" t="s">
        <v>13</v>
      </c>
      <c r="O670" s="1" t="s">
        <v>3996</v>
      </c>
      <c r="P670" s="1" t="s">
        <v>13</v>
      </c>
      <c r="Q670" s="1" t="s">
        <v>44</v>
      </c>
      <c r="R670" s="1" t="s">
        <v>47</v>
      </c>
      <c r="S670" s="1" t="s">
        <v>3994</v>
      </c>
      <c r="T670" s="4">
        <v>8.8000000000000007</v>
      </c>
    </row>
    <row r="671" spans="1:20">
      <c r="A671" s="1" t="s">
        <v>3981</v>
      </c>
      <c r="B671" s="1" t="s">
        <v>301</v>
      </c>
      <c r="C671" s="1" t="s">
        <v>3982</v>
      </c>
      <c r="D671" s="1" t="s">
        <v>408</v>
      </c>
      <c r="E671" s="2">
        <v>45807</v>
      </c>
      <c r="F671" s="2">
        <v>45807</v>
      </c>
      <c r="G671" s="1" t="s">
        <v>3990</v>
      </c>
      <c r="H671" s="3" t="s">
        <v>11</v>
      </c>
      <c r="I671" s="1" t="s">
        <v>3984</v>
      </c>
      <c r="J671" s="1" t="s">
        <v>12</v>
      </c>
      <c r="K671" s="3" t="s">
        <v>3995</v>
      </c>
      <c r="L671" s="1" t="s">
        <v>3987</v>
      </c>
      <c r="M671" s="1" t="s">
        <v>3996</v>
      </c>
      <c r="N671" s="1" t="s">
        <v>13</v>
      </c>
      <c r="O671" s="1" t="s">
        <v>3996</v>
      </c>
      <c r="P671" s="1" t="s">
        <v>13</v>
      </c>
      <c r="Q671" s="1" t="s">
        <v>38</v>
      </c>
      <c r="R671" s="1" t="s">
        <v>64</v>
      </c>
      <c r="S671" s="1" t="s">
        <v>3994</v>
      </c>
      <c r="T671" s="4">
        <v>2.8</v>
      </c>
    </row>
    <row r="672" spans="1:20">
      <c r="A672" s="1" t="s">
        <v>3981</v>
      </c>
      <c r="B672" s="1" t="s">
        <v>301</v>
      </c>
      <c r="C672" s="1" t="s">
        <v>3982</v>
      </c>
      <c r="D672" s="1" t="s">
        <v>408</v>
      </c>
      <c r="E672" s="2">
        <v>45807</v>
      </c>
      <c r="F672" s="2">
        <v>45807</v>
      </c>
      <c r="G672" s="1" t="s">
        <v>3990</v>
      </c>
      <c r="H672" s="3" t="s">
        <v>11</v>
      </c>
      <c r="I672" s="1" t="s">
        <v>3984</v>
      </c>
      <c r="J672" s="1" t="s">
        <v>12</v>
      </c>
      <c r="K672" s="3" t="s">
        <v>3995</v>
      </c>
      <c r="L672" s="1" t="s">
        <v>3987</v>
      </c>
      <c r="M672" s="1" t="s">
        <v>3996</v>
      </c>
      <c r="N672" s="1" t="s">
        <v>13</v>
      </c>
      <c r="O672" s="1" t="s">
        <v>3996</v>
      </c>
      <c r="P672" s="1" t="s">
        <v>13</v>
      </c>
      <c r="Q672" s="1" t="s">
        <v>16</v>
      </c>
      <c r="R672" s="1" t="s">
        <v>17</v>
      </c>
      <c r="S672" s="1" t="s">
        <v>3994</v>
      </c>
      <c r="T672" s="4">
        <v>7.3</v>
      </c>
    </row>
    <row r="673" spans="1:20">
      <c r="A673" s="1" t="s">
        <v>3981</v>
      </c>
      <c r="B673" s="1" t="s">
        <v>301</v>
      </c>
      <c r="C673" s="1" t="s">
        <v>3982</v>
      </c>
      <c r="D673" s="1" t="s">
        <v>408</v>
      </c>
      <c r="E673" s="2">
        <v>45807</v>
      </c>
      <c r="F673" s="2">
        <v>45807</v>
      </c>
      <c r="G673" s="1" t="s">
        <v>3990</v>
      </c>
      <c r="H673" s="3" t="s">
        <v>11</v>
      </c>
      <c r="I673" s="1" t="s">
        <v>3984</v>
      </c>
      <c r="J673" s="1" t="s">
        <v>12</v>
      </c>
      <c r="K673" s="3" t="s">
        <v>3995</v>
      </c>
      <c r="L673" s="1" t="s">
        <v>3987</v>
      </c>
      <c r="M673" s="1" t="s">
        <v>3996</v>
      </c>
      <c r="N673" s="1" t="s">
        <v>13</v>
      </c>
      <c r="O673" s="1" t="s">
        <v>3996</v>
      </c>
      <c r="P673" s="1" t="s">
        <v>13</v>
      </c>
      <c r="Q673" s="1" t="s">
        <v>16</v>
      </c>
      <c r="R673" s="1" t="s">
        <v>61</v>
      </c>
      <c r="S673" s="1" t="s">
        <v>3994</v>
      </c>
      <c r="T673" s="4">
        <v>1</v>
      </c>
    </row>
    <row r="674" spans="1:20">
      <c r="A674" s="1" t="s">
        <v>3981</v>
      </c>
      <c r="B674" s="1" t="s">
        <v>301</v>
      </c>
      <c r="C674" s="1" t="s">
        <v>3982</v>
      </c>
      <c r="D674" s="1" t="s">
        <v>408</v>
      </c>
      <c r="E674" s="2">
        <v>45807</v>
      </c>
      <c r="F674" s="2">
        <v>45807</v>
      </c>
      <c r="G674" s="1" t="s">
        <v>3990</v>
      </c>
      <c r="H674" s="3" t="s">
        <v>11</v>
      </c>
      <c r="I674" s="1" t="s">
        <v>3984</v>
      </c>
      <c r="J674" s="1" t="s">
        <v>12</v>
      </c>
      <c r="K674" s="3" t="s">
        <v>3995</v>
      </c>
      <c r="L674" s="1" t="s">
        <v>3987</v>
      </c>
      <c r="M674" s="1" t="s">
        <v>4017</v>
      </c>
      <c r="N674" s="1" t="s">
        <v>4018</v>
      </c>
      <c r="O674" s="1" t="s">
        <v>13</v>
      </c>
      <c r="P674" s="1" t="s">
        <v>13</v>
      </c>
      <c r="Q674" s="1" t="s">
        <v>4019</v>
      </c>
      <c r="R674" s="1" t="s">
        <v>4019</v>
      </c>
      <c r="S674" s="1" t="s">
        <v>3994</v>
      </c>
      <c r="T674" s="4">
        <v>3.3</v>
      </c>
    </row>
    <row r="675" spans="1:20">
      <c r="A675" s="1" t="s">
        <v>3981</v>
      </c>
      <c r="B675" s="1" t="s">
        <v>301</v>
      </c>
      <c r="C675" s="1" t="s">
        <v>3982</v>
      </c>
      <c r="D675" s="1" t="s">
        <v>408</v>
      </c>
      <c r="E675" s="2">
        <v>45807</v>
      </c>
      <c r="F675" s="2">
        <v>45807</v>
      </c>
      <c r="G675" s="1" t="s">
        <v>3990</v>
      </c>
      <c r="H675" s="3" t="s">
        <v>11</v>
      </c>
      <c r="I675" s="1" t="s">
        <v>3984</v>
      </c>
      <c r="J675" s="1" t="s">
        <v>12</v>
      </c>
      <c r="K675" s="3" t="s">
        <v>3995</v>
      </c>
      <c r="L675" s="1" t="s">
        <v>3987</v>
      </c>
      <c r="M675" s="1" t="s">
        <v>4010</v>
      </c>
      <c r="N675" s="1" t="s">
        <v>4011</v>
      </c>
      <c r="O675" s="1" t="s">
        <v>13</v>
      </c>
      <c r="P675" s="1" t="s">
        <v>13</v>
      </c>
      <c r="Q675" s="1" t="s">
        <v>4001</v>
      </c>
      <c r="R675" s="1" t="s">
        <v>4012</v>
      </c>
      <c r="S675" s="1" t="s">
        <v>3994</v>
      </c>
      <c r="T675" s="4">
        <v>1</v>
      </c>
    </row>
    <row r="676" spans="1:20">
      <c r="A676" s="1" t="s">
        <v>3981</v>
      </c>
      <c r="B676" s="1" t="s">
        <v>301</v>
      </c>
      <c r="C676" s="1" t="s">
        <v>3982</v>
      </c>
      <c r="D676" s="1" t="s">
        <v>408</v>
      </c>
      <c r="E676" s="2">
        <v>45807</v>
      </c>
      <c r="F676" s="2">
        <v>45807</v>
      </c>
      <c r="G676" s="1" t="s">
        <v>3990</v>
      </c>
      <c r="H676" s="3" t="s">
        <v>11</v>
      </c>
      <c r="I676" s="1" t="s">
        <v>3984</v>
      </c>
      <c r="J676" s="1" t="s">
        <v>12</v>
      </c>
      <c r="K676" s="3" t="s">
        <v>3995</v>
      </c>
      <c r="L676" s="1" t="s">
        <v>3987</v>
      </c>
      <c r="M676" s="1" t="s">
        <v>4055</v>
      </c>
      <c r="N676" s="1" t="s">
        <v>4056</v>
      </c>
      <c r="O676" s="1" t="s">
        <v>13</v>
      </c>
      <c r="P676" s="1" t="s">
        <v>13</v>
      </c>
      <c r="Q676" s="1" t="s">
        <v>4057</v>
      </c>
      <c r="R676" s="1" t="s">
        <v>4061</v>
      </c>
      <c r="S676" s="1" t="s">
        <v>3994</v>
      </c>
      <c r="T676" s="4">
        <v>6.1</v>
      </c>
    </row>
    <row r="677" spans="1:20">
      <c r="A677" s="1" t="s">
        <v>3981</v>
      </c>
      <c r="B677" s="1" t="s">
        <v>301</v>
      </c>
      <c r="C677" s="1" t="s">
        <v>3982</v>
      </c>
      <c r="D677" s="1" t="s">
        <v>408</v>
      </c>
      <c r="E677" s="2">
        <v>45807</v>
      </c>
      <c r="F677" s="2">
        <v>45807</v>
      </c>
      <c r="G677" s="1" t="s">
        <v>3990</v>
      </c>
      <c r="H677" s="3" t="s">
        <v>11</v>
      </c>
      <c r="I677" s="1" t="s">
        <v>3984</v>
      </c>
      <c r="J677" s="1" t="s">
        <v>12</v>
      </c>
      <c r="K677" s="3" t="s">
        <v>3995</v>
      </c>
      <c r="L677" s="1" t="s">
        <v>4066</v>
      </c>
      <c r="M677" s="1" t="s">
        <v>4067</v>
      </c>
      <c r="N677" s="1" t="s">
        <v>13</v>
      </c>
      <c r="O677" s="1" t="s">
        <v>4067</v>
      </c>
      <c r="P677" s="1" t="s">
        <v>4068</v>
      </c>
      <c r="Q677" s="1" t="s">
        <v>13</v>
      </c>
      <c r="R677" s="1" t="s">
        <v>13</v>
      </c>
      <c r="S677" s="1" t="s">
        <v>3994</v>
      </c>
      <c r="T677" s="4">
        <v>1</v>
      </c>
    </row>
    <row r="678" spans="1:20">
      <c r="A678" s="1" t="s">
        <v>3981</v>
      </c>
      <c r="B678" s="1" t="s">
        <v>301</v>
      </c>
      <c r="C678" s="1" t="s">
        <v>3982</v>
      </c>
      <c r="D678" s="1" t="s">
        <v>408</v>
      </c>
      <c r="E678" s="2">
        <v>45807</v>
      </c>
      <c r="F678" s="2">
        <v>45807</v>
      </c>
      <c r="G678" s="1" t="s">
        <v>3990</v>
      </c>
      <c r="H678" s="3" t="s">
        <v>11</v>
      </c>
      <c r="I678" s="1" t="s">
        <v>3984</v>
      </c>
      <c r="J678" s="1" t="s">
        <v>12</v>
      </c>
      <c r="K678" s="3" t="s">
        <v>3995</v>
      </c>
      <c r="L678" s="1" t="s">
        <v>4032</v>
      </c>
      <c r="M678" s="1" t="s">
        <v>4033</v>
      </c>
      <c r="N678" s="1" t="s">
        <v>13</v>
      </c>
      <c r="O678" s="1" t="s">
        <v>4033</v>
      </c>
      <c r="P678" s="1" t="s">
        <v>13</v>
      </c>
      <c r="Q678" s="1" t="s">
        <v>4034</v>
      </c>
      <c r="R678" s="1" t="s">
        <v>4001</v>
      </c>
      <c r="S678" s="1" t="s">
        <v>3994</v>
      </c>
      <c r="T678" s="4">
        <v>0.3</v>
      </c>
    </row>
    <row r="679" spans="1:20">
      <c r="A679" s="1" t="s">
        <v>3981</v>
      </c>
      <c r="B679" s="1" t="s">
        <v>301</v>
      </c>
      <c r="C679" s="1" t="s">
        <v>3982</v>
      </c>
      <c r="D679" s="1" t="s">
        <v>408</v>
      </c>
      <c r="E679" s="2">
        <v>45807</v>
      </c>
      <c r="F679" s="2">
        <v>45807</v>
      </c>
      <c r="G679" s="1" t="s">
        <v>3997</v>
      </c>
      <c r="H679" s="3" t="s">
        <v>41</v>
      </c>
      <c r="I679" s="1" t="s">
        <v>3984</v>
      </c>
      <c r="J679" s="1" t="s">
        <v>3991</v>
      </c>
      <c r="K679" s="3" t="s">
        <v>3992</v>
      </c>
      <c r="L679" s="1" t="s">
        <v>3987</v>
      </c>
      <c r="M679" s="1" t="s">
        <v>13</v>
      </c>
      <c r="N679" s="1" t="s">
        <v>13</v>
      </c>
      <c r="O679" s="1" t="s">
        <v>3993</v>
      </c>
      <c r="P679" s="1" t="s">
        <v>13</v>
      </c>
      <c r="Q679" s="1" t="s">
        <v>13</v>
      </c>
      <c r="R679" s="1" t="s">
        <v>13</v>
      </c>
      <c r="S679" s="1" t="s">
        <v>3998</v>
      </c>
      <c r="T679" s="4">
        <v>9</v>
      </c>
    </row>
    <row r="680" spans="1:20">
      <c r="A680" s="1" t="s">
        <v>3981</v>
      </c>
      <c r="B680" s="1" t="s">
        <v>301</v>
      </c>
      <c r="C680" s="1" t="s">
        <v>3982</v>
      </c>
      <c r="D680" s="1" t="s">
        <v>408</v>
      </c>
      <c r="E680" s="2">
        <v>45807</v>
      </c>
      <c r="F680" s="2">
        <v>45807</v>
      </c>
      <c r="G680" s="1" t="s">
        <v>3997</v>
      </c>
      <c r="H680" s="3" t="s">
        <v>41</v>
      </c>
      <c r="I680" s="1" t="s">
        <v>3984</v>
      </c>
      <c r="J680" s="1" t="s">
        <v>12</v>
      </c>
      <c r="K680" s="3" t="s">
        <v>3995</v>
      </c>
      <c r="L680" s="1" t="s">
        <v>3987</v>
      </c>
      <c r="M680" s="1" t="s">
        <v>3999</v>
      </c>
      <c r="N680" s="1" t="s">
        <v>13</v>
      </c>
      <c r="O680" s="1" t="s">
        <v>3999</v>
      </c>
      <c r="P680" s="1" t="s">
        <v>13</v>
      </c>
      <c r="Q680" s="1" t="s">
        <v>4000</v>
      </c>
      <c r="R680" s="1" t="s">
        <v>4001</v>
      </c>
      <c r="S680" s="1" t="s">
        <v>3998</v>
      </c>
      <c r="T680" s="4">
        <v>9.5</v>
      </c>
    </row>
    <row r="681" spans="1:20">
      <c r="A681" s="1" t="s">
        <v>3981</v>
      </c>
      <c r="B681" s="1" t="s">
        <v>301</v>
      </c>
      <c r="C681" s="1" t="s">
        <v>3982</v>
      </c>
      <c r="D681" s="1" t="s">
        <v>408</v>
      </c>
      <c r="E681" s="2">
        <v>45807</v>
      </c>
      <c r="F681" s="2">
        <v>45807</v>
      </c>
      <c r="G681" s="1" t="s">
        <v>3997</v>
      </c>
      <c r="H681" s="3" t="s">
        <v>41</v>
      </c>
      <c r="I681" s="1" t="s">
        <v>3984</v>
      </c>
      <c r="J681" s="1" t="s">
        <v>12</v>
      </c>
      <c r="K681" s="3" t="s">
        <v>3995</v>
      </c>
      <c r="L681" s="1" t="s">
        <v>3987</v>
      </c>
      <c r="M681" s="1" t="s">
        <v>3996</v>
      </c>
      <c r="N681" s="1" t="s">
        <v>13</v>
      </c>
      <c r="O681" s="1" t="s">
        <v>3996</v>
      </c>
      <c r="P681" s="1" t="s">
        <v>13</v>
      </c>
      <c r="Q681" s="1" t="s">
        <v>44</v>
      </c>
      <c r="R681" s="1" t="s">
        <v>47</v>
      </c>
      <c r="S681" s="1" t="s">
        <v>3998</v>
      </c>
      <c r="T681" s="4">
        <v>2</v>
      </c>
    </row>
    <row r="682" spans="1:20">
      <c r="A682" s="1" t="s">
        <v>3981</v>
      </c>
      <c r="B682" s="1" t="s">
        <v>301</v>
      </c>
      <c r="C682" s="1" t="s">
        <v>3982</v>
      </c>
      <c r="D682" s="1" t="s">
        <v>408</v>
      </c>
      <c r="E682" s="2">
        <v>45807</v>
      </c>
      <c r="F682" s="2">
        <v>45807</v>
      </c>
      <c r="G682" s="1" t="s">
        <v>3997</v>
      </c>
      <c r="H682" s="3" t="s">
        <v>41</v>
      </c>
      <c r="I682" s="1" t="s">
        <v>3984</v>
      </c>
      <c r="J682" s="1" t="s">
        <v>12</v>
      </c>
      <c r="K682" s="3" t="s">
        <v>3995</v>
      </c>
      <c r="L682" s="1" t="s">
        <v>4002</v>
      </c>
      <c r="M682" s="1" t="s">
        <v>4003</v>
      </c>
      <c r="N682" s="1" t="s">
        <v>13</v>
      </c>
      <c r="O682" s="1" t="s">
        <v>4003</v>
      </c>
      <c r="P682" s="1" t="s">
        <v>13</v>
      </c>
      <c r="Q682" s="1" t="s">
        <v>4004</v>
      </c>
      <c r="R682" s="1" t="s">
        <v>4001</v>
      </c>
      <c r="S682" s="1" t="s">
        <v>3998</v>
      </c>
      <c r="T682" s="4">
        <v>26</v>
      </c>
    </row>
    <row r="683" spans="1:20">
      <c r="A683" s="1" t="s">
        <v>3981</v>
      </c>
      <c r="B683" s="1" t="s">
        <v>301</v>
      </c>
      <c r="C683" s="1" t="s">
        <v>3982</v>
      </c>
      <c r="D683" s="1" t="s">
        <v>408</v>
      </c>
      <c r="E683" s="2">
        <v>45807</v>
      </c>
      <c r="F683" s="2">
        <v>45807</v>
      </c>
      <c r="G683" s="1" t="s">
        <v>4005</v>
      </c>
      <c r="H683" s="3" t="s">
        <v>21</v>
      </c>
      <c r="I683" s="1" t="s">
        <v>3984</v>
      </c>
      <c r="J683" s="1" t="s">
        <v>3991</v>
      </c>
      <c r="K683" s="3" t="s">
        <v>3992</v>
      </c>
      <c r="L683" s="1" t="s">
        <v>3987</v>
      </c>
      <c r="M683" s="1" t="s">
        <v>13</v>
      </c>
      <c r="N683" s="1" t="s">
        <v>13</v>
      </c>
      <c r="O683" s="1" t="s">
        <v>3993</v>
      </c>
      <c r="P683" s="1" t="s">
        <v>13</v>
      </c>
      <c r="Q683" s="1" t="s">
        <v>13</v>
      </c>
      <c r="R683" s="1" t="s">
        <v>13</v>
      </c>
      <c r="S683" s="1" t="s">
        <v>4007</v>
      </c>
      <c r="T683" s="4">
        <v>9</v>
      </c>
    </row>
    <row r="684" spans="1:20">
      <c r="A684" s="1" t="s">
        <v>3981</v>
      </c>
      <c r="B684" s="1" t="s">
        <v>301</v>
      </c>
      <c r="C684" s="1" t="s">
        <v>3982</v>
      </c>
      <c r="D684" s="1" t="s">
        <v>408</v>
      </c>
      <c r="E684" s="2">
        <v>45807</v>
      </c>
      <c r="F684" s="2">
        <v>45807</v>
      </c>
      <c r="G684" s="1" t="s">
        <v>4005</v>
      </c>
      <c r="H684" s="3" t="s">
        <v>21</v>
      </c>
      <c r="I684" s="1" t="s">
        <v>3984</v>
      </c>
      <c r="J684" s="1" t="s">
        <v>12</v>
      </c>
      <c r="K684" s="3" t="s">
        <v>3995</v>
      </c>
      <c r="L684" s="1" t="s">
        <v>3987</v>
      </c>
      <c r="M684" s="1" t="s">
        <v>3996</v>
      </c>
      <c r="N684" s="1" t="s">
        <v>13</v>
      </c>
      <c r="O684" s="1" t="s">
        <v>3996</v>
      </c>
      <c r="P684" s="1" t="s">
        <v>13</v>
      </c>
      <c r="Q684" s="1" t="s">
        <v>14</v>
      </c>
      <c r="R684" s="1" t="s">
        <v>23</v>
      </c>
      <c r="S684" s="1" t="s">
        <v>4007</v>
      </c>
      <c r="T684" s="4">
        <v>9.3000000000000007</v>
      </c>
    </row>
    <row r="685" spans="1:20">
      <c r="A685" s="1" t="s">
        <v>3981</v>
      </c>
      <c r="B685" s="1" t="s">
        <v>301</v>
      </c>
      <c r="C685" s="1" t="s">
        <v>3982</v>
      </c>
      <c r="D685" s="1" t="s">
        <v>408</v>
      </c>
      <c r="E685" s="2">
        <v>45807</v>
      </c>
      <c r="F685" s="2">
        <v>45807</v>
      </c>
      <c r="G685" s="1" t="s">
        <v>4005</v>
      </c>
      <c r="H685" s="3" t="s">
        <v>21</v>
      </c>
      <c r="I685" s="1" t="s">
        <v>3984</v>
      </c>
      <c r="J685" s="1" t="s">
        <v>12</v>
      </c>
      <c r="K685" s="3" t="s">
        <v>3995</v>
      </c>
      <c r="L685" s="1" t="s">
        <v>3987</v>
      </c>
      <c r="M685" s="1" t="s">
        <v>3996</v>
      </c>
      <c r="N685" s="1" t="s">
        <v>13</v>
      </c>
      <c r="O685" s="1" t="s">
        <v>3996</v>
      </c>
      <c r="P685" s="1" t="s">
        <v>13</v>
      </c>
      <c r="Q685" s="1" t="s">
        <v>14</v>
      </c>
      <c r="R685" s="1" t="s">
        <v>57</v>
      </c>
      <c r="S685" s="1" t="s">
        <v>4007</v>
      </c>
      <c r="T685" s="4">
        <v>1</v>
      </c>
    </row>
    <row r="686" spans="1:20">
      <c r="A686" s="1" t="s">
        <v>3981</v>
      </c>
      <c r="B686" s="1" t="s">
        <v>301</v>
      </c>
      <c r="C686" s="1" t="s">
        <v>3982</v>
      </c>
      <c r="D686" s="1" t="s">
        <v>408</v>
      </c>
      <c r="E686" s="2">
        <v>45807</v>
      </c>
      <c r="F686" s="2">
        <v>45807</v>
      </c>
      <c r="G686" s="1" t="s">
        <v>4005</v>
      </c>
      <c r="H686" s="3" t="s">
        <v>21</v>
      </c>
      <c r="I686" s="1" t="s">
        <v>3984</v>
      </c>
      <c r="J686" s="1" t="s">
        <v>12</v>
      </c>
      <c r="K686" s="3" t="s">
        <v>3995</v>
      </c>
      <c r="L686" s="1" t="s">
        <v>3987</v>
      </c>
      <c r="M686" s="1" t="s">
        <v>3996</v>
      </c>
      <c r="N686" s="1" t="s">
        <v>13</v>
      </c>
      <c r="O686" s="1" t="s">
        <v>3996</v>
      </c>
      <c r="P686" s="1" t="s">
        <v>13</v>
      </c>
      <c r="Q686" s="1" t="s">
        <v>14</v>
      </c>
      <c r="R686" s="1" t="s">
        <v>77</v>
      </c>
      <c r="S686" s="1" t="s">
        <v>4007</v>
      </c>
      <c r="T686" s="4">
        <v>12.5</v>
      </c>
    </row>
    <row r="687" spans="1:20">
      <c r="A687" s="1" t="s">
        <v>3981</v>
      </c>
      <c r="B687" s="1" t="s">
        <v>301</v>
      </c>
      <c r="C687" s="1" t="s">
        <v>3982</v>
      </c>
      <c r="D687" s="1" t="s">
        <v>408</v>
      </c>
      <c r="E687" s="2">
        <v>45807</v>
      </c>
      <c r="F687" s="2">
        <v>45807</v>
      </c>
      <c r="G687" s="1" t="s">
        <v>4005</v>
      </c>
      <c r="H687" s="3" t="s">
        <v>21</v>
      </c>
      <c r="I687" s="1" t="s">
        <v>3984</v>
      </c>
      <c r="J687" s="1" t="s">
        <v>12</v>
      </c>
      <c r="K687" s="3" t="s">
        <v>3995</v>
      </c>
      <c r="L687" s="1" t="s">
        <v>3987</v>
      </c>
      <c r="M687" s="1" t="s">
        <v>3996</v>
      </c>
      <c r="N687" s="1" t="s">
        <v>13</v>
      </c>
      <c r="O687" s="1" t="s">
        <v>3996</v>
      </c>
      <c r="P687" s="1" t="s">
        <v>13</v>
      </c>
      <c r="Q687" s="1" t="s">
        <v>14</v>
      </c>
      <c r="R687" s="1" t="s">
        <v>15</v>
      </c>
      <c r="S687" s="1" t="s">
        <v>4007</v>
      </c>
      <c r="T687" s="4">
        <v>9</v>
      </c>
    </row>
    <row r="688" spans="1:20">
      <c r="A688" s="1" t="s">
        <v>3981</v>
      </c>
      <c r="B688" s="1" t="s">
        <v>301</v>
      </c>
      <c r="C688" s="1" t="s">
        <v>3982</v>
      </c>
      <c r="D688" s="1" t="s">
        <v>408</v>
      </c>
      <c r="E688" s="2">
        <v>45807</v>
      </c>
      <c r="F688" s="2">
        <v>45807</v>
      </c>
      <c r="G688" s="1" t="s">
        <v>4005</v>
      </c>
      <c r="H688" s="3" t="s">
        <v>21</v>
      </c>
      <c r="I688" s="1" t="s">
        <v>3984</v>
      </c>
      <c r="J688" s="1" t="s">
        <v>12</v>
      </c>
      <c r="K688" s="3" t="s">
        <v>3995</v>
      </c>
      <c r="L688" s="1" t="s">
        <v>3987</v>
      </c>
      <c r="M688" s="1" t="s">
        <v>3996</v>
      </c>
      <c r="N688" s="1" t="s">
        <v>13</v>
      </c>
      <c r="O688" s="1" t="s">
        <v>3996</v>
      </c>
      <c r="P688" s="1" t="s">
        <v>13</v>
      </c>
      <c r="Q688" s="1" t="s">
        <v>28</v>
      </c>
      <c r="R688" s="1" t="s">
        <v>29</v>
      </c>
      <c r="S688" s="1" t="s">
        <v>4007</v>
      </c>
      <c r="T688" s="4">
        <v>3.2</v>
      </c>
    </row>
    <row r="689" spans="1:20">
      <c r="A689" s="1" t="s">
        <v>3981</v>
      </c>
      <c r="B689" s="1" t="s">
        <v>301</v>
      </c>
      <c r="C689" s="1" t="s">
        <v>3982</v>
      </c>
      <c r="D689" s="1" t="s">
        <v>408</v>
      </c>
      <c r="E689" s="2">
        <v>45807</v>
      </c>
      <c r="F689" s="2">
        <v>45807</v>
      </c>
      <c r="G689" s="1" t="s">
        <v>4008</v>
      </c>
      <c r="H689" s="3" t="s">
        <v>25</v>
      </c>
      <c r="I689" s="1" t="s">
        <v>3984</v>
      </c>
      <c r="J689" s="1" t="s">
        <v>3991</v>
      </c>
      <c r="K689" s="3" t="s">
        <v>3992</v>
      </c>
      <c r="L689" s="1" t="s">
        <v>3987</v>
      </c>
      <c r="M689" s="1" t="s">
        <v>13</v>
      </c>
      <c r="N689" s="1" t="s">
        <v>13</v>
      </c>
      <c r="O689" s="1" t="s">
        <v>3993</v>
      </c>
      <c r="P689" s="1" t="s">
        <v>13</v>
      </c>
      <c r="Q689" s="1" t="s">
        <v>13</v>
      </c>
      <c r="R689" s="1" t="s">
        <v>13</v>
      </c>
      <c r="S689" s="1" t="s">
        <v>4009</v>
      </c>
      <c r="T689" s="4">
        <v>9</v>
      </c>
    </row>
    <row r="690" spans="1:20">
      <c r="A690" s="1" t="s">
        <v>3981</v>
      </c>
      <c r="B690" s="1" t="s">
        <v>301</v>
      </c>
      <c r="C690" s="1" t="s">
        <v>3982</v>
      </c>
      <c r="D690" s="1" t="s">
        <v>408</v>
      </c>
      <c r="E690" s="2">
        <v>45807</v>
      </c>
      <c r="F690" s="2">
        <v>45807</v>
      </c>
      <c r="G690" s="1" t="s">
        <v>4008</v>
      </c>
      <c r="H690" s="3" t="s">
        <v>25</v>
      </c>
      <c r="I690" s="1" t="s">
        <v>3984</v>
      </c>
      <c r="J690" s="1" t="s">
        <v>12</v>
      </c>
      <c r="K690" s="3" t="s">
        <v>3995</v>
      </c>
      <c r="L690" s="1" t="s">
        <v>4013</v>
      </c>
      <c r="M690" s="1" t="s">
        <v>4014</v>
      </c>
      <c r="N690" s="1" t="s">
        <v>13</v>
      </c>
      <c r="O690" s="1" t="s">
        <v>4014</v>
      </c>
      <c r="P690" s="1" t="s">
        <v>13</v>
      </c>
      <c r="Q690" s="1" t="s">
        <v>13</v>
      </c>
      <c r="R690" s="1" t="s">
        <v>13</v>
      </c>
      <c r="S690" s="1" t="s">
        <v>4009</v>
      </c>
      <c r="T690" s="4">
        <v>0.5</v>
      </c>
    </row>
    <row r="691" spans="1:20">
      <c r="A691" s="1" t="s">
        <v>3981</v>
      </c>
      <c r="B691" s="1" t="s">
        <v>301</v>
      </c>
      <c r="C691" s="1" t="s">
        <v>3982</v>
      </c>
      <c r="D691" s="1" t="s">
        <v>408</v>
      </c>
      <c r="E691" s="2">
        <v>45807</v>
      </c>
      <c r="F691" s="2">
        <v>45807</v>
      </c>
      <c r="G691" s="1" t="s">
        <v>4008</v>
      </c>
      <c r="H691" s="3" t="s">
        <v>25</v>
      </c>
      <c r="I691" s="1" t="s">
        <v>3984</v>
      </c>
      <c r="J691" s="1" t="s">
        <v>12</v>
      </c>
      <c r="K691" s="3" t="s">
        <v>3995</v>
      </c>
      <c r="L691" s="1" t="s">
        <v>4013</v>
      </c>
      <c r="M691" s="1" t="s">
        <v>4035</v>
      </c>
      <c r="N691" s="1" t="s">
        <v>4036</v>
      </c>
      <c r="O691" s="1" t="s">
        <v>13</v>
      </c>
      <c r="P691" s="1" t="s">
        <v>13</v>
      </c>
      <c r="Q691" s="1" t="s">
        <v>13</v>
      </c>
      <c r="R691" s="1" t="s">
        <v>13</v>
      </c>
      <c r="S691" s="1" t="s">
        <v>4009</v>
      </c>
      <c r="T691" s="4">
        <v>0.5</v>
      </c>
    </row>
    <row r="692" spans="1:20">
      <c r="A692" s="1" t="s">
        <v>3981</v>
      </c>
      <c r="B692" s="1" t="s">
        <v>301</v>
      </c>
      <c r="C692" s="1" t="s">
        <v>3982</v>
      </c>
      <c r="D692" s="1" t="s">
        <v>408</v>
      </c>
      <c r="E692" s="2">
        <v>45807</v>
      </c>
      <c r="F692" s="2">
        <v>45807</v>
      </c>
      <c r="G692" s="1" t="s">
        <v>4008</v>
      </c>
      <c r="H692" s="3" t="s">
        <v>25</v>
      </c>
      <c r="I692" s="1" t="s">
        <v>3984</v>
      </c>
      <c r="J692" s="1" t="s">
        <v>12</v>
      </c>
      <c r="K692" s="3" t="s">
        <v>3995</v>
      </c>
      <c r="L692" s="1" t="s">
        <v>3987</v>
      </c>
      <c r="M692" s="1" t="s">
        <v>3996</v>
      </c>
      <c r="N692" s="1" t="s">
        <v>13</v>
      </c>
      <c r="O692" s="1" t="s">
        <v>3996</v>
      </c>
      <c r="P692" s="1" t="s">
        <v>13</v>
      </c>
      <c r="Q692" s="1" t="s">
        <v>14</v>
      </c>
      <c r="R692" s="1" t="s">
        <v>37</v>
      </c>
      <c r="S692" s="1" t="s">
        <v>4009</v>
      </c>
      <c r="T692" s="4">
        <v>0.5</v>
      </c>
    </row>
    <row r="693" spans="1:20">
      <c r="A693" s="1" t="s">
        <v>3981</v>
      </c>
      <c r="B693" s="1" t="s">
        <v>301</v>
      </c>
      <c r="C693" s="1" t="s">
        <v>3982</v>
      </c>
      <c r="D693" s="1" t="s">
        <v>408</v>
      </c>
      <c r="E693" s="2">
        <v>45807</v>
      </c>
      <c r="F693" s="2">
        <v>45807</v>
      </c>
      <c r="G693" s="1" t="s">
        <v>4008</v>
      </c>
      <c r="H693" s="3" t="s">
        <v>25</v>
      </c>
      <c r="I693" s="1" t="s">
        <v>3984</v>
      </c>
      <c r="J693" s="1" t="s">
        <v>12</v>
      </c>
      <c r="K693" s="3" t="s">
        <v>3995</v>
      </c>
      <c r="L693" s="1" t="s">
        <v>3987</v>
      </c>
      <c r="M693" s="1" t="s">
        <v>3996</v>
      </c>
      <c r="N693" s="1" t="s">
        <v>13</v>
      </c>
      <c r="O693" s="1" t="s">
        <v>3996</v>
      </c>
      <c r="P693" s="1" t="s">
        <v>13</v>
      </c>
      <c r="Q693" s="1" t="s">
        <v>28</v>
      </c>
      <c r="R693" s="1" t="s">
        <v>29</v>
      </c>
      <c r="S693" s="1" t="s">
        <v>4009</v>
      </c>
      <c r="T693" s="4">
        <v>2</v>
      </c>
    </row>
    <row r="694" spans="1:20">
      <c r="A694" s="1" t="s">
        <v>3981</v>
      </c>
      <c r="B694" s="1" t="s">
        <v>301</v>
      </c>
      <c r="C694" s="1" t="s">
        <v>3982</v>
      </c>
      <c r="D694" s="1" t="s">
        <v>408</v>
      </c>
      <c r="E694" s="2">
        <v>45807</v>
      </c>
      <c r="F694" s="2">
        <v>45807</v>
      </c>
      <c r="G694" s="1" t="s">
        <v>4008</v>
      </c>
      <c r="H694" s="3" t="s">
        <v>25</v>
      </c>
      <c r="I694" s="1" t="s">
        <v>3984</v>
      </c>
      <c r="J694" s="1" t="s">
        <v>12</v>
      </c>
      <c r="K694" s="3" t="s">
        <v>3995</v>
      </c>
      <c r="L694" s="1" t="s">
        <v>3987</v>
      </c>
      <c r="M694" s="1" t="s">
        <v>3996</v>
      </c>
      <c r="N694" s="1" t="s">
        <v>13</v>
      </c>
      <c r="O694" s="1" t="s">
        <v>3996</v>
      </c>
      <c r="P694" s="1" t="s">
        <v>13</v>
      </c>
      <c r="Q694" s="1" t="s">
        <v>44</v>
      </c>
      <c r="R694" s="1" t="s">
        <v>45</v>
      </c>
      <c r="S694" s="1" t="s">
        <v>4009</v>
      </c>
      <c r="T694" s="4">
        <v>6</v>
      </c>
    </row>
    <row r="695" spans="1:20">
      <c r="A695" s="1" t="s">
        <v>3981</v>
      </c>
      <c r="B695" s="1" t="s">
        <v>301</v>
      </c>
      <c r="C695" s="1" t="s">
        <v>3982</v>
      </c>
      <c r="D695" s="1" t="s">
        <v>408</v>
      </c>
      <c r="E695" s="2">
        <v>45807</v>
      </c>
      <c r="F695" s="2">
        <v>45807</v>
      </c>
      <c r="G695" s="1" t="s">
        <v>4008</v>
      </c>
      <c r="H695" s="3" t="s">
        <v>25</v>
      </c>
      <c r="I695" s="1" t="s">
        <v>3984</v>
      </c>
      <c r="J695" s="1" t="s">
        <v>12</v>
      </c>
      <c r="K695" s="3" t="s">
        <v>3995</v>
      </c>
      <c r="L695" s="1" t="s">
        <v>3987</v>
      </c>
      <c r="M695" s="1" t="s">
        <v>3996</v>
      </c>
      <c r="N695" s="1" t="s">
        <v>13</v>
      </c>
      <c r="O695" s="1" t="s">
        <v>3996</v>
      </c>
      <c r="P695" s="1" t="s">
        <v>13</v>
      </c>
      <c r="Q695" s="1" t="s">
        <v>30</v>
      </c>
      <c r="R695" s="1" t="s">
        <v>67</v>
      </c>
      <c r="S695" s="1" t="s">
        <v>4009</v>
      </c>
      <c r="T695" s="4">
        <v>1</v>
      </c>
    </row>
    <row r="696" spans="1:20">
      <c r="A696" s="1" t="s">
        <v>3981</v>
      </c>
      <c r="B696" s="1" t="s">
        <v>301</v>
      </c>
      <c r="C696" s="1" t="s">
        <v>3982</v>
      </c>
      <c r="D696" s="1" t="s">
        <v>408</v>
      </c>
      <c r="E696" s="2">
        <v>45807</v>
      </c>
      <c r="F696" s="2">
        <v>45807</v>
      </c>
      <c r="G696" s="1" t="s">
        <v>4008</v>
      </c>
      <c r="H696" s="3" t="s">
        <v>25</v>
      </c>
      <c r="I696" s="1" t="s">
        <v>3984</v>
      </c>
      <c r="J696" s="1" t="s">
        <v>12</v>
      </c>
      <c r="K696" s="3" t="s">
        <v>3995</v>
      </c>
      <c r="L696" s="1" t="s">
        <v>3987</v>
      </c>
      <c r="M696" s="1" t="s">
        <v>3996</v>
      </c>
      <c r="N696" s="1" t="s">
        <v>13</v>
      </c>
      <c r="O696" s="1" t="s">
        <v>3996</v>
      </c>
      <c r="P696" s="1" t="s">
        <v>13</v>
      </c>
      <c r="Q696" s="1" t="s">
        <v>30</v>
      </c>
      <c r="R696" s="1" t="s">
        <v>62</v>
      </c>
      <c r="S696" s="1" t="s">
        <v>4009</v>
      </c>
      <c r="T696" s="4">
        <v>0.5</v>
      </c>
    </row>
    <row r="697" spans="1:20">
      <c r="A697" s="1" t="s">
        <v>3981</v>
      </c>
      <c r="B697" s="1" t="s">
        <v>301</v>
      </c>
      <c r="C697" s="1" t="s">
        <v>3982</v>
      </c>
      <c r="D697" s="1" t="s">
        <v>408</v>
      </c>
      <c r="E697" s="2">
        <v>45807</v>
      </c>
      <c r="F697" s="2">
        <v>45807</v>
      </c>
      <c r="G697" s="1" t="s">
        <v>4008</v>
      </c>
      <c r="H697" s="3" t="s">
        <v>25</v>
      </c>
      <c r="I697" s="1" t="s">
        <v>3984</v>
      </c>
      <c r="J697" s="1" t="s">
        <v>12</v>
      </c>
      <c r="K697" s="3" t="s">
        <v>3995</v>
      </c>
      <c r="L697" s="1" t="s">
        <v>3987</v>
      </c>
      <c r="M697" s="1" t="s">
        <v>3996</v>
      </c>
      <c r="N697" s="1" t="s">
        <v>13</v>
      </c>
      <c r="O697" s="1" t="s">
        <v>3996</v>
      </c>
      <c r="P697" s="1" t="s">
        <v>13</v>
      </c>
      <c r="Q697" s="1" t="s">
        <v>30</v>
      </c>
      <c r="R697" s="1" t="s">
        <v>68</v>
      </c>
      <c r="S697" s="1" t="s">
        <v>4009</v>
      </c>
      <c r="T697" s="4">
        <v>1</v>
      </c>
    </row>
    <row r="698" spans="1:20">
      <c r="A698" s="1" t="s">
        <v>3981</v>
      </c>
      <c r="B698" s="1" t="s">
        <v>301</v>
      </c>
      <c r="C698" s="1" t="s">
        <v>3982</v>
      </c>
      <c r="D698" s="1" t="s">
        <v>408</v>
      </c>
      <c r="E698" s="2">
        <v>45807</v>
      </c>
      <c r="F698" s="2">
        <v>45807</v>
      </c>
      <c r="G698" s="1" t="s">
        <v>4008</v>
      </c>
      <c r="H698" s="3" t="s">
        <v>25</v>
      </c>
      <c r="I698" s="1" t="s">
        <v>3984</v>
      </c>
      <c r="J698" s="1" t="s">
        <v>4038</v>
      </c>
      <c r="K698" s="3" t="s">
        <v>4039</v>
      </c>
      <c r="L698" s="1" t="s">
        <v>3987</v>
      </c>
      <c r="M698" s="1" t="s">
        <v>13</v>
      </c>
      <c r="N698" s="1" t="s">
        <v>13</v>
      </c>
      <c r="O698" s="1" t="s">
        <v>13</v>
      </c>
      <c r="P698" s="1" t="s">
        <v>13</v>
      </c>
      <c r="Q698" s="1" t="s">
        <v>13</v>
      </c>
      <c r="R698" s="1" t="s">
        <v>13</v>
      </c>
      <c r="S698" s="1" t="s">
        <v>4009</v>
      </c>
      <c r="T698" s="4">
        <v>27</v>
      </c>
    </row>
    <row r="699" spans="1:20">
      <c r="A699" s="1" t="s">
        <v>3981</v>
      </c>
      <c r="B699" s="1" t="s">
        <v>301</v>
      </c>
      <c r="C699" s="1" t="s">
        <v>3982</v>
      </c>
      <c r="D699" s="1" t="s">
        <v>408</v>
      </c>
      <c r="E699" s="2">
        <v>45821</v>
      </c>
      <c r="F699" s="2">
        <v>45814</v>
      </c>
      <c r="G699" s="1" t="s">
        <v>3983</v>
      </c>
      <c r="H699" s="3" t="s">
        <v>32</v>
      </c>
      <c r="I699" s="1" t="s">
        <v>3984</v>
      </c>
      <c r="J699" s="1" t="s">
        <v>12</v>
      </c>
      <c r="K699" s="3" t="s">
        <v>3995</v>
      </c>
      <c r="L699" s="1" t="s">
        <v>3987</v>
      </c>
      <c r="M699" s="1" t="s">
        <v>3999</v>
      </c>
      <c r="N699" s="1" t="s">
        <v>13</v>
      </c>
      <c r="O699" s="1" t="s">
        <v>3999</v>
      </c>
      <c r="P699" s="1" t="s">
        <v>13</v>
      </c>
      <c r="Q699" s="1" t="s">
        <v>4044</v>
      </c>
      <c r="R699" s="1" t="s">
        <v>4037</v>
      </c>
      <c r="S699" s="1" t="s">
        <v>3989</v>
      </c>
      <c r="T699" s="4">
        <v>1</v>
      </c>
    </row>
    <row r="700" spans="1:20">
      <c r="A700" s="1" t="s">
        <v>3981</v>
      </c>
      <c r="B700" s="1" t="s">
        <v>301</v>
      </c>
      <c r="C700" s="1" t="s">
        <v>3982</v>
      </c>
      <c r="D700" s="1" t="s">
        <v>408</v>
      </c>
      <c r="E700" s="2">
        <v>45821</v>
      </c>
      <c r="F700" s="2">
        <v>45814</v>
      </c>
      <c r="G700" s="1" t="s">
        <v>3983</v>
      </c>
      <c r="H700" s="3" t="s">
        <v>32</v>
      </c>
      <c r="I700" s="1" t="s">
        <v>3984</v>
      </c>
      <c r="J700" s="1" t="s">
        <v>12</v>
      </c>
      <c r="K700" s="3" t="s">
        <v>3995</v>
      </c>
      <c r="L700" s="1" t="s">
        <v>3987</v>
      </c>
      <c r="M700" s="1" t="s">
        <v>3996</v>
      </c>
      <c r="N700" s="1" t="s">
        <v>13</v>
      </c>
      <c r="O700" s="1" t="s">
        <v>3996</v>
      </c>
      <c r="P700" s="1" t="s">
        <v>13</v>
      </c>
      <c r="Q700" s="1" t="s">
        <v>14</v>
      </c>
      <c r="R700" s="1" t="s">
        <v>54</v>
      </c>
      <c r="S700" s="1" t="s">
        <v>3989</v>
      </c>
      <c r="T700" s="4">
        <v>1</v>
      </c>
    </row>
    <row r="701" spans="1:20">
      <c r="A701" s="1" t="s">
        <v>3981</v>
      </c>
      <c r="B701" s="1" t="s">
        <v>301</v>
      </c>
      <c r="C701" s="1" t="s">
        <v>3982</v>
      </c>
      <c r="D701" s="1" t="s">
        <v>408</v>
      </c>
      <c r="E701" s="2">
        <v>45821</v>
      </c>
      <c r="F701" s="2">
        <v>45814</v>
      </c>
      <c r="G701" s="1" t="s">
        <v>3983</v>
      </c>
      <c r="H701" s="3" t="s">
        <v>32</v>
      </c>
      <c r="I701" s="1" t="s">
        <v>3984</v>
      </c>
      <c r="J701" s="1" t="s">
        <v>12</v>
      </c>
      <c r="K701" s="3" t="s">
        <v>3995</v>
      </c>
      <c r="L701" s="1" t="s">
        <v>3987</v>
      </c>
      <c r="M701" s="1" t="s">
        <v>3996</v>
      </c>
      <c r="N701" s="1" t="s">
        <v>13</v>
      </c>
      <c r="O701" s="1" t="s">
        <v>3996</v>
      </c>
      <c r="P701" s="1" t="s">
        <v>13</v>
      </c>
      <c r="Q701" s="1" t="s">
        <v>14</v>
      </c>
      <c r="R701" s="1" t="s">
        <v>78</v>
      </c>
      <c r="S701" s="1" t="s">
        <v>3989</v>
      </c>
      <c r="T701" s="4">
        <v>6</v>
      </c>
    </row>
    <row r="702" spans="1:20">
      <c r="A702" s="1" t="s">
        <v>3981</v>
      </c>
      <c r="B702" s="1" t="s">
        <v>301</v>
      </c>
      <c r="C702" s="1" t="s">
        <v>3982</v>
      </c>
      <c r="D702" s="1" t="s">
        <v>408</v>
      </c>
      <c r="E702" s="2">
        <v>45821</v>
      </c>
      <c r="F702" s="2">
        <v>45814</v>
      </c>
      <c r="G702" s="1" t="s">
        <v>3983</v>
      </c>
      <c r="H702" s="3" t="s">
        <v>32</v>
      </c>
      <c r="I702" s="1" t="s">
        <v>3984</v>
      </c>
      <c r="J702" s="1" t="s">
        <v>12</v>
      </c>
      <c r="K702" s="3" t="s">
        <v>3995</v>
      </c>
      <c r="L702" s="1" t="s">
        <v>3987</v>
      </c>
      <c r="M702" s="1" t="s">
        <v>3996</v>
      </c>
      <c r="N702" s="1" t="s">
        <v>13</v>
      </c>
      <c r="O702" s="1" t="s">
        <v>3996</v>
      </c>
      <c r="P702" s="1" t="s">
        <v>13</v>
      </c>
      <c r="Q702" s="1" t="s">
        <v>44</v>
      </c>
      <c r="R702" s="1" t="s">
        <v>47</v>
      </c>
      <c r="S702" s="1" t="s">
        <v>3989</v>
      </c>
      <c r="T702" s="4">
        <v>31</v>
      </c>
    </row>
    <row r="703" spans="1:20">
      <c r="A703" s="1" t="s">
        <v>3981</v>
      </c>
      <c r="B703" s="1" t="s">
        <v>301</v>
      </c>
      <c r="C703" s="1" t="s">
        <v>3982</v>
      </c>
      <c r="D703" s="1" t="s">
        <v>408</v>
      </c>
      <c r="E703" s="2">
        <v>45821</v>
      </c>
      <c r="F703" s="2">
        <v>45814</v>
      </c>
      <c r="G703" s="1" t="s">
        <v>3990</v>
      </c>
      <c r="H703" s="3" t="s">
        <v>11</v>
      </c>
      <c r="I703" s="1" t="s">
        <v>3984</v>
      </c>
      <c r="J703" s="1" t="s">
        <v>12</v>
      </c>
      <c r="K703" s="3" t="s">
        <v>3995</v>
      </c>
      <c r="L703" s="1" t="s">
        <v>3987</v>
      </c>
      <c r="M703" s="1" t="s">
        <v>3996</v>
      </c>
      <c r="N703" s="1" t="s">
        <v>13</v>
      </c>
      <c r="O703" s="1" t="s">
        <v>3996</v>
      </c>
      <c r="P703" s="1" t="s">
        <v>13</v>
      </c>
      <c r="Q703" s="1" t="s">
        <v>14</v>
      </c>
      <c r="R703" s="1" t="s">
        <v>24</v>
      </c>
      <c r="S703" s="1" t="s">
        <v>3994</v>
      </c>
      <c r="T703" s="4">
        <v>2</v>
      </c>
    </row>
    <row r="704" spans="1:20">
      <c r="A704" s="1" t="s">
        <v>3981</v>
      </c>
      <c r="B704" s="1" t="s">
        <v>301</v>
      </c>
      <c r="C704" s="1" t="s">
        <v>3982</v>
      </c>
      <c r="D704" s="1" t="s">
        <v>408</v>
      </c>
      <c r="E704" s="2">
        <v>45821</v>
      </c>
      <c r="F704" s="2">
        <v>45814</v>
      </c>
      <c r="G704" s="1" t="s">
        <v>3990</v>
      </c>
      <c r="H704" s="3" t="s">
        <v>11</v>
      </c>
      <c r="I704" s="1" t="s">
        <v>3984</v>
      </c>
      <c r="J704" s="1" t="s">
        <v>12</v>
      </c>
      <c r="K704" s="3" t="s">
        <v>3995</v>
      </c>
      <c r="L704" s="1" t="s">
        <v>3987</v>
      </c>
      <c r="M704" s="1" t="s">
        <v>3996</v>
      </c>
      <c r="N704" s="1" t="s">
        <v>13</v>
      </c>
      <c r="O704" s="1" t="s">
        <v>3996</v>
      </c>
      <c r="P704" s="1" t="s">
        <v>13</v>
      </c>
      <c r="Q704" s="1" t="s">
        <v>14</v>
      </c>
      <c r="R704" s="1" t="s">
        <v>79</v>
      </c>
      <c r="S704" s="1" t="s">
        <v>3994</v>
      </c>
      <c r="T704" s="4">
        <v>2</v>
      </c>
    </row>
    <row r="705" spans="1:20">
      <c r="A705" s="1" t="s">
        <v>3981</v>
      </c>
      <c r="B705" s="1" t="s">
        <v>301</v>
      </c>
      <c r="C705" s="1" t="s">
        <v>3982</v>
      </c>
      <c r="D705" s="1" t="s">
        <v>408</v>
      </c>
      <c r="E705" s="2">
        <v>45821</v>
      </c>
      <c r="F705" s="2">
        <v>45814</v>
      </c>
      <c r="G705" s="1" t="s">
        <v>3990</v>
      </c>
      <c r="H705" s="3" t="s">
        <v>11</v>
      </c>
      <c r="I705" s="1" t="s">
        <v>3984</v>
      </c>
      <c r="J705" s="1" t="s">
        <v>12</v>
      </c>
      <c r="K705" s="3" t="s">
        <v>3995</v>
      </c>
      <c r="L705" s="1" t="s">
        <v>3987</v>
      </c>
      <c r="M705" s="1" t="s">
        <v>3996</v>
      </c>
      <c r="N705" s="1" t="s">
        <v>13</v>
      </c>
      <c r="O705" s="1" t="s">
        <v>3996</v>
      </c>
      <c r="P705" s="1" t="s">
        <v>13</v>
      </c>
      <c r="Q705" s="1" t="s">
        <v>44</v>
      </c>
      <c r="R705" s="1" t="s">
        <v>47</v>
      </c>
      <c r="S705" s="1" t="s">
        <v>3994</v>
      </c>
      <c r="T705" s="4">
        <v>1.3</v>
      </c>
    </row>
    <row r="706" spans="1:20">
      <c r="A706" s="1" t="s">
        <v>3981</v>
      </c>
      <c r="B706" s="1" t="s">
        <v>301</v>
      </c>
      <c r="C706" s="1" t="s">
        <v>3982</v>
      </c>
      <c r="D706" s="1" t="s">
        <v>408</v>
      </c>
      <c r="E706" s="2">
        <v>45821</v>
      </c>
      <c r="F706" s="2">
        <v>45814</v>
      </c>
      <c r="G706" s="1" t="s">
        <v>3990</v>
      </c>
      <c r="H706" s="3" t="s">
        <v>11</v>
      </c>
      <c r="I706" s="1" t="s">
        <v>3984</v>
      </c>
      <c r="J706" s="1" t="s">
        <v>12</v>
      </c>
      <c r="K706" s="3" t="s">
        <v>3995</v>
      </c>
      <c r="L706" s="1" t="s">
        <v>3987</v>
      </c>
      <c r="M706" s="1" t="s">
        <v>3996</v>
      </c>
      <c r="N706" s="1" t="s">
        <v>13</v>
      </c>
      <c r="O706" s="1" t="s">
        <v>3996</v>
      </c>
      <c r="P706" s="1" t="s">
        <v>13</v>
      </c>
      <c r="Q706" s="1" t="s">
        <v>44</v>
      </c>
      <c r="R706" s="1" t="s">
        <v>45</v>
      </c>
      <c r="S706" s="1" t="s">
        <v>3994</v>
      </c>
      <c r="T706" s="4">
        <v>5.7</v>
      </c>
    </row>
    <row r="707" spans="1:20">
      <c r="A707" s="1" t="s">
        <v>3981</v>
      </c>
      <c r="B707" s="1" t="s">
        <v>301</v>
      </c>
      <c r="C707" s="1" t="s">
        <v>3982</v>
      </c>
      <c r="D707" s="1" t="s">
        <v>408</v>
      </c>
      <c r="E707" s="2">
        <v>45821</v>
      </c>
      <c r="F707" s="2">
        <v>45814</v>
      </c>
      <c r="G707" s="1" t="s">
        <v>3990</v>
      </c>
      <c r="H707" s="3" t="s">
        <v>11</v>
      </c>
      <c r="I707" s="1" t="s">
        <v>3984</v>
      </c>
      <c r="J707" s="1" t="s">
        <v>12</v>
      </c>
      <c r="K707" s="3" t="s">
        <v>3995</v>
      </c>
      <c r="L707" s="1" t="s">
        <v>3987</v>
      </c>
      <c r="M707" s="1" t="s">
        <v>3996</v>
      </c>
      <c r="N707" s="1" t="s">
        <v>13</v>
      </c>
      <c r="O707" s="1" t="s">
        <v>3996</v>
      </c>
      <c r="P707" s="1" t="s">
        <v>13</v>
      </c>
      <c r="Q707" s="1" t="s">
        <v>16</v>
      </c>
      <c r="R707" s="1" t="s">
        <v>17</v>
      </c>
      <c r="S707" s="1" t="s">
        <v>3994</v>
      </c>
      <c r="T707" s="4">
        <v>10.4</v>
      </c>
    </row>
    <row r="708" spans="1:20">
      <c r="A708" s="1" t="s">
        <v>3981</v>
      </c>
      <c r="B708" s="1" t="s">
        <v>301</v>
      </c>
      <c r="C708" s="1" t="s">
        <v>3982</v>
      </c>
      <c r="D708" s="1" t="s">
        <v>408</v>
      </c>
      <c r="E708" s="2">
        <v>45821</v>
      </c>
      <c r="F708" s="2">
        <v>45814</v>
      </c>
      <c r="G708" s="1" t="s">
        <v>3990</v>
      </c>
      <c r="H708" s="3" t="s">
        <v>11</v>
      </c>
      <c r="I708" s="1" t="s">
        <v>3984</v>
      </c>
      <c r="J708" s="1" t="s">
        <v>12</v>
      </c>
      <c r="K708" s="3" t="s">
        <v>3995</v>
      </c>
      <c r="L708" s="1" t="s">
        <v>3987</v>
      </c>
      <c r="M708" s="1" t="s">
        <v>3996</v>
      </c>
      <c r="N708" s="1" t="s">
        <v>13</v>
      </c>
      <c r="O708" s="1" t="s">
        <v>3996</v>
      </c>
      <c r="P708" s="1" t="s">
        <v>13</v>
      </c>
      <c r="Q708" s="1" t="s">
        <v>16</v>
      </c>
      <c r="R708" s="1" t="s">
        <v>40</v>
      </c>
      <c r="S708" s="1" t="s">
        <v>3994</v>
      </c>
      <c r="T708" s="4">
        <v>1.5</v>
      </c>
    </row>
    <row r="709" spans="1:20">
      <c r="A709" s="1" t="s">
        <v>3981</v>
      </c>
      <c r="B709" s="1" t="s">
        <v>301</v>
      </c>
      <c r="C709" s="1" t="s">
        <v>3982</v>
      </c>
      <c r="D709" s="1" t="s">
        <v>408</v>
      </c>
      <c r="E709" s="2">
        <v>45821</v>
      </c>
      <c r="F709" s="2">
        <v>45814</v>
      </c>
      <c r="G709" s="1" t="s">
        <v>3990</v>
      </c>
      <c r="H709" s="3" t="s">
        <v>11</v>
      </c>
      <c r="I709" s="1" t="s">
        <v>3984</v>
      </c>
      <c r="J709" s="1" t="s">
        <v>12</v>
      </c>
      <c r="K709" s="3" t="s">
        <v>3995</v>
      </c>
      <c r="L709" s="1" t="s">
        <v>3987</v>
      </c>
      <c r="M709" s="1" t="s">
        <v>4029</v>
      </c>
      <c r="N709" s="1" t="s">
        <v>13</v>
      </c>
      <c r="O709" s="1" t="s">
        <v>4029</v>
      </c>
      <c r="P709" s="1" t="s">
        <v>13</v>
      </c>
      <c r="Q709" s="1" t="s">
        <v>4030</v>
      </c>
      <c r="R709" s="1" t="s">
        <v>4031</v>
      </c>
      <c r="S709" s="1" t="s">
        <v>3994</v>
      </c>
      <c r="T709" s="4">
        <v>2.2000000000000002</v>
      </c>
    </row>
    <row r="710" spans="1:20">
      <c r="A710" s="1" t="s">
        <v>3981</v>
      </c>
      <c r="B710" s="1" t="s">
        <v>301</v>
      </c>
      <c r="C710" s="1" t="s">
        <v>3982</v>
      </c>
      <c r="D710" s="1" t="s">
        <v>408</v>
      </c>
      <c r="E710" s="2">
        <v>45821</v>
      </c>
      <c r="F710" s="2">
        <v>45814</v>
      </c>
      <c r="G710" s="1" t="s">
        <v>3990</v>
      </c>
      <c r="H710" s="3" t="s">
        <v>11</v>
      </c>
      <c r="I710" s="1" t="s">
        <v>3984</v>
      </c>
      <c r="J710" s="1" t="s">
        <v>12</v>
      </c>
      <c r="K710" s="3" t="s">
        <v>3995</v>
      </c>
      <c r="L710" s="1" t="s">
        <v>3987</v>
      </c>
      <c r="M710" s="1" t="s">
        <v>4069</v>
      </c>
      <c r="N710" s="1" t="s">
        <v>13</v>
      </c>
      <c r="O710" s="1" t="s">
        <v>4069</v>
      </c>
      <c r="P710" s="1" t="s">
        <v>13</v>
      </c>
      <c r="Q710" s="1" t="s">
        <v>50</v>
      </c>
      <c r="R710" s="1" t="s">
        <v>4070</v>
      </c>
      <c r="S710" s="1" t="s">
        <v>3994</v>
      </c>
      <c r="T710" s="4">
        <v>0.7</v>
      </c>
    </row>
    <row r="711" spans="1:20">
      <c r="A711" s="1" t="s">
        <v>3981</v>
      </c>
      <c r="B711" s="1" t="s">
        <v>301</v>
      </c>
      <c r="C711" s="1" t="s">
        <v>3982</v>
      </c>
      <c r="D711" s="1" t="s">
        <v>408</v>
      </c>
      <c r="E711" s="2">
        <v>45821</v>
      </c>
      <c r="F711" s="2">
        <v>45814</v>
      </c>
      <c r="G711" s="1" t="s">
        <v>3990</v>
      </c>
      <c r="H711" s="3" t="s">
        <v>11</v>
      </c>
      <c r="I711" s="1" t="s">
        <v>3984</v>
      </c>
      <c r="J711" s="1" t="s">
        <v>12</v>
      </c>
      <c r="K711" s="3" t="s">
        <v>3995</v>
      </c>
      <c r="L711" s="1" t="s">
        <v>3987</v>
      </c>
      <c r="M711" s="1" t="s">
        <v>4017</v>
      </c>
      <c r="N711" s="1" t="s">
        <v>4018</v>
      </c>
      <c r="O711" s="1" t="s">
        <v>13</v>
      </c>
      <c r="P711" s="1" t="s">
        <v>13</v>
      </c>
      <c r="Q711" s="1" t="s">
        <v>4019</v>
      </c>
      <c r="R711" s="1" t="s">
        <v>4019</v>
      </c>
      <c r="S711" s="1" t="s">
        <v>3994</v>
      </c>
      <c r="T711" s="4">
        <v>1.6</v>
      </c>
    </row>
    <row r="712" spans="1:20">
      <c r="A712" s="1" t="s">
        <v>3981</v>
      </c>
      <c r="B712" s="1" t="s">
        <v>301</v>
      </c>
      <c r="C712" s="1" t="s">
        <v>3982</v>
      </c>
      <c r="D712" s="1" t="s">
        <v>408</v>
      </c>
      <c r="E712" s="2">
        <v>45821</v>
      </c>
      <c r="F712" s="2">
        <v>45814</v>
      </c>
      <c r="G712" s="1" t="s">
        <v>3990</v>
      </c>
      <c r="H712" s="3" t="s">
        <v>11</v>
      </c>
      <c r="I712" s="1" t="s">
        <v>3984</v>
      </c>
      <c r="J712" s="1" t="s">
        <v>12</v>
      </c>
      <c r="K712" s="3" t="s">
        <v>3995</v>
      </c>
      <c r="L712" s="1" t="s">
        <v>3987</v>
      </c>
      <c r="M712" s="1" t="s">
        <v>4055</v>
      </c>
      <c r="N712" s="1" t="s">
        <v>4056</v>
      </c>
      <c r="O712" s="1" t="s">
        <v>13</v>
      </c>
      <c r="P712" s="1" t="s">
        <v>13</v>
      </c>
      <c r="Q712" s="1" t="s">
        <v>4057</v>
      </c>
      <c r="R712" s="1" t="s">
        <v>4061</v>
      </c>
      <c r="S712" s="1" t="s">
        <v>3994</v>
      </c>
      <c r="T712" s="4">
        <v>1.2</v>
      </c>
    </row>
    <row r="713" spans="1:20">
      <c r="A713" s="1" t="s">
        <v>3981</v>
      </c>
      <c r="B713" s="1" t="s">
        <v>301</v>
      </c>
      <c r="C713" s="1" t="s">
        <v>3982</v>
      </c>
      <c r="D713" s="1" t="s">
        <v>408</v>
      </c>
      <c r="E713" s="2">
        <v>45821</v>
      </c>
      <c r="F713" s="2">
        <v>45814</v>
      </c>
      <c r="G713" s="1" t="s">
        <v>3990</v>
      </c>
      <c r="H713" s="3" t="s">
        <v>11</v>
      </c>
      <c r="I713" s="1" t="s">
        <v>3984</v>
      </c>
      <c r="J713" s="1" t="s">
        <v>12</v>
      </c>
      <c r="K713" s="3" t="s">
        <v>3995</v>
      </c>
      <c r="L713" s="1" t="s">
        <v>4066</v>
      </c>
      <c r="M713" s="1" t="s">
        <v>4067</v>
      </c>
      <c r="N713" s="1" t="s">
        <v>13</v>
      </c>
      <c r="O713" s="1" t="s">
        <v>4067</v>
      </c>
      <c r="P713" s="1" t="s">
        <v>4068</v>
      </c>
      <c r="Q713" s="1" t="s">
        <v>4071</v>
      </c>
      <c r="R713" s="1" t="s">
        <v>4068</v>
      </c>
      <c r="S713" s="1" t="s">
        <v>3994</v>
      </c>
      <c r="T713" s="4">
        <v>1.4</v>
      </c>
    </row>
    <row r="714" spans="1:20">
      <c r="A714" s="1" t="s">
        <v>3981</v>
      </c>
      <c r="B714" s="1" t="s">
        <v>301</v>
      </c>
      <c r="C714" s="1" t="s">
        <v>3982</v>
      </c>
      <c r="D714" s="1" t="s">
        <v>408</v>
      </c>
      <c r="E714" s="2">
        <v>45821</v>
      </c>
      <c r="F714" s="2">
        <v>45814</v>
      </c>
      <c r="G714" s="1" t="s">
        <v>3990</v>
      </c>
      <c r="H714" s="3" t="s">
        <v>11</v>
      </c>
      <c r="I714" s="1" t="s">
        <v>3984</v>
      </c>
      <c r="J714" s="1" t="s">
        <v>12</v>
      </c>
      <c r="K714" s="3" t="s">
        <v>3995</v>
      </c>
      <c r="L714" s="1" t="s">
        <v>4002</v>
      </c>
      <c r="M714" s="1" t="s">
        <v>4003</v>
      </c>
      <c r="N714" s="1" t="s">
        <v>13</v>
      </c>
      <c r="O714" s="1" t="s">
        <v>4003</v>
      </c>
      <c r="P714" s="1" t="s">
        <v>13</v>
      </c>
      <c r="Q714" s="1" t="s">
        <v>4004</v>
      </c>
      <c r="R714" s="1" t="s">
        <v>4001</v>
      </c>
      <c r="S714" s="1" t="s">
        <v>3994</v>
      </c>
      <c r="T714" s="4">
        <v>1.7</v>
      </c>
    </row>
    <row r="715" spans="1:20">
      <c r="A715" s="1" t="s">
        <v>3981</v>
      </c>
      <c r="B715" s="1" t="s">
        <v>301</v>
      </c>
      <c r="C715" s="1" t="s">
        <v>3982</v>
      </c>
      <c r="D715" s="1" t="s">
        <v>408</v>
      </c>
      <c r="E715" s="2">
        <v>45821</v>
      </c>
      <c r="F715" s="2">
        <v>45814</v>
      </c>
      <c r="G715" s="1" t="s">
        <v>3990</v>
      </c>
      <c r="H715" s="3" t="s">
        <v>11</v>
      </c>
      <c r="I715" s="1" t="s">
        <v>3984</v>
      </c>
      <c r="J715" s="1" t="s">
        <v>12</v>
      </c>
      <c r="K715" s="3" t="s">
        <v>3995</v>
      </c>
      <c r="L715" s="1" t="s">
        <v>4062</v>
      </c>
      <c r="M715" s="1" t="s">
        <v>4003</v>
      </c>
      <c r="N715" s="1" t="s">
        <v>13</v>
      </c>
      <c r="O715" s="1" t="s">
        <v>4003</v>
      </c>
      <c r="P715" s="1" t="s">
        <v>13</v>
      </c>
      <c r="Q715" s="1" t="s">
        <v>4063</v>
      </c>
      <c r="R715" s="1" t="s">
        <v>4024</v>
      </c>
      <c r="S715" s="1" t="s">
        <v>3994</v>
      </c>
      <c r="T715" s="4">
        <v>0.6</v>
      </c>
    </row>
    <row r="716" spans="1:20">
      <c r="A716" s="1" t="s">
        <v>3981</v>
      </c>
      <c r="B716" s="1" t="s">
        <v>301</v>
      </c>
      <c r="C716" s="1" t="s">
        <v>3982</v>
      </c>
      <c r="D716" s="1" t="s">
        <v>408</v>
      </c>
      <c r="E716" s="2">
        <v>45821</v>
      </c>
      <c r="F716" s="2">
        <v>45814</v>
      </c>
      <c r="G716" s="1" t="s">
        <v>3997</v>
      </c>
      <c r="H716" s="3" t="s">
        <v>41</v>
      </c>
      <c r="I716" s="1" t="s">
        <v>3984</v>
      </c>
      <c r="J716" s="1" t="s">
        <v>3985</v>
      </c>
      <c r="K716" s="3" t="s">
        <v>3986</v>
      </c>
      <c r="L716" s="1" t="s">
        <v>3987</v>
      </c>
      <c r="M716" s="1" t="s">
        <v>13</v>
      </c>
      <c r="N716" s="1" t="s">
        <v>13</v>
      </c>
      <c r="O716" s="1" t="s">
        <v>3988</v>
      </c>
      <c r="P716" s="1" t="s">
        <v>13</v>
      </c>
      <c r="Q716" s="1" t="s">
        <v>13</v>
      </c>
      <c r="R716" s="1" t="s">
        <v>13</v>
      </c>
      <c r="S716" s="1" t="s">
        <v>3998</v>
      </c>
      <c r="T716" s="4">
        <v>3</v>
      </c>
    </row>
    <row r="717" spans="1:20">
      <c r="A717" s="1" t="s">
        <v>3981</v>
      </c>
      <c r="B717" s="1" t="s">
        <v>301</v>
      </c>
      <c r="C717" s="1" t="s">
        <v>3982</v>
      </c>
      <c r="D717" s="1" t="s">
        <v>408</v>
      </c>
      <c r="E717" s="2">
        <v>45821</v>
      </c>
      <c r="F717" s="2">
        <v>45814</v>
      </c>
      <c r="G717" s="1" t="s">
        <v>3997</v>
      </c>
      <c r="H717" s="3" t="s">
        <v>41</v>
      </c>
      <c r="I717" s="1" t="s">
        <v>3984</v>
      </c>
      <c r="J717" s="1" t="s">
        <v>12</v>
      </c>
      <c r="K717" s="3" t="s">
        <v>3995</v>
      </c>
      <c r="L717" s="1" t="s">
        <v>3987</v>
      </c>
      <c r="M717" s="1" t="s">
        <v>3999</v>
      </c>
      <c r="N717" s="1" t="s">
        <v>13</v>
      </c>
      <c r="O717" s="1" t="s">
        <v>3999</v>
      </c>
      <c r="P717" s="1" t="s">
        <v>13</v>
      </c>
      <c r="Q717" s="1" t="s">
        <v>4000</v>
      </c>
      <c r="R717" s="1" t="s">
        <v>4001</v>
      </c>
      <c r="S717" s="1" t="s">
        <v>3998</v>
      </c>
      <c r="T717" s="4">
        <v>8.5</v>
      </c>
    </row>
    <row r="718" spans="1:20">
      <c r="A718" s="1" t="s">
        <v>3981</v>
      </c>
      <c r="B718" s="1" t="s">
        <v>301</v>
      </c>
      <c r="C718" s="1" t="s">
        <v>3982</v>
      </c>
      <c r="D718" s="1" t="s">
        <v>408</v>
      </c>
      <c r="E718" s="2">
        <v>45821</v>
      </c>
      <c r="F718" s="2">
        <v>45814</v>
      </c>
      <c r="G718" s="1" t="s">
        <v>3997</v>
      </c>
      <c r="H718" s="3" t="s">
        <v>41</v>
      </c>
      <c r="I718" s="1" t="s">
        <v>3984</v>
      </c>
      <c r="J718" s="1" t="s">
        <v>12</v>
      </c>
      <c r="K718" s="3" t="s">
        <v>3995</v>
      </c>
      <c r="L718" s="1" t="s">
        <v>3987</v>
      </c>
      <c r="M718" s="1" t="s">
        <v>3996</v>
      </c>
      <c r="N718" s="1" t="s">
        <v>13</v>
      </c>
      <c r="O718" s="1" t="s">
        <v>3996</v>
      </c>
      <c r="P718" s="1" t="s">
        <v>13</v>
      </c>
      <c r="Q718" s="1" t="s">
        <v>14</v>
      </c>
      <c r="R718" s="1" t="s">
        <v>24</v>
      </c>
      <c r="S718" s="1" t="s">
        <v>3998</v>
      </c>
      <c r="T718" s="4">
        <v>2</v>
      </c>
    </row>
    <row r="719" spans="1:20">
      <c r="A719" s="1" t="s">
        <v>3981</v>
      </c>
      <c r="B719" s="1" t="s">
        <v>301</v>
      </c>
      <c r="C719" s="1" t="s">
        <v>3982</v>
      </c>
      <c r="D719" s="1" t="s">
        <v>408</v>
      </c>
      <c r="E719" s="2">
        <v>45821</v>
      </c>
      <c r="F719" s="2">
        <v>45814</v>
      </c>
      <c r="G719" s="1" t="s">
        <v>3997</v>
      </c>
      <c r="H719" s="3" t="s">
        <v>41</v>
      </c>
      <c r="I719" s="1" t="s">
        <v>3984</v>
      </c>
      <c r="J719" s="1" t="s">
        <v>12</v>
      </c>
      <c r="K719" s="3" t="s">
        <v>3995</v>
      </c>
      <c r="L719" s="1" t="s">
        <v>4002</v>
      </c>
      <c r="M719" s="1" t="s">
        <v>4003</v>
      </c>
      <c r="N719" s="1" t="s">
        <v>13</v>
      </c>
      <c r="O719" s="1" t="s">
        <v>4003</v>
      </c>
      <c r="P719" s="1" t="s">
        <v>13</v>
      </c>
      <c r="Q719" s="1" t="s">
        <v>4004</v>
      </c>
      <c r="R719" s="1" t="s">
        <v>4001</v>
      </c>
      <c r="S719" s="1" t="s">
        <v>3998</v>
      </c>
      <c r="T719" s="4">
        <v>20</v>
      </c>
    </row>
    <row r="720" spans="1:20">
      <c r="A720" s="1" t="s">
        <v>3981</v>
      </c>
      <c r="B720" s="1" t="s">
        <v>301</v>
      </c>
      <c r="C720" s="1" t="s">
        <v>3982</v>
      </c>
      <c r="D720" s="1" t="s">
        <v>408</v>
      </c>
      <c r="E720" s="2">
        <v>45821</v>
      </c>
      <c r="F720" s="2">
        <v>45814</v>
      </c>
      <c r="G720" s="1" t="s">
        <v>4005</v>
      </c>
      <c r="H720" s="3" t="s">
        <v>21</v>
      </c>
      <c r="I720" s="1" t="s">
        <v>3984</v>
      </c>
      <c r="J720" s="1" t="s">
        <v>12</v>
      </c>
      <c r="K720" s="3" t="s">
        <v>3995</v>
      </c>
      <c r="L720" s="1" t="s">
        <v>3987</v>
      </c>
      <c r="M720" s="1" t="s">
        <v>3996</v>
      </c>
      <c r="N720" s="1" t="s">
        <v>13</v>
      </c>
      <c r="O720" s="1" t="s">
        <v>3996</v>
      </c>
      <c r="P720" s="1" t="s">
        <v>13</v>
      </c>
      <c r="Q720" s="1" t="s">
        <v>14</v>
      </c>
      <c r="R720" s="1" t="s">
        <v>23</v>
      </c>
      <c r="S720" s="1" t="s">
        <v>4007</v>
      </c>
      <c r="T720" s="4">
        <v>21.6</v>
      </c>
    </row>
    <row r="721" spans="1:20">
      <c r="A721" s="1" t="s">
        <v>3981</v>
      </c>
      <c r="B721" s="1" t="s">
        <v>301</v>
      </c>
      <c r="C721" s="1" t="s">
        <v>3982</v>
      </c>
      <c r="D721" s="1" t="s">
        <v>408</v>
      </c>
      <c r="E721" s="2">
        <v>45821</v>
      </c>
      <c r="F721" s="2">
        <v>45814</v>
      </c>
      <c r="G721" s="1" t="s">
        <v>4005</v>
      </c>
      <c r="H721" s="3" t="s">
        <v>21</v>
      </c>
      <c r="I721" s="1" t="s">
        <v>3984</v>
      </c>
      <c r="J721" s="1" t="s">
        <v>12</v>
      </c>
      <c r="K721" s="3" t="s">
        <v>3995</v>
      </c>
      <c r="L721" s="1" t="s">
        <v>3987</v>
      </c>
      <c r="M721" s="1" t="s">
        <v>3996</v>
      </c>
      <c r="N721" s="1" t="s">
        <v>13</v>
      </c>
      <c r="O721" s="1" t="s">
        <v>3996</v>
      </c>
      <c r="P721" s="1" t="s">
        <v>13</v>
      </c>
      <c r="Q721" s="1" t="s">
        <v>14</v>
      </c>
      <c r="R721" s="1" t="s">
        <v>80</v>
      </c>
      <c r="S721" s="1" t="s">
        <v>4007</v>
      </c>
      <c r="T721" s="4">
        <v>6.6</v>
      </c>
    </row>
    <row r="722" spans="1:20">
      <c r="A722" s="1" t="s">
        <v>3981</v>
      </c>
      <c r="B722" s="1" t="s">
        <v>301</v>
      </c>
      <c r="C722" s="1" t="s">
        <v>3982</v>
      </c>
      <c r="D722" s="1" t="s">
        <v>408</v>
      </c>
      <c r="E722" s="2">
        <v>45821</v>
      </c>
      <c r="F722" s="2">
        <v>45814</v>
      </c>
      <c r="G722" s="1" t="s">
        <v>4005</v>
      </c>
      <c r="H722" s="3" t="s">
        <v>21</v>
      </c>
      <c r="I722" s="1" t="s">
        <v>3984</v>
      </c>
      <c r="J722" s="1" t="s">
        <v>12</v>
      </c>
      <c r="K722" s="3" t="s">
        <v>3995</v>
      </c>
      <c r="L722" s="1" t="s">
        <v>3987</v>
      </c>
      <c r="M722" s="1" t="s">
        <v>3996</v>
      </c>
      <c r="N722" s="1" t="s">
        <v>13</v>
      </c>
      <c r="O722" s="1" t="s">
        <v>3996</v>
      </c>
      <c r="P722" s="1" t="s">
        <v>13</v>
      </c>
      <c r="Q722" s="1" t="s">
        <v>14</v>
      </c>
      <c r="R722" s="1" t="s">
        <v>77</v>
      </c>
      <c r="S722" s="1" t="s">
        <v>4007</v>
      </c>
      <c r="T722" s="4">
        <v>10.5</v>
      </c>
    </row>
    <row r="723" spans="1:20">
      <c r="A723" s="1" t="s">
        <v>3981</v>
      </c>
      <c r="B723" s="1" t="s">
        <v>301</v>
      </c>
      <c r="C723" s="1" t="s">
        <v>3982</v>
      </c>
      <c r="D723" s="1" t="s">
        <v>408</v>
      </c>
      <c r="E723" s="2">
        <v>45821</v>
      </c>
      <c r="F723" s="2">
        <v>45814</v>
      </c>
      <c r="G723" s="1" t="s">
        <v>4008</v>
      </c>
      <c r="H723" s="3" t="s">
        <v>25</v>
      </c>
      <c r="I723" s="1" t="s">
        <v>3984</v>
      </c>
      <c r="J723" s="1" t="s">
        <v>12</v>
      </c>
      <c r="K723" s="3" t="s">
        <v>3995</v>
      </c>
      <c r="L723" s="1" t="s">
        <v>4013</v>
      </c>
      <c r="M723" s="1" t="s">
        <v>4042</v>
      </c>
      <c r="N723" s="1" t="s">
        <v>4043</v>
      </c>
      <c r="O723" s="1" t="s">
        <v>13</v>
      </c>
      <c r="P723" s="1" t="s">
        <v>13</v>
      </c>
      <c r="Q723" s="1" t="s">
        <v>13</v>
      </c>
      <c r="R723" s="1" t="s">
        <v>13</v>
      </c>
      <c r="S723" s="1" t="s">
        <v>4009</v>
      </c>
      <c r="T723" s="4">
        <v>1</v>
      </c>
    </row>
    <row r="724" spans="1:20">
      <c r="A724" s="1" t="s">
        <v>3981</v>
      </c>
      <c r="B724" s="1" t="s">
        <v>301</v>
      </c>
      <c r="C724" s="1" t="s">
        <v>3982</v>
      </c>
      <c r="D724" s="1" t="s">
        <v>408</v>
      </c>
      <c r="E724" s="2">
        <v>45821</v>
      </c>
      <c r="F724" s="2">
        <v>45814</v>
      </c>
      <c r="G724" s="1" t="s">
        <v>4008</v>
      </c>
      <c r="H724" s="3" t="s">
        <v>25</v>
      </c>
      <c r="I724" s="1" t="s">
        <v>3984</v>
      </c>
      <c r="J724" s="1" t="s">
        <v>12</v>
      </c>
      <c r="K724" s="3" t="s">
        <v>3995</v>
      </c>
      <c r="L724" s="1" t="s">
        <v>3987</v>
      </c>
      <c r="M724" s="1" t="s">
        <v>3996</v>
      </c>
      <c r="N724" s="1" t="s">
        <v>13</v>
      </c>
      <c r="O724" s="1" t="s">
        <v>3996</v>
      </c>
      <c r="P724" s="1" t="s">
        <v>13</v>
      </c>
      <c r="Q724" s="1" t="s">
        <v>14</v>
      </c>
      <c r="R724" s="1" t="s">
        <v>37</v>
      </c>
      <c r="S724" s="1" t="s">
        <v>4009</v>
      </c>
      <c r="T724" s="4">
        <v>0.3</v>
      </c>
    </row>
    <row r="725" spans="1:20">
      <c r="A725" s="1" t="s">
        <v>3981</v>
      </c>
      <c r="B725" s="1" t="s">
        <v>301</v>
      </c>
      <c r="C725" s="1" t="s">
        <v>3982</v>
      </c>
      <c r="D725" s="1" t="s">
        <v>408</v>
      </c>
      <c r="E725" s="2">
        <v>45821</v>
      </c>
      <c r="F725" s="2">
        <v>45814</v>
      </c>
      <c r="G725" s="1" t="s">
        <v>4008</v>
      </c>
      <c r="H725" s="3" t="s">
        <v>25</v>
      </c>
      <c r="I725" s="1" t="s">
        <v>3984</v>
      </c>
      <c r="J725" s="1" t="s">
        <v>12</v>
      </c>
      <c r="K725" s="3" t="s">
        <v>3995</v>
      </c>
      <c r="L725" s="1" t="s">
        <v>3987</v>
      </c>
      <c r="M725" s="1" t="s">
        <v>3996</v>
      </c>
      <c r="N725" s="1" t="s">
        <v>13</v>
      </c>
      <c r="O725" s="1" t="s">
        <v>3996</v>
      </c>
      <c r="P725" s="1" t="s">
        <v>13</v>
      </c>
      <c r="Q725" s="1" t="s">
        <v>28</v>
      </c>
      <c r="R725" s="1" t="s">
        <v>29</v>
      </c>
      <c r="S725" s="1" t="s">
        <v>4009</v>
      </c>
      <c r="T725" s="4">
        <v>5.0999999999999996</v>
      </c>
    </row>
    <row r="726" spans="1:20">
      <c r="A726" s="1" t="s">
        <v>3981</v>
      </c>
      <c r="B726" s="1" t="s">
        <v>301</v>
      </c>
      <c r="C726" s="1" t="s">
        <v>3982</v>
      </c>
      <c r="D726" s="1" t="s">
        <v>408</v>
      </c>
      <c r="E726" s="2">
        <v>45821</v>
      </c>
      <c r="F726" s="2">
        <v>45814</v>
      </c>
      <c r="G726" s="1" t="s">
        <v>4008</v>
      </c>
      <c r="H726" s="3" t="s">
        <v>25</v>
      </c>
      <c r="I726" s="1" t="s">
        <v>3984</v>
      </c>
      <c r="J726" s="1" t="s">
        <v>12</v>
      </c>
      <c r="K726" s="3" t="s">
        <v>3995</v>
      </c>
      <c r="L726" s="1" t="s">
        <v>3987</v>
      </c>
      <c r="M726" s="1" t="s">
        <v>3996</v>
      </c>
      <c r="N726" s="1" t="s">
        <v>13</v>
      </c>
      <c r="O726" s="1" t="s">
        <v>3996</v>
      </c>
      <c r="P726" s="1" t="s">
        <v>13</v>
      </c>
      <c r="Q726" s="1" t="s">
        <v>44</v>
      </c>
      <c r="R726" s="1" t="s">
        <v>45</v>
      </c>
      <c r="S726" s="1" t="s">
        <v>4009</v>
      </c>
      <c r="T726" s="4">
        <v>6.7</v>
      </c>
    </row>
    <row r="727" spans="1:20">
      <c r="A727" s="1" t="s">
        <v>3981</v>
      </c>
      <c r="B727" s="1" t="s">
        <v>301</v>
      </c>
      <c r="C727" s="1" t="s">
        <v>3982</v>
      </c>
      <c r="D727" s="1" t="s">
        <v>408</v>
      </c>
      <c r="E727" s="2">
        <v>45821</v>
      </c>
      <c r="F727" s="2">
        <v>45814</v>
      </c>
      <c r="G727" s="1" t="s">
        <v>4008</v>
      </c>
      <c r="H727" s="3" t="s">
        <v>25</v>
      </c>
      <c r="I727" s="1" t="s">
        <v>3984</v>
      </c>
      <c r="J727" s="1" t="s">
        <v>12</v>
      </c>
      <c r="K727" s="3" t="s">
        <v>3995</v>
      </c>
      <c r="L727" s="1" t="s">
        <v>3987</v>
      </c>
      <c r="M727" s="1" t="s">
        <v>3996</v>
      </c>
      <c r="N727" s="1" t="s">
        <v>13</v>
      </c>
      <c r="O727" s="1" t="s">
        <v>3996</v>
      </c>
      <c r="P727" s="1" t="s">
        <v>13</v>
      </c>
      <c r="Q727" s="1" t="s">
        <v>38</v>
      </c>
      <c r="R727" s="1" t="s">
        <v>46</v>
      </c>
      <c r="S727" s="1" t="s">
        <v>4009</v>
      </c>
      <c r="T727" s="4">
        <v>1.5</v>
      </c>
    </row>
    <row r="728" spans="1:20">
      <c r="A728" s="1" t="s">
        <v>3981</v>
      </c>
      <c r="B728" s="1" t="s">
        <v>301</v>
      </c>
      <c r="C728" s="1" t="s">
        <v>3982</v>
      </c>
      <c r="D728" s="1" t="s">
        <v>408</v>
      </c>
      <c r="E728" s="2">
        <v>45821</v>
      </c>
      <c r="F728" s="2">
        <v>45814</v>
      </c>
      <c r="G728" s="1" t="s">
        <v>4008</v>
      </c>
      <c r="H728" s="3" t="s">
        <v>25</v>
      </c>
      <c r="I728" s="1" t="s">
        <v>3984</v>
      </c>
      <c r="J728" s="1" t="s">
        <v>12</v>
      </c>
      <c r="K728" s="3" t="s">
        <v>3995</v>
      </c>
      <c r="L728" s="1" t="s">
        <v>3987</v>
      </c>
      <c r="M728" s="1" t="s">
        <v>3996</v>
      </c>
      <c r="N728" s="1" t="s">
        <v>13</v>
      </c>
      <c r="O728" s="1" t="s">
        <v>3996</v>
      </c>
      <c r="P728" s="1" t="s">
        <v>13</v>
      </c>
      <c r="Q728" s="1" t="s">
        <v>30</v>
      </c>
      <c r="R728" s="1" t="s">
        <v>67</v>
      </c>
      <c r="S728" s="1" t="s">
        <v>4009</v>
      </c>
      <c r="T728" s="4">
        <v>5.3</v>
      </c>
    </row>
    <row r="729" spans="1:20">
      <c r="A729" s="1" t="s">
        <v>3981</v>
      </c>
      <c r="B729" s="1" t="s">
        <v>301</v>
      </c>
      <c r="C729" s="1" t="s">
        <v>3982</v>
      </c>
      <c r="D729" s="1" t="s">
        <v>408</v>
      </c>
      <c r="E729" s="2">
        <v>45821</v>
      </c>
      <c r="F729" s="2">
        <v>45814</v>
      </c>
      <c r="G729" s="1" t="s">
        <v>4008</v>
      </c>
      <c r="H729" s="3" t="s">
        <v>25</v>
      </c>
      <c r="I729" s="1" t="s">
        <v>3984</v>
      </c>
      <c r="J729" s="1" t="s">
        <v>12</v>
      </c>
      <c r="K729" s="3" t="s">
        <v>3995</v>
      </c>
      <c r="L729" s="1" t="s">
        <v>3987</v>
      </c>
      <c r="M729" s="1" t="s">
        <v>3996</v>
      </c>
      <c r="N729" s="1" t="s">
        <v>13</v>
      </c>
      <c r="O729" s="1" t="s">
        <v>3996</v>
      </c>
      <c r="P729" s="1" t="s">
        <v>13</v>
      </c>
      <c r="Q729" s="1" t="s">
        <v>30</v>
      </c>
      <c r="R729" s="1" t="s">
        <v>62</v>
      </c>
      <c r="S729" s="1" t="s">
        <v>4009</v>
      </c>
      <c r="T729" s="4">
        <v>3</v>
      </c>
    </row>
    <row r="730" spans="1:20">
      <c r="A730" s="1" t="s">
        <v>3981</v>
      </c>
      <c r="B730" s="1" t="s">
        <v>301</v>
      </c>
      <c r="C730" s="1" t="s">
        <v>3982</v>
      </c>
      <c r="D730" s="1" t="s">
        <v>408</v>
      </c>
      <c r="E730" s="2">
        <v>45821</v>
      </c>
      <c r="F730" s="2">
        <v>45814</v>
      </c>
      <c r="G730" s="1" t="s">
        <v>4008</v>
      </c>
      <c r="H730" s="3" t="s">
        <v>25</v>
      </c>
      <c r="I730" s="1" t="s">
        <v>3984</v>
      </c>
      <c r="J730" s="1" t="s">
        <v>12</v>
      </c>
      <c r="K730" s="3" t="s">
        <v>3995</v>
      </c>
      <c r="L730" s="1" t="s">
        <v>3987</v>
      </c>
      <c r="M730" s="1" t="s">
        <v>3996</v>
      </c>
      <c r="N730" s="1" t="s">
        <v>13</v>
      </c>
      <c r="O730" s="1" t="s">
        <v>3996</v>
      </c>
      <c r="P730" s="1" t="s">
        <v>13</v>
      </c>
      <c r="Q730" s="1" t="s">
        <v>30</v>
      </c>
      <c r="R730" s="1" t="s">
        <v>81</v>
      </c>
      <c r="S730" s="1" t="s">
        <v>4009</v>
      </c>
      <c r="T730" s="4">
        <v>0.5</v>
      </c>
    </row>
    <row r="731" spans="1:20">
      <c r="A731" s="1" t="s">
        <v>3981</v>
      </c>
      <c r="B731" s="1" t="s">
        <v>301</v>
      </c>
      <c r="C731" s="1" t="s">
        <v>3982</v>
      </c>
      <c r="D731" s="1" t="s">
        <v>408</v>
      </c>
      <c r="E731" s="2">
        <v>45821</v>
      </c>
      <c r="F731" s="2">
        <v>45814</v>
      </c>
      <c r="G731" s="1" t="s">
        <v>4008</v>
      </c>
      <c r="H731" s="3" t="s">
        <v>25</v>
      </c>
      <c r="I731" s="1" t="s">
        <v>3984</v>
      </c>
      <c r="J731" s="1" t="s">
        <v>12</v>
      </c>
      <c r="K731" s="3" t="s">
        <v>3995</v>
      </c>
      <c r="L731" s="1" t="s">
        <v>3987</v>
      </c>
      <c r="M731" s="1" t="s">
        <v>3996</v>
      </c>
      <c r="N731" s="1" t="s">
        <v>13</v>
      </c>
      <c r="O731" s="1" t="s">
        <v>3996</v>
      </c>
      <c r="P731" s="1" t="s">
        <v>13</v>
      </c>
      <c r="Q731" s="1" t="s">
        <v>30</v>
      </c>
      <c r="R731" s="1" t="s">
        <v>68</v>
      </c>
      <c r="S731" s="1" t="s">
        <v>4009</v>
      </c>
      <c r="T731" s="4">
        <v>4.2</v>
      </c>
    </row>
    <row r="732" spans="1:20">
      <c r="A732" s="1" t="s">
        <v>3981</v>
      </c>
      <c r="B732" s="1" t="s">
        <v>301</v>
      </c>
      <c r="C732" s="1" t="s">
        <v>3982</v>
      </c>
      <c r="D732" s="1" t="s">
        <v>408</v>
      </c>
      <c r="E732" s="2">
        <v>45821</v>
      </c>
      <c r="F732" s="2">
        <v>45814</v>
      </c>
      <c r="G732" s="1" t="s">
        <v>4008</v>
      </c>
      <c r="H732" s="3" t="s">
        <v>25</v>
      </c>
      <c r="I732" s="1" t="s">
        <v>3984</v>
      </c>
      <c r="J732" s="1" t="s">
        <v>12</v>
      </c>
      <c r="K732" s="3" t="s">
        <v>3995</v>
      </c>
      <c r="L732" s="1" t="s">
        <v>3987</v>
      </c>
      <c r="M732" s="1" t="s">
        <v>4072</v>
      </c>
      <c r="N732" s="1" t="s">
        <v>13</v>
      </c>
      <c r="O732" s="1" t="s">
        <v>4072</v>
      </c>
      <c r="P732" s="1" t="s">
        <v>13</v>
      </c>
      <c r="Q732" s="1" t="s">
        <v>13</v>
      </c>
      <c r="R732" s="1" t="s">
        <v>13</v>
      </c>
      <c r="S732" s="1" t="s">
        <v>4009</v>
      </c>
      <c r="T732" s="4">
        <v>0.4</v>
      </c>
    </row>
    <row r="733" spans="1:20">
      <c r="A733" s="1" t="s">
        <v>3981</v>
      </c>
      <c r="B733" s="1" t="s">
        <v>301</v>
      </c>
      <c r="C733" s="1" t="s">
        <v>3982</v>
      </c>
      <c r="D733" s="1" t="s">
        <v>408</v>
      </c>
      <c r="E733" s="2">
        <v>45821</v>
      </c>
      <c r="F733" s="2">
        <v>45821</v>
      </c>
      <c r="G733" s="1" t="s">
        <v>3983</v>
      </c>
      <c r="H733" s="3" t="s">
        <v>32</v>
      </c>
      <c r="I733" s="1" t="s">
        <v>3984</v>
      </c>
      <c r="J733" s="1" t="s">
        <v>12</v>
      </c>
      <c r="K733" s="3" t="s">
        <v>3995</v>
      </c>
      <c r="L733" s="1" t="s">
        <v>3987</v>
      </c>
      <c r="M733" s="1" t="s">
        <v>3999</v>
      </c>
      <c r="N733" s="1" t="s">
        <v>13</v>
      </c>
      <c r="O733" s="1" t="s">
        <v>3999</v>
      </c>
      <c r="P733" s="1" t="s">
        <v>13</v>
      </c>
      <c r="Q733" s="1" t="s">
        <v>4044</v>
      </c>
      <c r="R733" s="1" t="s">
        <v>4037</v>
      </c>
      <c r="S733" s="1" t="s">
        <v>3989</v>
      </c>
      <c r="T733" s="4">
        <v>1</v>
      </c>
    </row>
    <row r="734" spans="1:20">
      <c r="A734" s="1" t="s">
        <v>3981</v>
      </c>
      <c r="B734" s="1" t="s">
        <v>301</v>
      </c>
      <c r="C734" s="1" t="s">
        <v>3982</v>
      </c>
      <c r="D734" s="1" t="s">
        <v>408</v>
      </c>
      <c r="E734" s="2">
        <v>45821</v>
      </c>
      <c r="F734" s="2">
        <v>45821</v>
      </c>
      <c r="G734" s="1" t="s">
        <v>3983</v>
      </c>
      <c r="H734" s="3" t="s">
        <v>32</v>
      </c>
      <c r="I734" s="1" t="s">
        <v>3984</v>
      </c>
      <c r="J734" s="1" t="s">
        <v>12</v>
      </c>
      <c r="K734" s="3" t="s">
        <v>3995</v>
      </c>
      <c r="L734" s="1" t="s">
        <v>3987</v>
      </c>
      <c r="M734" s="1" t="s">
        <v>3996</v>
      </c>
      <c r="N734" s="1" t="s">
        <v>13</v>
      </c>
      <c r="O734" s="1" t="s">
        <v>3996</v>
      </c>
      <c r="P734" s="1" t="s">
        <v>13</v>
      </c>
      <c r="Q734" s="1" t="s">
        <v>14</v>
      </c>
      <c r="R734" s="1" t="s">
        <v>78</v>
      </c>
      <c r="S734" s="1" t="s">
        <v>3989</v>
      </c>
      <c r="T734" s="4">
        <v>21</v>
      </c>
    </row>
    <row r="735" spans="1:20">
      <c r="A735" s="1" t="s">
        <v>3981</v>
      </c>
      <c r="B735" s="1" t="s">
        <v>301</v>
      </c>
      <c r="C735" s="1" t="s">
        <v>3982</v>
      </c>
      <c r="D735" s="1" t="s">
        <v>408</v>
      </c>
      <c r="E735" s="2">
        <v>45821</v>
      </c>
      <c r="F735" s="2">
        <v>45821</v>
      </c>
      <c r="G735" s="1" t="s">
        <v>3983</v>
      </c>
      <c r="H735" s="3" t="s">
        <v>32</v>
      </c>
      <c r="I735" s="1" t="s">
        <v>3984</v>
      </c>
      <c r="J735" s="1" t="s">
        <v>12</v>
      </c>
      <c r="K735" s="3" t="s">
        <v>3995</v>
      </c>
      <c r="L735" s="1" t="s">
        <v>3987</v>
      </c>
      <c r="M735" s="1" t="s">
        <v>3996</v>
      </c>
      <c r="N735" s="1" t="s">
        <v>13</v>
      </c>
      <c r="O735" s="1" t="s">
        <v>3996</v>
      </c>
      <c r="P735" s="1" t="s">
        <v>13</v>
      </c>
      <c r="Q735" s="1" t="s">
        <v>14</v>
      </c>
      <c r="R735" s="1" t="s">
        <v>82</v>
      </c>
      <c r="S735" s="1" t="s">
        <v>3989</v>
      </c>
      <c r="T735" s="4">
        <v>3</v>
      </c>
    </row>
    <row r="736" spans="1:20">
      <c r="A736" s="1" t="s">
        <v>3981</v>
      </c>
      <c r="B736" s="1" t="s">
        <v>301</v>
      </c>
      <c r="C736" s="1" t="s">
        <v>3982</v>
      </c>
      <c r="D736" s="1" t="s">
        <v>408</v>
      </c>
      <c r="E736" s="2">
        <v>45821</v>
      </c>
      <c r="F736" s="2">
        <v>45821</v>
      </c>
      <c r="G736" s="1" t="s">
        <v>3983</v>
      </c>
      <c r="H736" s="3" t="s">
        <v>32</v>
      </c>
      <c r="I736" s="1" t="s">
        <v>3984</v>
      </c>
      <c r="J736" s="1" t="s">
        <v>12</v>
      </c>
      <c r="K736" s="3" t="s">
        <v>3995</v>
      </c>
      <c r="L736" s="1" t="s">
        <v>3987</v>
      </c>
      <c r="M736" s="1" t="s">
        <v>3996</v>
      </c>
      <c r="N736" s="1" t="s">
        <v>13</v>
      </c>
      <c r="O736" s="1" t="s">
        <v>3996</v>
      </c>
      <c r="P736" s="1" t="s">
        <v>13</v>
      </c>
      <c r="Q736" s="1" t="s">
        <v>44</v>
      </c>
      <c r="R736" s="1" t="s">
        <v>47</v>
      </c>
      <c r="S736" s="1" t="s">
        <v>3989</v>
      </c>
      <c r="T736" s="4">
        <v>15.5</v>
      </c>
    </row>
    <row r="737" spans="1:20">
      <c r="A737" s="1" t="s">
        <v>3981</v>
      </c>
      <c r="B737" s="1" t="s">
        <v>301</v>
      </c>
      <c r="C737" s="1" t="s">
        <v>3982</v>
      </c>
      <c r="D737" s="1" t="s">
        <v>408</v>
      </c>
      <c r="E737" s="2">
        <v>45821</v>
      </c>
      <c r="F737" s="2">
        <v>45821</v>
      </c>
      <c r="G737" s="1" t="s">
        <v>3983</v>
      </c>
      <c r="H737" s="3" t="s">
        <v>32</v>
      </c>
      <c r="I737" s="1" t="s">
        <v>3984</v>
      </c>
      <c r="J737" s="1" t="s">
        <v>12</v>
      </c>
      <c r="K737" s="3" t="s">
        <v>3995</v>
      </c>
      <c r="L737" s="1" t="s">
        <v>3987</v>
      </c>
      <c r="M737" s="1" t="s">
        <v>3996</v>
      </c>
      <c r="N737" s="1" t="s">
        <v>13</v>
      </c>
      <c r="O737" s="1" t="s">
        <v>3996</v>
      </c>
      <c r="P737" s="1" t="s">
        <v>13</v>
      </c>
      <c r="Q737" s="1" t="s">
        <v>30</v>
      </c>
      <c r="R737" s="1" t="s">
        <v>67</v>
      </c>
      <c r="S737" s="1" t="s">
        <v>3989</v>
      </c>
      <c r="T737" s="4">
        <v>0.5</v>
      </c>
    </row>
    <row r="738" spans="1:20">
      <c r="A738" s="1" t="s">
        <v>3981</v>
      </c>
      <c r="B738" s="1" t="s">
        <v>301</v>
      </c>
      <c r="C738" s="1" t="s">
        <v>3982</v>
      </c>
      <c r="D738" s="1" t="s">
        <v>408</v>
      </c>
      <c r="E738" s="2">
        <v>45821</v>
      </c>
      <c r="F738" s="2">
        <v>45821</v>
      </c>
      <c r="G738" s="1" t="s">
        <v>3990</v>
      </c>
      <c r="H738" s="3" t="s">
        <v>11</v>
      </c>
      <c r="I738" s="1" t="s">
        <v>3984</v>
      </c>
      <c r="J738" s="1" t="s">
        <v>3985</v>
      </c>
      <c r="K738" s="3" t="s">
        <v>3986</v>
      </c>
      <c r="L738" s="1" t="s">
        <v>3987</v>
      </c>
      <c r="M738" s="1" t="s">
        <v>13</v>
      </c>
      <c r="N738" s="1" t="s">
        <v>13</v>
      </c>
      <c r="O738" s="1" t="s">
        <v>3988</v>
      </c>
      <c r="P738" s="1" t="s">
        <v>13</v>
      </c>
      <c r="Q738" s="1" t="s">
        <v>13</v>
      </c>
      <c r="R738" s="1" t="s">
        <v>13</v>
      </c>
      <c r="S738" s="1" t="s">
        <v>3994</v>
      </c>
      <c r="T738" s="4">
        <v>7.4</v>
      </c>
    </row>
    <row r="739" spans="1:20">
      <c r="A739" s="1" t="s">
        <v>3981</v>
      </c>
      <c r="B739" s="1" t="s">
        <v>301</v>
      </c>
      <c r="C739" s="1" t="s">
        <v>3982</v>
      </c>
      <c r="D739" s="1" t="s">
        <v>408</v>
      </c>
      <c r="E739" s="2">
        <v>45821</v>
      </c>
      <c r="F739" s="2">
        <v>45821</v>
      </c>
      <c r="G739" s="1" t="s">
        <v>3990</v>
      </c>
      <c r="H739" s="3" t="s">
        <v>11</v>
      </c>
      <c r="I739" s="1" t="s">
        <v>3984</v>
      </c>
      <c r="J739" s="1" t="s">
        <v>12</v>
      </c>
      <c r="K739" s="3" t="s">
        <v>3995</v>
      </c>
      <c r="L739" s="1" t="s">
        <v>3987</v>
      </c>
      <c r="M739" s="1" t="s">
        <v>3996</v>
      </c>
      <c r="N739" s="1" t="s">
        <v>13</v>
      </c>
      <c r="O739" s="1" t="s">
        <v>3996</v>
      </c>
      <c r="P739" s="1" t="s">
        <v>13</v>
      </c>
      <c r="Q739" s="1" t="s">
        <v>83</v>
      </c>
      <c r="R739" s="1" t="s">
        <v>84</v>
      </c>
      <c r="S739" s="1" t="s">
        <v>3994</v>
      </c>
      <c r="T739" s="4">
        <v>2.6</v>
      </c>
    </row>
    <row r="740" spans="1:20">
      <c r="A740" s="1" t="s">
        <v>3981</v>
      </c>
      <c r="B740" s="1" t="s">
        <v>301</v>
      </c>
      <c r="C740" s="1" t="s">
        <v>3982</v>
      </c>
      <c r="D740" s="1" t="s">
        <v>408</v>
      </c>
      <c r="E740" s="2">
        <v>45821</v>
      </c>
      <c r="F740" s="2">
        <v>45821</v>
      </c>
      <c r="G740" s="1" t="s">
        <v>3990</v>
      </c>
      <c r="H740" s="3" t="s">
        <v>11</v>
      </c>
      <c r="I740" s="1" t="s">
        <v>3984</v>
      </c>
      <c r="J740" s="1" t="s">
        <v>12</v>
      </c>
      <c r="K740" s="3" t="s">
        <v>3995</v>
      </c>
      <c r="L740" s="1" t="s">
        <v>3987</v>
      </c>
      <c r="M740" s="1" t="s">
        <v>3996</v>
      </c>
      <c r="N740" s="1" t="s">
        <v>13</v>
      </c>
      <c r="O740" s="1" t="s">
        <v>3996</v>
      </c>
      <c r="P740" s="1" t="s">
        <v>13</v>
      </c>
      <c r="Q740" s="1" t="s">
        <v>14</v>
      </c>
      <c r="R740" s="1" t="s">
        <v>79</v>
      </c>
      <c r="S740" s="1" t="s">
        <v>3994</v>
      </c>
      <c r="T740" s="4">
        <v>0.7</v>
      </c>
    </row>
    <row r="741" spans="1:20">
      <c r="A741" s="1" t="s">
        <v>3981</v>
      </c>
      <c r="B741" s="1" t="s">
        <v>301</v>
      </c>
      <c r="C741" s="1" t="s">
        <v>3982</v>
      </c>
      <c r="D741" s="1" t="s">
        <v>408</v>
      </c>
      <c r="E741" s="2">
        <v>45821</v>
      </c>
      <c r="F741" s="2">
        <v>45821</v>
      </c>
      <c r="G741" s="1" t="s">
        <v>3990</v>
      </c>
      <c r="H741" s="3" t="s">
        <v>11</v>
      </c>
      <c r="I741" s="1" t="s">
        <v>3984</v>
      </c>
      <c r="J741" s="1" t="s">
        <v>12</v>
      </c>
      <c r="K741" s="3" t="s">
        <v>3995</v>
      </c>
      <c r="L741" s="1" t="s">
        <v>3987</v>
      </c>
      <c r="M741" s="1" t="s">
        <v>3996</v>
      </c>
      <c r="N741" s="1" t="s">
        <v>13</v>
      </c>
      <c r="O741" s="1" t="s">
        <v>3996</v>
      </c>
      <c r="P741" s="1" t="s">
        <v>13</v>
      </c>
      <c r="Q741" s="1" t="s">
        <v>14</v>
      </c>
      <c r="R741" s="1" t="s">
        <v>15</v>
      </c>
      <c r="S741" s="1" t="s">
        <v>3994</v>
      </c>
      <c r="T741" s="4">
        <v>0.7</v>
      </c>
    </row>
    <row r="742" spans="1:20">
      <c r="A742" s="1" t="s">
        <v>3981</v>
      </c>
      <c r="B742" s="1" t="s">
        <v>301</v>
      </c>
      <c r="C742" s="1" t="s">
        <v>3982</v>
      </c>
      <c r="D742" s="1" t="s">
        <v>408</v>
      </c>
      <c r="E742" s="2">
        <v>45821</v>
      </c>
      <c r="F742" s="2">
        <v>45821</v>
      </c>
      <c r="G742" s="1" t="s">
        <v>3990</v>
      </c>
      <c r="H742" s="3" t="s">
        <v>11</v>
      </c>
      <c r="I742" s="1" t="s">
        <v>3984</v>
      </c>
      <c r="J742" s="1" t="s">
        <v>12</v>
      </c>
      <c r="K742" s="3" t="s">
        <v>3995</v>
      </c>
      <c r="L742" s="1" t="s">
        <v>3987</v>
      </c>
      <c r="M742" s="1" t="s">
        <v>3996</v>
      </c>
      <c r="N742" s="1" t="s">
        <v>13</v>
      </c>
      <c r="O742" s="1" t="s">
        <v>3996</v>
      </c>
      <c r="P742" s="1" t="s">
        <v>13</v>
      </c>
      <c r="Q742" s="1" t="s">
        <v>44</v>
      </c>
      <c r="R742" s="1" t="s">
        <v>47</v>
      </c>
      <c r="S742" s="1" t="s">
        <v>3994</v>
      </c>
      <c r="T742" s="4">
        <v>3.3</v>
      </c>
    </row>
    <row r="743" spans="1:20">
      <c r="A743" s="1" t="s">
        <v>3981</v>
      </c>
      <c r="B743" s="1" t="s">
        <v>301</v>
      </c>
      <c r="C743" s="1" t="s">
        <v>3982</v>
      </c>
      <c r="D743" s="1" t="s">
        <v>408</v>
      </c>
      <c r="E743" s="2">
        <v>45821</v>
      </c>
      <c r="F743" s="2">
        <v>45821</v>
      </c>
      <c r="G743" s="1" t="s">
        <v>3990</v>
      </c>
      <c r="H743" s="3" t="s">
        <v>11</v>
      </c>
      <c r="I743" s="1" t="s">
        <v>3984</v>
      </c>
      <c r="J743" s="1" t="s">
        <v>12</v>
      </c>
      <c r="K743" s="3" t="s">
        <v>3995</v>
      </c>
      <c r="L743" s="1" t="s">
        <v>3987</v>
      </c>
      <c r="M743" s="1" t="s">
        <v>3996</v>
      </c>
      <c r="N743" s="1" t="s">
        <v>13</v>
      </c>
      <c r="O743" s="1" t="s">
        <v>3996</v>
      </c>
      <c r="P743" s="1" t="s">
        <v>13</v>
      </c>
      <c r="Q743" s="1" t="s">
        <v>44</v>
      </c>
      <c r="R743" s="1" t="s">
        <v>45</v>
      </c>
      <c r="S743" s="1" t="s">
        <v>3994</v>
      </c>
      <c r="T743" s="4">
        <v>3.6</v>
      </c>
    </row>
    <row r="744" spans="1:20">
      <c r="A744" s="1" t="s">
        <v>3981</v>
      </c>
      <c r="B744" s="1" t="s">
        <v>301</v>
      </c>
      <c r="C744" s="1" t="s">
        <v>3982</v>
      </c>
      <c r="D744" s="1" t="s">
        <v>408</v>
      </c>
      <c r="E744" s="2">
        <v>45821</v>
      </c>
      <c r="F744" s="2">
        <v>45821</v>
      </c>
      <c r="G744" s="1" t="s">
        <v>3990</v>
      </c>
      <c r="H744" s="3" t="s">
        <v>11</v>
      </c>
      <c r="I744" s="1" t="s">
        <v>3984</v>
      </c>
      <c r="J744" s="1" t="s">
        <v>12</v>
      </c>
      <c r="K744" s="3" t="s">
        <v>3995</v>
      </c>
      <c r="L744" s="1" t="s">
        <v>3987</v>
      </c>
      <c r="M744" s="1" t="s">
        <v>3996</v>
      </c>
      <c r="N744" s="1" t="s">
        <v>13</v>
      </c>
      <c r="O744" s="1" t="s">
        <v>3996</v>
      </c>
      <c r="P744" s="1" t="s">
        <v>13</v>
      </c>
      <c r="Q744" s="1" t="s">
        <v>16</v>
      </c>
      <c r="R744" s="1" t="s">
        <v>40</v>
      </c>
      <c r="S744" s="1" t="s">
        <v>3994</v>
      </c>
      <c r="T744" s="4">
        <v>16</v>
      </c>
    </row>
    <row r="745" spans="1:20">
      <c r="A745" s="1" t="s">
        <v>3981</v>
      </c>
      <c r="B745" s="1" t="s">
        <v>301</v>
      </c>
      <c r="C745" s="1" t="s">
        <v>3982</v>
      </c>
      <c r="D745" s="1" t="s">
        <v>408</v>
      </c>
      <c r="E745" s="2">
        <v>45821</v>
      </c>
      <c r="F745" s="2">
        <v>45821</v>
      </c>
      <c r="G745" s="1" t="s">
        <v>3990</v>
      </c>
      <c r="H745" s="3" t="s">
        <v>11</v>
      </c>
      <c r="I745" s="1" t="s">
        <v>3984</v>
      </c>
      <c r="J745" s="1" t="s">
        <v>12</v>
      </c>
      <c r="K745" s="3" t="s">
        <v>3995</v>
      </c>
      <c r="L745" s="1" t="s">
        <v>3987</v>
      </c>
      <c r="M745" s="1" t="s">
        <v>3996</v>
      </c>
      <c r="N745" s="1" t="s">
        <v>13</v>
      </c>
      <c r="O745" s="1" t="s">
        <v>3996</v>
      </c>
      <c r="P745" s="1" t="s">
        <v>13</v>
      </c>
      <c r="Q745" s="1" t="s">
        <v>16</v>
      </c>
      <c r="R745" s="1" t="s">
        <v>85</v>
      </c>
      <c r="S745" s="1" t="s">
        <v>3994</v>
      </c>
      <c r="T745" s="4">
        <v>3.7</v>
      </c>
    </row>
    <row r="746" spans="1:20">
      <c r="A746" s="1" t="s">
        <v>3981</v>
      </c>
      <c r="B746" s="1" t="s">
        <v>301</v>
      </c>
      <c r="C746" s="1" t="s">
        <v>3982</v>
      </c>
      <c r="D746" s="1" t="s">
        <v>408</v>
      </c>
      <c r="E746" s="2">
        <v>45821</v>
      </c>
      <c r="F746" s="2">
        <v>45821</v>
      </c>
      <c r="G746" s="1" t="s">
        <v>3990</v>
      </c>
      <c r="H746" s="3" t="s">
        <v>11</v>
      </c>
      <c r="I746" s="1" t="s">
        <v>3984</v>
      </c>
      <c r="J746" s="1" t="s">
        <v>12</v>
      </c>
      <c r="K746" s="3" t="s">
        <v>3995</v>
      </c>
      <c r="L746" s="1" t="s">
        <v>3987</v>
      </c>
      <c r="M746" s="1" t="s">
        <v>3996</v>
      </c>
      <c r="N746" s="1" t="s">
        <v>13</v>
      </c>
      <c r="O746" s="1" t="s">
        <v>3996</v>
      </c>
      <c r="P746" s="1" t="s">
        <v>13</v>
      </c>
      <c r="Q746" s="1" t="s">
        <v>30</v>
      </c>
      <c r="R746" s="1" t="s">
        <v>67</v>
      </c>
      <c r="S746" s="1" t="s">
        <v>3994</v>
      </c>
      <c r="T746" s="4">
        <v>1</v>
      </c>
    </row>
    <row r="747" spans="1:20">
      <c r="A747" s="1" t="s">
        <v>3981</v>
      </c>
      <c r="B747" s="1" t="s">
        <v>301</v>
      </c>
      <c r="C747" s="1" t="s">
        <v>3982</v>
      </c>
      <c r="D747" s="1" t="s">
        <v>408</v>
      </c>
      <c r="E747" s="2">
        <v>45821</v>
      </c>
      <c r="F747" s="2">
        <v>45821</v>
      </c>
      <c r="G747" s="1" t="s">
        <v>3990</v>
      </c>
      <c r="H747" s="3" t="s">
        <v>11</v>
      </c>
      <c r="I747" s="1" t="s">
        <v>3984</v>
      </c>
      <c r="J747" s="1" t="s">
        <v>12</v>
      </c>
      <c r="K747" s="3" t="s">
        <v>3995</v>
      </c>
      <c r="L747" s="1" t="s">
        <v>3987</v>
      </c>
      <c r="M747" s="1" t="s">
        <v>4069</v>
      </c>
      <c r="N747" s="1" t="s">
        <v>13</v>
      </c>
      <c r="O747" s="1" t="s">
        <v>4069</v>
      </c>
      <c r="P747" s="1" t="s">
        <v>13</v>
      </c>
      <c r="Q747" s="1" t="s">
        <v>50</v>
      </c>
      <c r="R747" s="1" t="s">
        <v>4070</v>
      </c>
      <c r="S747" s="1" t="s">
        <v>3994</v>
      </c>
      <c r="T747" s="4">
        <v>1.2</v>
      </c>
    </row>
    <row r="748" spans="1:20">
      <c r="A748" s="1" t="s">
        <v>3981</v>
      </c>
      <c r="B748" s="1" t="s">
        <v>301</v>
      </c>
      <c r="C748" s="1" t="s">
        <v>3982</v>
      </c>
      <c r="D748" s="1" t="s">
        <v>408</v>
      </c>
      <c r="E748" s="2">
        <v>45821</v>
      </c>
      <c r="F748" s="2">
        <v>45821</v>
      </c>
      <c r="G748" s="1" t="s">
        <v>3990</v>
      </c>
      <c r="H748" s="3" t="s">
        <v>11</v>
      </c>
      <c r="I748" s="1" t="s">
        <v>3984</v>
      </c>
      <c r="J748" s="1" t="s">
        <v>12</v>
      </c>
      <c r="K748" s="3" t="s">
        <v>3995</v>
      </c>
      <c r="L748" s="1" t="s">
        <v>3987</v>
      </c>
      <c r="M748" s="1" t="s">
        <v>4017</v>
      </c>
      <c r="N748" s="1" t="s">
        <v>4018</v>
      </c>
      <c r="O748" s="1" t="s">
        <v>13</v>
      </c>
      <c r="P748" s="1" t="s">
        <v>13</v>
      </c>
      <c r="Q748" s="1" t="s">
        <v>4019</v>
      </c>
      <c r="R748" s="1" t="s">
        <v>4019</v>
      </c>
      <c r="S748" s="1" t="s">
        <v>3994</v>
      </c>
      <c r="T748" s="4">
        <v>1.5</v>
      </c>
    </row>
    <row r="749" spans="1:20">
      <c r="A749" s="1" t="s">
        <v>3981</v>
      </c>
      <c r="B749" s="1" t="s">
        <v>301</v>
      </c>
      <c r="C749" s="1" t="s">
        <v>3982</v>
      </c>
      <c r="D749" s="1" t="s">
        <v>408</v>
      </c>
      <c r="E749" s="2">
        <v>45821</v>
      </c>
      <c r="F749" s="2">
        <v>45821</v>
      </c>
      <c r="G749" s="1" t="s">
        <v>3990</v>
      </c>
      <c r="H749" s="3" t="s">
        <v>11</v>
      </c>
      <c r="I749" s="1" t="s">
        <v>3984</v>
      </c>
      <c r="J749" s="1" t="s">
        <v>12</v>
      </c>
      <c r="K749" s="3" t="s">
        <v>3995</v>
      </c>
      <c r="L749" s="1" t="s">
        <v>3987</v>
      </c>
      <c r="M749" s="1" t="s">
        <v>4055</v>
      </c>
      <c r="N749" s="1" t="s">
        <v>4056</v>
      </c>
      <c r="O749" s="1" t="s">
        <v>13</v>
      </c>
      <c r="P749" s="1" t="s">
        <v>13</v>
      </c>
      <c r="Q749" s="1" t="s">
        <v>4057</v>
      </c>
      <c r="R749" s="1" t="s">
        <v>4061</v>
      </c>
      <c r="S749" s="1" t="s">
        <v>3994</v>
      </c>
      <c r="T749" s="4">
        <v>4.2</v>
      </c>
    </row>
    <row r="750" spans="1:20">
      <c r="A750" s="1" t="s">
        <v>3981</v>
      </c>
      <c r="B750" s="1" t="s">
        <v>301</v>
      </c>
      <c r="C750" s="1" t="s">
        <v>3982</v>
      </c>
      <c r="D750" s="1" t="s">
        <v>408</v>
      </c>
      <c r="E750" s="2">
        <v>45821</v>
      </c>
      <c r="F750" s="2">
        <v>45821</v>
      </c>
      <c r="G750" s="1" t="s">
        <v>3990</v>
      </c>
      <c r="H750" s="3" t="s">
        <v>11</v>
      </c>
      <c r="I750" s="1" t="s">
        <v>3984</v>
      </c>
      <c r="J750" s="1" t="s">
        <v>12</v>
      </c>
      <c r="K750" s="3" t="s">
        <v>3995</v>
      </c>
      <c r="L750" s="1" t="s">
        <v>4002</v>
      </c>
      <c r="M750" s="1" t="s">
        <v>4003</v>
      </c>
      <c r="N750" s="1" t="s">
        <v>13</v>
      </c>
      <c r="O750" s="1" t="s">
        <v>4003</v>
      </c>
      <c r="P750" s="1" t="s">
        <v>13</v>
      </c>
      <c r="Q750" s="1" t="s">
        <v>4004</v>
      </c>
      <c r="R750" s="1" t="s">
        <v>4001</v>
      </c>
      <c r="S750" s="1" t="s">
        <v>3994</v>
      </c>
      <c r="T750" s="4">
        <v>1.8</v>
      </c>
    </row>
    <row r="751" spans="1:20">
      <c r="A751" s="1" t="s">
        <v>3981</v>
      </c>
      <c r="B751" s="1" t="s">
        <v>301</v>
      </c>
      <c r="C751" s="1" t="s">
        <v>3982</v>
      </c>
      <c r="D751" s="1" t="s">
        <v>408</v>
      </c>
      <c r="E751" s="2">
        <v>45821</v>
      </c>
      <c r="F751" s="2">
        <v>45821</v>
      </c>
      <c r="G751" s="1" t="s">
        <v>3997</v>
      </c>
      <c r="H751" s="3" t="s">
        <v>41</v>
      </c>
      <c r="I751" s="1" t="s">
        <v>3984</v>
      </c>
      <c r="J751" s="1" t="s">
        <v>3985</v>
      </c>
      <c r="K751" s="3" t="s">
        <v>3986</v>
      </c>
      <c r="L751" s="1" t="s">
        <v>3987</v>
      </c>
      <c r="M751" s="1" t="s">
        <v>13</v>
      </c>
      <c r="N751" s="1" t="s">
        <v>13</v>
      </c>
      <c r="O751" s="1" t="s">
        <v>3988</v>
      </c>
      <c r="P751" s="1" t="s">
        <v>13</v>
      </c>
      <c r="Q751" s="1" t="s">
        <v>13</v>
      </c>
      <c r="R751" s="1" t="s">
        <v>13</v>
      </c>
      <c r="S751" s="1" t="s">
        <v>3998</v>
      </c>
      <c r="T751" s="4">
        <v>2</v>
      </c>
    </row>
    <row r="752" spans="1:20">
      <c r="A752" s="1" t="s">
        <v>3981</v>
      </c>
      <c r="B752" s="1" t="s">
        <v>301</v>
      </c>
      <c r="C752" s="1" t="s">
        <v>3982</v>
      </c>
      <c r="D752" s="1" t="s">
        <v>408</v>
      </c>
      <c r="E752" s="2">
        <v>45821</v>
      </c>
      <c r="F752" s="2">
        <v>45821</v>
      </c>
      <c r="G752" s="1" t="s">
        <v>3997</v>
      </c>
      <c r="H752" s="3" t="s">
        <v>41</v>
      </c>
      <c r="I752" s="1" t="s">
        <v>3984</v>
      </c>
      <c r="J752" s="1" t="s">
        <v>12</v>
      </c>
      <c r="K752" s="3" t="s">
        <v>3995</v>
      </c>
      <c r="L752" s="1" t="s">
        <v>3987</v>
      </c>
      <c r="M752" s="1" t="s">
        <v>3999</v>
      </c>
      <c r="N752" s="1" t="s">
        <v>13</v>
      </c>
      <c r="O752" s="1" t="s">
        <v>3999</v>
      </c>
      <c r="P752" s="1" t="s">
        <v>13</v>
      </c>
      <c r="Q752" s="1" t="s">
        <v>4000</v>
      </c>
      <c r="R752" s="1" t="s">
        <v>4001</v>
      </c>
      <c r="S752" s="1" t="s">
        <v>3998</v>
      </c>
      <c r="T752" s="4">
        <v>17.5</v>
      </c>
    </row>
    <row r="753" spans="1:20">
      <c r="A753" s="1" t="s">
        <v>3981</v>
      </c>
      <c r="B753" s="1" t="s">
        <v>301</v>
      </c>
      <c r="C753" s="1" t="s">
        <v>3982</v>
      </c>
      <c r="D753" s="1" t="s">
        <v>408</v>
      </c>
      <c r="E753" s="2">
        <v>45821</v>
      </c>
      <c r="F753" s="2">
        <v>45821</v>
      </c>
      <c r="G753" s="1" t="s">
        <v>3997</v>
      </c>
      <c r="H753" s="3" t="s">
        <v>41</v>
      </c>
      <c r="I753" s="1" t="s">
        <v>3984</v>
      </c>
      <c r="J753" s="1" t="s">
        <v>12</v>
      </c>
      <c r="K753" s="3" t="s">
        <v>3995</v>
      </c>
      <c r="L753" s="1" t="s">
        <v>3987</v>
      </c>
      <c r="M753" s="1" t="s">
        <v>3996</v>
      </c>
      <c r="N753" s="1" t="s">
        <v>13</v>
      </c>
      <c r="O753" s="1" t="s">
        <v>3996</v>
      </c>
      <c r="P753" s="1" t="s">
        <v>13</v>
      </c>
      <c r="Q753" s="1" t="s">
        <v>44</v>
      </c>
      <c r="R753" s="1" t="s">
        <v>47</v>
      </c>
      <c r="S753" s="1" t="s">
        <v>3998</v>
      </c>
      <c r="T753" s="4">
        <v>2</v>
      </c>
    </row>
    <row r="754" spans="1:20">
      <c r="A754" s="1" t="s">
        <v>3981</v>
      </c>
      <c r="B754" s="1" t="s">
        <v>301</v>
      </c>
      <c r="C754" s="1" t="s">
        <v>3982</v>
      </c>
      <c r="D754" s="1" t="s">
        <v>408</v>
      </c>
      <c r="E754" s="2">
        <v>45821</v>
      </c>
      <c r="F754" s="2">
        <v>45821</v>
      </c>
      <c r="G754" s="1" t="s">
        <v>3997</v>
      </c>
      <c r="H754" s="3" t="s">
        <v>41</v>
      </c>
      <c r="I754" s="1" t="s">
        <v>3984</v>
      </c>
      <c r="J754" s="1" t="s">
        <v>12</v>
      </c>
      <c r="K754" s="3" t="s">
        <v>3995</v>
      </c>
      <c r="L754" s="1" t="s">
        <v>3987</v>
      </c>
      <c r="M754" s="1" t="s">
        <v>3996</v>
      </c>
      <c r="N754" s="1" t="s">
        <v>13</v>
      </c>
      <c r="O754" s="1" t="s">
        <v>3996</v>
      </c>
      <c r="P754" s="1" t="s">
        <v>13</v>
      </c>
      <c r="Q754" s="1" t="s">
        <v>44</v>
      </c>
      <c r="R754" s="1" t="s">
        <v>48</v>
      </c>
      <c r="S754" s="1" t="s">
        <v>3998</v>
      </c>
      <c r="T754" s="4">
        <v>3.5</v>
      </c>
    </row>
    <row r="755" spans="1:20">
      <c r="A755" s="1" t="s">
        <v>3981</v>
      </c>
      <c r="B755" s="1" t="s">
        <v>301</v>
      </c>
      <c r="C755" s="1" t="s">
        <v>3982</v>
      </c>
      <c r="D755" s="1" t="s">
        <v>408</v>
      </c>
      <c r="E755" s="2">
        <v>45821</v>
      </c>
      <c r="F755" s="2">
        <v>45821</v>
      </c>
      <c r="G755" s="1" t="s">
        <v>3997</v>
      </c>
      <c r="H755" s="3" t="s">
        <v>41</v>
      </c>
      <c r="I755" s="1" t="s">
        <v>3984</v>
      </c>
      <c r="J755" s="1" t="s">
        <v>12</v>
      </c>
      <c r="K755" s="3" t="s">
        <v>3995</v>
      </c>
      <c r="L755" s="1" t="s">
        <v>3987</v>
      </c>
      <c r="M755" s="1" t="s">
        <v>3996</v>
      </c>
      <c r="N755" s="1" t="s">
        <v>13</v>
      </c>
      <c r="O755" s="1" t="s">
        <v>3996</v>
      </c>
      <c r="P755" s="1" t="s">
        <v>13</v>
      </c>
      <c r="Q755" s="1" t="s">
        <v>30</v>
      </c>
      <c r="R755" s="1" t="s">
        <v>67</v>
      </c>
      <c r="S755" s="1" t="s">
        <v>3998</v>
      </c>
      <c r="T755" s="4">
        <v>0.5</v>
      </c>
    </row>
    <row r="756" spans="1:20">
      <c r="A756" s="1" t="s">
        <v>3981</v>
      </c>
      <c r="B756" s="1" t="s">
        <v>301</v>
      </c>
      <c r="C756" s="1" t="s">
        <v>3982</v>
      </c>
      <c r="D756" s="1" t="s">
        <v>408</v>
      </c>
      <c r="E756" s="2">
        <v>45821</v>
      </c>
      <c r="F756" s="2">
        <v>45821</v>
      </c>
      <c r="G756" s="1" t="s">
        <v>3997</v>
      </c>
      <c r="H756" s="3" t="s">
        <v>41</v>
      </c>
      <c r="I756" s="1" t="s">
        <v>3984</v>
      </c>
      <c r="J756" s="1" t="s">
        <v>12</v>
      </c>
      <c r="K756" s="3" t="s">
        <v>3995</v>
      </c>
      <c r="L756" s="1" t="s">
        <v>4002</v>
      </c>
      <c r="M756" s="1" t="s">
        <v>4003</v>
      </c>
      <c r="N756" s="1" t="s">
        <v>13</v>
      </c>
      <c r="O756" s="1" t="s">
        <v>4003</v>
      </c>
      <c r="P756" s="1" t="s">
        <v>13</v>
      </c>
      <c r="Q756" s="1" t="s">
        <v>4004</v>
      </c>
      <c r="R756" s="1" t="s">
        <v>4001</v>
      </c>
      <c r="S756" s="1" t="s">
        <v>3998</v>
      </c>
      <c r="T756" s="4">
        <v>21</v>
      </c>
    </row>
    <row r="757" spans="1:20">
      <c r="A757" s="1" t="s">
        <v>3981</v>
      </c>
      <c r="B757" s="1" t="s">
        <v>301</v>
      </c>
      <c r="C757" s="1" t="s">
        <v>3982</v>
      </c>
      <c r="D757" s="1" t="s">
        <v>408</v>
      </c>
      <c r="E757" s="2">
        <v>45821</v>
      </c>
      <c r="F757" s="2">
        <v>45821</v>
      </c>
      <c r="G757" s="1" t="s">
        <v>4005</v>
      </c>
      <c r="H757" s="3" t="s">
        <v>21</v>
      </c>
      <c r="I757" s="1" t="s">
        <v>3984</v>
      </c>
      <c r="J757" s="1" t="s">
        <v>12</v>
      </c>
      <c r="K757" s="3" t="s">
        <v>3995</v>
      </c>
      <c r="L757" s="1" t="s">
        <v>3987</v>
      </c>
      <c r="M757" s="1" t="s">
        <v>3996</v>
      </c>
      <c r="N757" s="1" t="s">
        <v>13</v>
      </c>
      <c r="O757" s="1" t="s">
        <v>3996</v>
      </c>
      <c r="P757" s="1" t="s">
        <v>13</v>
      </c>
      <c r="Q757" s="1" t="s">
        <v>14</v>
      </c>
      <c r="R757" s="1" t="s">
        <v>24</v>
      </c>
      <c r="S757" s="1" t="s">
        <v>4007</v>
      </c>
      <c r="T757" s="4">
        <v>2.8</v>
      </c>
    </row>
    <row r="758" spans="1:20">
      <c r="A758" s="1" t="s">
        <v>3981</v>
      </c>
      <c r="B758" s="1" t="s">
        <v>301</v>
      </c>
      <c r="C758" s="1" t="s">
        <v>3982</v>
      </c>
      <c r="D758" s="1" t="s">
        <v>408</v>
      </c>
      <c r="E758" s="2">
        <v>45821</v>
      </c>
      <c r="F758" s="2">
        <v>45821</v>
      </c>
      <c r="G758" s="1" t="s">
        <v>4005</v>
      </c>
      <c r="H758" s="3" t="s">
        <v>21</v>
      </c>
      <c r="I758" s="1" t="s">
        <v>3984</v>
      </c>
      <c r="J758" s="1" t="s">
        <v>12</v>
      </c>
      <c r="K758" s="3" t="s">
        <v>3995</v>
      </c>
      <c r="L758" s="1" t="s">
        <v>3987</v>
      </c>
      <c r="M758" s="1" t="s">
        <v>3996</v>
      </c>
      <c r="N758" s="1" t="s">
        <v>13</v>
      </c>
      <c r="O758" s="1" t="s">
        <v>3996</v>
      </c>
      <c r="P758" s="1" t="s">
        <v>13</v>
      </c>
      <c r="Q758" s="1" t="s">
        <v>14</v>
      </c>
      <c r="R758" s="1" t="s">
        <v>23</v>
      </c>
      <c r="S758" s="1" t="s">
        <v>4007</v>
      </c>
      <c r="T758" s="4">
        <v>7.1</v>
      </c>
    </row>
    <row r="759" spans="1:20">
      <c r="A759" s="1" t="s">
        <v>3981</v>
      </c>
      <c r="B759" s="1" t="s">
        <v>301</v>
      </c>
      <c r="C759" s="1" t="s">
        <v>3982</v>
      </c>
      <c r="D759" s="1" t="s">
        <v>408</v>
      </c>
      <c r="E759" s="2">
        <v>45821</v>
      </c>
      <c r="F759" s="2">
        <v>45821</v>
      </c>
      <c r="G759" s="1" t="s">
        <v>4005</v>
      </c>
      <c r="H759" s="3" t="s">
        <v>21</v>
      </c>
      <c r="I759" s="1" t="s">
        <v>3984</v>
      </c>
      <c r="J759" s="1" t="s">
        <v>12</v>
      </c>
      <c r="K759" s="3" t="s">
        <v>3995</v>
      </c>
      <c r="L759" s="1" t="s">
        <v>3987</v>
      </c>
      <c r="M759" s="1" t="s">
        <v>3996</v>
      </c>
      <c r="N759" s="1" t="s">
        <v>13</v>
      </c>
      <c r="O759" s="1" t="s">
        <v>3996</v>
      </c>
      <c r="P759" s="1" t="s">
        <v>13</v>
      </c>
      <c r="Q759" s="1" t="s">
        <v>14</v>
      </c>
      <c r="R759" s="1" t="s">
        <v>80</v>
      </c>
      <c r="S759" s="1" t="s">
        <v>4007</v>
      </c>
      <c r="T759" s="4">
        <v>11</v>
      </c>
    </row>
    <row r="760" spans="1:20">
      <c r="A760" s="1" t="s">
        <v>3981</v>
      </c>
      <c r="B760" s="1" t="s">
        <v>301</v>
      </c>
      <c r="C760" s="1" t="s">
        <v>3982</v>
      </c>
      <c r="D760" s="1" t="s">
        <v>408</v>
      </c>
      <c r="E760" s="2">
        <v>45821</v>
      </c>
      <c r="F760" s="2">
        <v>45821</v>
      </c>
      <c r="G760" s="1" t="s">
        <v>4005</v>
      </c>
      <c r="H760" s="3" t="s">
        <v>21</v>
      </c>
      <c r="I760" s="1" t="s">
        <v>3984</v>
      </c>
      <c r="J760" s="1" t="s">
        <v>12</v>
      </c>
      <c r="K760" s="3" t="s">
        <v>3995</v>
      </c>
      <c r="L760" s="1" t="s">
        <v>3987</v>
      </c>
      <c r="M760" s="1" t="s">
        <v>3996</v>
      </c>
      <c r="N760" s="1" t="s">
        <v>13</v>
      </c>
      <c r="O760" s="1" t="s">
        <v>3996</v>
      </c>
      <c r="P760" s="1" t="s">
        <v>13</v>
      </c>
      <c r="Q760" s="1" t="s">
        <v>14</v>
      </c>
      <c r="R760" s="1" t="s">
        <v>77</v>
      </c>
      <c r="S760" s="1" t="s">
        <v>4007</v>
      </c>
      <c r="T760" s="4">
        <v>16.100000000000001</v>
      </c>
    </row>
    <row r="761" spans="1:20">
      <c r="A761" s="1" t="s">
        <v>3981</v>
      </c>
      <c r="B761" s="1" t="s">
        <v>301</v>
      </c>
      <c r="C761" s="1" t="s">
        <v>3982</v>
      </c>
      <c r="D761" s="1" t="s">
        <v>408</v>
      </c>
      <c r="E761" s="2">
        <v>45821</v>
      </c>
      <c r="F761" s="2">
        <v>45821</v>
      </c>
      <c r="G761" s="1" t="s">
        <v>4005</v>
      </c>
      <c r="H761" s="3" t="s">
        <v>21</v>
      </c>
      <c r="I761" s="1" t="s">
        <v>3984</v>
      </c>
      <c r="J761" s="1" t="s">
        <v>12</v>
      </c>
      <c r="K761" s="3" t="s">
        <v>3995</v>
      </c>
      <c r="L761" s="1" t="s">
        <v>3987</v>
      </c>
      <c r="M761" s="1" t="s">
        <v>3996</v>
      </c>
      <c r="N761" s="1" t="s">
        <v>13</v>
      </c>
      <c r="O761" s="1" t="s">
        <v>3996</v>
      </c>
      <c r="P761" s="1" t="s">
        <v>13</v>
      </c>
      <c r="Q761" s="1" t="s">
        <v>28</v>
      </c>
      <c r="R761" s="1" t="s">
        <v>29</v>
      </c>
      <c r="S761" s="1" t="s">
        <v>4007</v>
      </c>
      <c r="T761" s="4">
        <v>4.3</v>
      </c>
    </row>
    <row r="762" spans="1:20">
      <c r="A762" s="1" t="s">
        <v>3981</v>
      </c>
      <c r="B762" s="1" t="s">
        <v>301</v>
      </c>
      <c r="C762" s="1" t="s">
        <v>3982</v>
      </c>
      <c r="D762" s="1" t="s">
        <v>408</v>
      </c>
      <c r="E762" s="2">
        <v>45821</v>
      </c>
      <c r="F762" s="2">
        <v>45821</v>
      </c>
      <c r="G762" s="1" t="s">
        <v>4008</v>
      </c>
      <c r="H762" s="3" t="s">
        <v>25</v>
      </c>
      <c r="I762" s="1" t="s">
        <v>3984</v>
      </c>
      <c r="J762" s="1" t="s">
        <v>12</v>
      </c>
      <c r="K762" s="3" t="s">
        <v>3995</v>
      </c>
      <c r="L762" s="1" t="s">
        <v>4013</v>
      </c>
      <c r="M762" s="1" t="s">
        <v>4042</v>
      </c>
      <c r="N762" s="1" t="s">
        <v>4043</v>
      </c>
      <c r="O762" s="1" t="s">
        <v>13</v>
      </c>
      <c r="P762" s="1" t="s">
        <v>13</v>
      </c>
      <c r="Q762" s="1" t="s">
        <v>13</v>
      </c>
      <c r="R762" s="1" t="s">
        <v>13</v>
      </c>
      <c r="S762" s="1" t="s">
        <v>4009</v>
      </c>
      <c r="T762" s="4">
        <v>1.3</v>
      </c>
    </row>
    <row r="763" spans="1:20">
      <c r="A763" s="1" t="s">
        <v>3981</v>
      </c>
      <c r="B763" s="1" t="s">
        <v>301</v>
      </c>
      <c r="C763" s="1" t="s">
        <v>3982</v>
      </c>
      <c r="D763" s="1" t="s">
        <v>408</v>
      </c>
      <c r="E763" s="2">
        <v>45821</v>
      </c>
      <c r="F763" s="2">
        <v>45821</v>
      </c>
      <c r="G763" s="1" t="s">
        <v>4008</v>
      </c>
      <c r="H763" s="3" t="s">
        <v>25</v>
      </c>
      <c r="I763" s="1" t="s">
        <v>3984</v>
      </c>
      <c r="J763" s="1" t="s">
        <v>12</v>
      </c>
      <c r="K763" s="3" t="s">
        <v>3995</v>
      </c>
      <c r="L763" s="1" t="s">
        <v>4013</v>
      </c>
      <c r="M763" s="1" t="s">
        <v>4035</v>
      </c>
      <c r="N763" s="1" t="s">
        <v>4036</v>
      </c>
      <c r="O763" s="1" t="s">
        <v>13</v>
      </c>
      <c r="P763" s="1" t="s">
        <v>13</v>
      </c>
      <c r="Q763" s="1" t="s">
        <v>13</v>
      </c>
      <c r="R763" s="1" t="s">
        <v>13</v>
      </c>
      <c r="S763" s="1" t="s">
        <v>4009</v>
      </c>
      <c r="T763" s="4">
        <v>0.2</v>
      </c>
    </row>
    <row r="764" spans="1:20">
      <c r="A764" s="1" t="s">
        <v>3981</v>
      </c>
      <c r="B764" s="1" t="s">
        <v>301</v>
      </c>
      <c r="C764" s="1" t="s">
        <v>3982</v>
      </c>
      <c r="D764" s="1" t="s">
        <v>408</v>
      </c>
      <c r="E764" s="2">
        <v>45821</v>
      </c>
      <c r="F764" s="2">
        <v>45821</v>
      </c>
      <c r="G764" s="1" t="s">
        <v>4008</v>
      </c>
      <c r="H764" s="3" t="s">
        <v>25</v>
      </c>
      <c r="I764" s="1" t="s">
        <v>3984</v>
      </c>
      <c r="J764" s="1" t="s">
        <v>12</v>
      </c>
      <c r="K764" s="3" t="s">
        <v>3995</v>
      </c>
      <c r="L764" s="1" t="s">
        <v>3987</v>
      </c>
      <c r="M764" s="1" t="s">
        <v>3996</v>
      </c>
      <c r="N764" s="1" t="s">
        <v>13</v>
      </c>
      <c r="O764" s="1" t="s">
        <v>3996</v>
      </c>
      <c r="P764" s="1" t="s">
        <v>13</v>
      </c>
      <c r="Q764" s="1" t="s">
        <v>14</v>
      </c>
      <c r="R764" s="1" t="s">
        <v>37</v>
      </c>
      <c r="S764" s="1" t="s">
        <v>4009</v>
      </c>
      <c r="T764" s="4">
        <v>0.5</v>
      </c>
    </row>
    <row r="765" spans="1:20">
      <c r="A765" s="1" t="s">
        <v>3981</v>
      </c>
      <c r="B765" s="1" t="s">
        <v>301</v>
      </c>
      <c r="C765" s="1" t="s">
        <v>3982</v>
      </c>
      <c r="D765" s="1" t="s">
        <v>408</v>
      </c>
      <c r="E765" s="2">
        <v>45821</v>
      </c>
      <c r="F765" s="2">
        <v>45821</v>
      </c>
      <c r="G765" s="1" t="s">
        <v>4008</v>
      </c>
      <c r="H765" s="3" t="s">
        <v>25</v>
      </c>
      <c r="I765" s="1" t="s">
        <v>3984</v>
      </c>
      <c r="J765" s="1" t="s">
        <v>12</v>
      </c>
      <c r="K765" s="3" t="s">
        <v>3995</v>
      </c>
      <c r="L765" s="1" t="s">
        <v>3987</v>
      </c>
      <c r="M765" s="1" t="s">
        <v>3996</v>
      </c>
      <c r="N765" s="1" t="s">
        <v>13</v>
      </c>
      <c r="O765" s="1" t="s">
        <v>3996</v>
      </c>
      <c r="P765" s="1" t="s">
        <v>13</v>
      </c>
      <c r="Q765" s="1" t="s">
        <v>28</v>
      </c>
      <c r="R765" s="1" t="s">
        <v>29</v>
      </c>
      <c r="S765" s="1" t="s">
        <v>4009</v>
      </c>
      <c r="T765" s="4">
        <v>7.5</v>
      </c>
    </row>
    <row r="766" spans="1:20">
      <c r="A766" s="1" t="s">
        <v>3981</v>
      </c>
      <c r="B766" s="1" t="s">
        <v>301</v>
      </c>
      <c r="C766" s="1" t="s">
        <v>3982</v>
      </c>
      <c r="D766" s="1" t="s">
        <v>408</v>
      </c>
      <c r="E766" s="2">
        <v>45821</v>
      </c>
      <c r="F766" s="2">
        <v>45821</v>
      </c>
      <c r="G766" s="1" t="s">
        <v>4008</v>
      </c>
      <c r="H766" s="3" t="s">
        <v>25</v>
      </c>
      <c r="I766" s="1" t="s">
        <v>3984</v>
      </c>
      <c r="J766" s="1" t="s">
        <v>12</v>
      </c>
      <c r="K766" s="3" t="s">
        <v>3995</v>
      </c>
      <c r="L766" s="1" t="s">
        <v>3987</v>
      </c>
      <c r="M766" s="1" t="s">
        <v>3996</v>
      </c>
      <c r="N766" s="1" t="s">
        <v>13</v>
      </c>
      <c r="O766" s="1" t="s">
        <v>3996</v>
      </c>
      <c r="P766" s="1" t="s">
        <v>13</v>
      </c>
      <c r="Q766" s="1" t="s">
        <v>44</v>
      </c>
      <c r="R766" s="1" t="s">
        <v>45</v>
      </c>
      <c r="S766" s="1" t="s">
        <v>4009</v>
      </c>
      <c r="T766" s="4">
        <v>20</v>
      </c>
    </row>
    <row r="767" spans="1:20">
      <c r="A767" s="1" t="s">
        <v>3981</v>
      </c>
      <c r="B767" s="1" t="s">
        <v>301</v>
      </c>
      <c r="C767" s="1" t="s">
        <v>3982</v>
      </c>
      <c r="D767" s="1" t="s">
        <v>408</v>
      </c>
      <c r="E767" s="2">
        <v>45821</v>
      </c>
      <c r="F767" s="2">
        <v>45821</v>
      </c>
      <c r="G767" s="1" t="s">
        <v>4008</v>
      </c>
      <c r="H767" s="3" t="s">
        <v>25</v>
      </c>
      <c r="I767" s="1" t="s">
        <v>3984</v>
      </c>
      <c r="J767" s="1" t="s">
        <v>12</v>
      </c>
      <c r="K767" s="3" t="s">
        <v>3995</v>
      </c>
      <c r="L767" s="1" t="s">
        <v>3987</v>
      </c>
      <c r="M767" s="1" t="s">
        <v>3996</v>
      </c>
      <c r="N767" s="1" t="s">
        <v>13</v>
      </c>
      <c r="O767" s="1" t="s">
        <v>3996</v>
      </c>
      <c r="P767" s="1" t="s">
        <v>13</v>
      </c>
      <c r="Q767" s="1" t="s">
        <v>38</v>
      </c>
      <c r="R767" s="1" t="s">
        <v>46</v>
      </c>
      <c r="S767" s="1" t="s">
        <v>4009</v>
      </c>
      <c r="T767" s="4">
        <v>3</v>
      </c>
    </row>
    <row r="768" spans="1:20">
      <c r="A768" s="1" t="s">
        <v>3981</v>
      </c>
      <c r="B768" s="1" t="s">
        <v>301</v>
      </c>
      <c r="C768" s="1" t="s">
        <v>3982</v>
      </c>
      <c r="D768" s="1" t="s">
        <v>408</v>
      </c>
      <c r="E768" s="2">
        <v>45821</v>
      </c>
      <c r="F768" s="2">
        <v>45821</v>
      </c>
      <c r="G768" s="1" t="s">
        <v>4008</v>
      </c>
      <c r="H768" s="3" t="s">
        <v>25</v>
      </c>
      <c r="I768" s="1" t="s">
        <v>3984</v>
      </c>
      <c r="J768" s="1" t="s">
        <v>12</v>
      </c>
      <c r="K768" s="3" t="s">
        <v>3995</v>
      </c>
      <c r="L768" s="1" t="s">
        <v>3987</v>
      </c>
      <c r="M768" s="1" t="s">
        <v>3996</v>
      </c>
      <c r="N768" s="1" t="s">
        <v>13</v>
      </c>
      <c r="O768" s="1" t="s">
        <v>3996</v>
      </c>
      <c r="P768" s="1" t="s">
        <v>13</v>
      </c>
      <c r="Q768" s="1" t="s">
        <v>30</v>
      </c>
      <c r="R768" s="1" t="s">
        <v>67</v>
      </c>
      <c r="S768" s="1" t="s">
        <v>4009</v>
      </c>
      <c r="T768" s="4">
        <v>11.7</v>
      </c>
    </row>
    <row r="769" spans="1:20">
      <c r="A769" s="1" t="s">
        <v>3981</v>
      </c>
      <c r="B769" s="1" t="s">
        <v>301</v>
      </c>
      <c r="C769" s="1" t="s">
        <v>3982</v>
      </c>
      <c r="D769" s="1" t="s">
        <v>408</v>
      </c>
      <c r="E769" s="2">
        <v>45821</v>
      </c>
      <c r="F769" s="2">
        <v>45821</v>
      </c>
      <c r="G769" s="1" t="s">
        <v>4008</v>
      </c>
      <c r="H769" s="3" t="s">
        <v>25</v>
      </c>
      <c r="I769" s="1" t="s">
        <v>3984</v>
      </c>
      <c r="J769" s="1" t="s">
        <v>12</v>
      </c>
      <c r="K769" s="3" t="s">
        <v>3995</v>
      </c>
      <c r="L769" s="1" t="s">
        <v>3987</v>
      </c>
      <c r="M769" s="1" t="s">
        <v>3996</v>
      </c>
      <c r="N769" s="1" t="s">
        <v>13</v>
      </c>
      <c r="O769" s="1" t="s">
        <v>3996</v>
      </c>
      <c r="P769" s="1" t="s">
        <v>13</v>
      </c>
      <c r="Q769" s="1" t="s">
        <v>30</v>
      </c>
      <c r="R769" s="1" t="s">
        <v>62</v>
      </c>
      <c r="S769" s="1" t="s">
        <v>4009</v>
      </c>
      <c r="T769" s="4">
        <v>3.7</v>
      </c>
    </row>
    <row r="770" spans="1:20">
      <c r="A770" s="1" t="s">
        <v>3981</v>
      </c>
      <c r="B770" s="1" t="s">
        <v>301</v>
      </c>
      <c r="C770" s="1" t="s">
        <v>3982</v>
      </c>
      <c r="D770" s="1" t="s">
        <v>408</v>
      </c>
      <c r="E770" s="2">
        <v>45821</v>
      </c>
      <c r="F770" s="2">
        <v>45821</v>
      </c>
      <c r="G770" s="1" t="s">
        <v>4008</v>
      </c>
      <c r="H770" s="3" t="s">
        <v>25</v>
      </c>
      <c r="I770" s="1" t="s">
        <v>3984</v>
      </c>
      <c r="J770" s="1" t="s">
        <v>12</v>
      </c>
      <c r="K770" s="3" t="s">
        <v>3995</v>
      </c>
      <c r="L770" s="1" t="s">
        <v>3987</v>
      </c>
      <c r="M770" s="1" t="s">
        <v>3996</v>
      </c>
      <c r="N770" s="1" t="s">
        <v>13</v>
      </c>
      <c r="O770" s="1" t="s">
        <v>3996</v>
      </c>
      <c r="P770" s="1" t="s">
        <v>13</v>
      </c>
      <c r="Q770" s="1" t="s">
        <v>30</v>
      </c>
      <c r="R770" s="1" t="s">
        <v>81</v>
      </c>
      <c r="S770" s="1" t="s">
        <v>4009</v>
      </c>
      <c r="T770" s="4">
        <v>1.3</v>
      </c>
    </row>
    <row r="771" spans="1:20">
      <c r="A771" s="1" t="s">
        <v>3981</v>
      </c>
      <c r="B771" s="1" t="s">
        <v>301</v>
      </c>
      <c r="C771" s="1" t="s">
        <v>3982</v>
      </c>
      <c r="D771" s="1" t="s">
        <v>408</v>
      </c>
      <c r="E771" s="2">
        <v>45821</v>
      </c>
      <c r="F771" s="2">
        <v>45821</v>
      </c>
      <c r="G771" s="1" t="s">
        <v>4008</v>
      </c>
      <c r="H771" s="3" t="s">
        <v>25</v>
      </c>
      <c r="I771" s="1" t="s">
        <v>3984</v>
      </c>
      <c r="J771" s="1" t="s">
        <v>12</v>
      </c>
      <c r="K771" s="3" t="s">
        <v>3995</v>
      </c>
      <c r="L771" s="1" t="s">
        <v>3987</v>
      </c>
      <c r="M771" s="1" t="s">
        <v>3996</v>
      </c>
      <c r="N771" s="1" t="s">
        <v>13</v>
      </c>
      <c r="O771" s="1" t="s">
        <v>3996</v>
      </c>
      <c r="P771" s="1" t="s">
        <v>13</v>
      </c>
      <c r="Q771" s="1" t="s">
        <v>30</v>
      </c>
      <c r="R771" s="1" t="s">
        <v>68</v>
      </c>
      <c r="S771" s="1" t="s">
        <v>4009</v>
      </c>
      <c r="T771" s="4">
        <v>2.8</v>
      </c>
    </row>
    <row r="772" spans="1:20">
      <c r="A772" s="1" t="s">
        <v>3981</v>
      </c>
      <c r="B772" s="1" t="s">
        <v>301</v>
      </c>
      <c r="C772" s="1" t="s">
        <v>3982</v>
      </c>
      <c r="D772" s="1" t="s">
        <v>408</v>
      </c>
      <c r="E772" s="2">
        <v>45835</v>
      </c>
      <c r="F772" s="2">
        <v>45828</v>
      </c>
      <c r="G772" s="1" t="s">
        <v>3983</v>
      </c>
      <c r="H772" s="3" t="s">
        <v>32</v>
      </c>
      <c r="I772" s="1" t="s">
        <v>3984</v>
      </c>
      <c r="J772" s="1" t="s">
        <v>12</v>
      </c>
      <c r="K772" s="3" t="s">
        <v>3995</v>
      </c>
      <c r="L772" s="1" t="s">
        <v>3987</v>
      </c>
      <c r="M772" s="1" t="s">
        <v>3996</v>
      </c>
      <c r="N772" s="1" t="s">
        <v>13</v>
      </c>
      <c r="O772" s="1" t="s">
        <v>3996</v>
      </c>
      <c r="P772" s="1" t="s">
        <v>13</v>
      </c>
      <c r="Q772" s="1" t="s">
        <v>14</v>
      </c>
      <c r="R772" s="1" t="s">
        <v>54</v>
      </c>
      <c r="S772" s="1" t="s">
        <v>3989</v>
      </c>
      <c r="T772" s="4">
        <v>5.5</v>
      </c>
    </row>
    <row r="773" spans="1:20">
      <c r="A773" s="1" t="s">
        <v>3981</v>
      </c>
      <c r="B773" s="1" t="s">
        <v>301</v>
      </c>
      <c r="C773" s="1" t="s">
        <v>3982</v>
      </c>
      <c r="D773" s="1" t="s">
        <v>408</v>
      </c>
      <c r="E773" s="2">
        <v>45835</v>
      </c>
      <c r="F773" s="2">
        <v>45828</v>
      </c>
      <c r="G773" s="1" t="s">
        <v>3983</v>
      </c>
      <c r="H773" s="3" t="s">
        <v>32</v>
      </c>
      <c r="I773" s="1" t="s">
        <v>3984</v>
      </c>
      <c r="J773" s="1" t="s">
        <v>12</v>
      </c>
      <c r="K773" s="3" t="s">
        <v>3995</v>
      </c>
      <c r="L773" s="1" t="s">
        <v>3987</v>
      </c>
      <c r="M773" s="1" t="s">
        <v>3996</v>
      </c>
      <c r="N773" s="1" t="s">
        <v>13</v>
      </c>
      <c r="O773" s="1" t="s">
        <v>3996</v>
      </c>
      <c r="P773" s="1" t="s">
        <v>13</v>
      </c>
      <c r="Q773" s="1" t="s">
        <v>14</v>
      </c>
      <c r="R773" s="1" t="s">
        <v>78</v>
      </c>
      <c r="S773" s="1" t="s">
        <v>3989</v>
      </c>
      <c r="T773" s="4">
        <v>5</v>
      </c>
    </row>
    <row r="774" spans="1:20">
      <c r="A774" s="1" t="s">
        <v>3981</v>
      </c>
      <c r="B774" s="1" t="s">
        <v>301</v>
      </c>
      <c r="C774" s="1" t="s">
        <v>3982</v>
      </c>
      <c r="D774" s="1" t="s">
        <v>408</v>
      </c>
      <c r="E774" s="2">
        <v>45835</v>
      </c>
      <c r="F774" s="2">
        <v>45828</v>
      </c>
      <c r="G774" s="1" t="s">
        <v>3983</v>
      </c>
      <c r="H774" s="3" t="s">
        <v>32</v>
      </c>
      <c r="I774" s="1" t="s">
        <v>3984</v>
      </c>
      <c r="J774" s="1" t="s">
        <v>12</v>
      </c>
      <c r="K774" s="3" t="s">
        <v>3995</v>
      </c>
      <c r="L774" s="1" t="s">
        <v>3987</v>
      </c>
      <c r="M774" s="1" t="s">
        <v>3996</v>
      </c>
      <c r="N774" s="1" t="s">
        <v>13</v>
      </c>
      <c r="O774" s="1" t="s">
        <v>3996</v>
      </c>
      <c r="P774" s="1" t="s">
        <v>13</v>
      </c>
      <c r="Q774" s="1" t="s">
        <v>44</v>
      </c>
      <c r="R774" s="1" t="s">
        <v>47</v>
      </c>
      <c r="S774" s="1" t="s">
        <v>3989</v>
      </c>
      <c r="T774" s="4">
        <v>29.5</v>
      </c>
    </row>
    <row r="775" spans="1:20">
      <c r="A775" s="1" t="s">
        <v>3981</v>
      </c>
      <c r="B775" s="1" t="s">
        <v>301</v>
      </c>
      <c r="C775" s="1" t="s">
        <v>3982</v>
      </c>
      <c r="D775" s="1" t="s">
        <v>408</v>
      </c>
      <c r="E775" s="2">
        <v>45835</v>
      </c>
      <c r="F775" s="2">
        <v>45828</v>
      </c>
      <c r="G775" s="1" t="s">
        <v>3990</v>
      </c>
      <c r="H775" s="3" t="s">
        <v>11</v>
      </c>
      <c r="I775" s="1" t="s">
        <v>3984</v>
      </c>
      <c r="J775" s="1" t="s">
        <v>3985</v>
      </c>
      <c r="K775" s="3" t="s">
        <v>3986</v>
      </c>
      <c r="L775" s="1" t="s">
        <v>3987</v>
      </c>
      <c r="M775" s="1" t="s">
        <v>13</v>
      </c>
      <c r="N775" s="1" t="s">
        <v>13</v>
      </c>
      <c r="O775" s="1" t="s">
        <v>3988</v>
      </c>
      <c r="P775" s="1" t="s">
        <v>13</v>
      </c>
      <c r="Q775" s="1" t="s">
        <v>13</v>
      </c>
      <c r="R775" s="1" t="s">
        <v>13</v>
      </c>
      <c r="S775" s="1" t="s">
        <v>3994</v>
      </c>
      <c r="T775" s="4">
        <v>5.0999999999999996</v>
      </c>
    </row>
    <row r="776" spans="1:20">
      <c r="A776" s="1" t="s">
        <v>3981</v>
      </c>
      <c r="B776" s="1" t="s">
        <v>301</v>
      </c>
      <c r="C776" s="1" t="s">
        <v>3982</v>
      </c>
      <c r="D776" s="1" t="s">
        <v>408</v>
      </c>
      <c r="E776" s="2">
        <v>45835</v>
      </c>
      <c r="F776" s="2">
        <v>45828</v>
      </c>
      <c r="G776" s="1" t="s">
        <v>3990</v>
      </c>
      <c r="H776" s="3" t="s">
        <v>11</v>
      </c>
      <c r="I776" s="1" t="s">
        <v>3984</v>
      </c>
      <c r="J776" s="1" t="s">
        <v>12</v>
      </c>
      <c r="K776" s="3" t="s">
        <v>3995</v>
      </c>
      <c r="L776" s="1" t="s">
        <v>3987</v>
      </c>
      <c r="M776" s="1" t="s">
        <v>3996</v>
      </c>
      <c r="N776" s="1" t="s">
        <v>13</v>
      </c>
      <c r="O776" s="1" t="s">
        <v>3996</v>
      </c>
      <c r="P776" s="1" t="s">
        <v>13</v>
      </c>
      <c r="Q776" s="1" t="s">
        <v>83</v>
      </c>
      <c r="R776" s="1" t="s">
        <v>84</v>
      </c>
      <c r="S776" s="1" t="s">
        <v>3994</v>
      </c>
      <c r="T776" s="4">
        <v>1.5</v>
      </c>
    </row>
    <row r="777" spans="1:20">
      <c r="A777" s="1" t="s">
        <v>3981</v>
      </c>
      <c r="B777" s="1" t="s">
        <v>301</v>
      </c>
      <c r="C777" s="1" t="s">
        <v>3982</v>
      </c>
      <c r="D777" s="1" t="s">
        <v>408</v>
      </c>
      <c r="E777" s="2">
        <v>45835</v>
      </c>
      <c r="F777" s="2">
        <v>45828</v>
      </c>
      <c r="G777" s="1" t="s">
        <v>3990</v>
      </c>
      <c r="H777" s="3" t="s">
        <v>11</v>
      </c>
      <c r="I777" s="1" t="s">
        <v>3984</v>
      </c>
      <c r="J777" s="1" t="s">
        <v>12</v>
      </c>
      <c r="K777" s="3" t="s">
        <v>3995</v>
      </c>
      <c r="L777" s="1" t="s">
        <v>3987</v>
      </c>
      <c r="M777" s="1" t="s">
        <v>3996</v>
      </c>
      <c r="N777" s="1" t="s">
        <v>13</v>
      </c>
      <c r="O777" s="1" t="s">
        <v>3996</v>
      </c>
      <c r="P777" s="1" t="s">
        <v>13</v>
      </c>
      <c r="Q777" s="1" t="s">
        <v>14</v>
      </c>
      <c r="R777" s="1" t="s">
        <v>24</v>
      </c>
      <c r="S777" s="1" t="s">
        <v>3994</v>
      </c>
      <c r="T777" s="4">
        <v>0.9</v>
      </c>
    </row>
    <row r="778" spans="1:20">
      <c r="A778" s="1" t="s">
        <v>3981</v>
      </c>
      <c r="B778" s="1" t="s">
        <v>301</v>
      </c>
      <c r="C778" s="1" t="s">
        <v>3982</v>
      </c>
      <c r="D778" s="1" t="s">
        <v>408</v>
      </c>
      <c r="E778" s="2">
        <v>45835</v>
      </c>
      <c r="F778" s="2">
        <v>45828</v>
      </c>
      <c r="G778" s="1" t="s">
        <v>3990</v>
      </c>
      <c r="H778" s="3" t="s">
        <v>11</v>
      </c>
      <c r="I778" s="1" t="s">
        <v>3984</v>
      </c>
      <c r="J778" s="1" t="s">
        <v>12</v>
      </c>
      <c r="K778" s="3" t="s">
        <v>3995</v>
      </c>
      <c r="L778" s="1" t="s">
        <v>3987</v>
      </c>
      <c r="M778" s="1" t="s">
        <v>3996</v>
      </c>
      <c r="N778" s="1" t="s">
        <v>13</v>
      </c>
      <c r="O778" s="1" t="s">
        <v>3996</v>
      </c>
      <c r="P778" s="1" t="s">
        <v>13</v>
      </c>
      <c r="Q778" s="1" t="s">
        <v>14</v>
      </c>
      <c r="R778" s="1" t="s">
        <v>79</v>
      </c>
      <c r="S778" s="1" t="s">
        <v>3994</v>
      </c>
      <c r="T778" s="4">
        <v>1</v>
      </c>
    </row>
    <row r="779" spans="1:20">
      <c r="A779" s="1" t="s">
        <v>3981</v>
      </c>
      <c r="B779" s="1" t="s">
        <v>301</v>
      </c>
      <c r="C779" s="1" t="s">
        <v>3982</v>
      </c>
      <c r="D779" s="1" t="s">
        <v>408</v>
      </c>
      <c r="E779" s="2">
        <v>45835</v>
      </c>
      <c r="F779" s="2">
        <v>45828</v>
      </c>
      <c r="G779" s="1" t="s">
        <v>3990</v>
      </c>
      <c r="H779" s="3" t="s">
        <v>11</v>
      </c>
      <c r="I779" s="1" t="s">
        <v>3984</v>
      </c>
      <c r="J779" s="1" t="s">
        <v>12</v>
      </c>
      <c r="K779" s="3" t="s">
        <v>3995</v>
      </c>
      <c r="L779" s="1" t="s">
        <v>3987</v>
      </c>
      <c r="M779" s="1" t="s">
        <v>3996</v>
      </c>
      <c r="N779" s="1" t="s">
        <v>13</v>
      </c>
      <c r="O779" s="1" t="s">
        <v>3996</v>
      </c>
      <c r="P779" s="1" t="s">
        <v>13</v>
      </c>
      <c r="Q779" s="1" t="s">
        <v>14</v>
      </c>
      <c r="R779" s="1" t="s">
        <v>15</v>
      </c>
      <c r="S779" s="1" t="s">
        <v>3994</v>
      </c>
      <c r="T779" s="4">
        <v>0.5</v>
      </c>
    </row>
    <row r="780" spans="1:20">
      <c r="A780" s="1" t="s">
        <v>3981</v>
      </c>
      <c r="B780" s="1" t="s">
        <v>301</v>
      </c>
      <c r="C780" s="1" t="s">
        <v>3982</v>
      </c>
      <c r="D780" s="1" t="s">
        <v>408</v>
      </c>
      <c r="E780" s="2">
        <v>45835</v>
      </c>
      <c r="F780" s="2">
        <v>45828</v>
      </c>
      <c r="G780" s="1" t="s">
        <v>3990</v>
      </c>
      <c r="H780" s="3" t="s">
        <v>11</v>
      </c>
      <c r="I780" s="1" t="s">
        <v>3984</v>
      </c>
      <c r="J780" s="1" t="s">
        <v>12</v>
      </c>
      <c r="K780" s="3" t="s">
        <v>3995</v>
      </c>
      <c r="L780" s="1" t="s">
        <v>3987</v>
      </c>
      <c r="M780" s="1" t="s">
        <v>3996</v>
      </c>
      <c r="N780" s="1" t="s">
        <v>13</v>
      </c>
      <c r="O780" s="1" t="s">
        <v>3996</v>
      </c>
      <c r="P780" s="1" t="s">
        <v>13</v>
      </c>
      <c r="Q780" s="1" t="s">
        <v>44</v>
      </c>
      <c r="R780" s="1" t="s">
        <v>47</v>
      </c>
      <c r="S780" s="1" t="s">
        <v>3994</v>
      </c>
      <c r="T780" s="4">
        <v>7.1</v>
      </c>
    </row>
    <row r="781" spans="1:20">
      <c r="A781" s="1" t="s">
        <v>3981</v>
      </c>
      <c r="B781" s="1" t="s">
        <v>301</v>
      </c>
      <c r="C781" s="1" t="s">
        <v>3982</v>
      </c>
      <c r="D781" s="1" t="s">
        <v>408</v>
      </c>
      <c r="E781" s="2">
        <v>45835</v>
      </c>
      <c r="F781" s="2">
        <v>45828</v>
      </c>
      <c r="G781" s="1" t="s">
        <v>3990</v>
      </c>
      <c r="H781" s="3" t="s">
        <v>11</v>
      </c>
      <c r="I781" s="1" t="s">
        <v>3984</v>
      </c>
      <c r="J781" s="1" t="s">
        <v>12</v>
      </c>
      <c r="K781" s="3" t="s">
        <v>3995</v>
      </c>
      <c r="L781" s="1" t="s">
        <v>3987</v>
      </c>
      <c r="M781" s="1" t="s">
        <v>3996</v>
      </c>
      <c r="N781" s="1" t="s">
        <v>13</v>
      </c>
      <c r="O781" s="1" t="s">
        <v>3996</v>
      </c>
      <c r="P781" s="1" t="s">
        <v>13</v>
      </c>
      <c r="Q781" s="1" t="s">
        <v>44</v>
      </c>
      <c r="R781" s="1" t="s">
        <v>45</v>
      </c>
      <c r="S781" s="1" t="s">
        <v>3994</v>
      </c>
      <c r="T781" s="4">
        <v>2</v>
      </c>
    </row>
    <row r="782" spans="1:20">
      <c r="A782" s="1" t="s">
        <v>3981</v>
      </c>
      <c r="B782" s="1" t="s">
        <v>301</v>
      </c>
      <c r="C782" s="1" t="s">
        <v>3982</v>
      </c>
      <c r="D782" s="1" t="s">
        <v>408</v>
      </c>
      <c r="E782" s="2">
        <v>45835</v>
      </c>
      <c r="F782" s="2">
        <v>45828</v>
      </c>
      <c r="G782" s="1" t="s">
        <v>3990</v>
      </c>
      <c r="H782" s="3" t="s">
        <v>11</v>
      </c>
      <c r="I782" s="1" t="s">
        <v>3984</v>
      </c>
      <c r="J782" s="1" t="s">
        <v>12</v>
      </c>
      <c r="K782" s="3" t="s">
        <v>3995</v>
      </c>
      <c r="L782" s="1" t="s">
        <v>3987</v>
      </c>
      <c r="M782" s="1" t="s">
        <v>3996</v>
      </c>
      <c r="N782" s="1" t="s">
        <v>13</v>
      </c>
      <c r="O782" s="1" t="s">
        <v>3996</v>
      </c>
      <c r="P782" s="1" t="s">
        <v>13</v>
      </c>
      <c r="Q782" s="1" t="s">
        <v>38</v>
      </c>
      <c r="R782" s="1" t="s">
        <v>64</v>
      </c>
      <c r="S782" s="1" t="s">
        <v>3994</v>
      </c>
      <c r="T782" s="4">
        <v>1.5</v>
      </c>
    </row>
    <row r="783" spans="1:20">
      <c r="A783" s="1" t="s">
        <v>3981</v>
      </c>
      <c r="B783" s="1" t="s">
        <v>301</v>
      </c>
      <c r="C783" s="1" t="s">
        <v>3982</v>
      </c>
      <c r="D783" s="1" t="s">
        <v>408</v>
      </c>
      <c r="E783" s="2">
        <v>45835</v>
      </c>
      <c r="F783" s="2">
        <v>45828</v>
      </c>
      <c r="G783" s="1" t="s">
        <v>3990</v>
      </c>
      <c r="H783" s="3" t="s">
        <v>11</v>
      </c>
      <c r="I783" s="1" t="s">
        <v>3984</v>
      </c>
      <c r="J783" s="1" t="s">
        <v>12</v>
      </c>
      <c r="K783" s="3" t="s">
        <v>3995</v>
      </c>
      <c r="L783" s="1" t="s">
        <v>3987</v>
      </c>
      <c r="M783" s="1" t="s">
        <v>3996</v>
      </c>
      <c r="N783" s="1" t="s">
        <v>13</v>
      </c>
      <c r="O783" s="1" t="s">
        <v>3996</v>
      </c>
      <c r="P783" s="1" t="s">
        <v>13</v>
      </c>
      <c r="Q783" s="1" t="s">
        <v>16</v>
      </c>
      <c r="R783" s="1" t="s">
        <v>17</v>
      </c>
      <c r="S783" s="1" t="s">
        <v>3994</v>
      </c>
      <c r="T783" s="4">
        <v>8.3000000000000007</v>
      </c>
    </row>
    <row r="784" spans="1:20">
      <c r="A784" s="1" t="s">
        <v>3981</v>
      </c>
      <c r="B784" s="1" t="s">
        <v>301</v>
      </c>
      <c r="C784" s="1" t="s">
        <v>3982</v>
      </c>
      <c r="D784" s="1" t="s">
        <v>408</v>
      </c>
      <c r="E784" s="2">
        <v>45835</v>
      </c>
      <c r="F784" s="2">
        <v>45828</v>
      </c>
      <c r="G784" s="1" t="s">
        <v>3990</v>
      </c>
      <c r="H784" s="3" t="s">
        <v>11</v>
      </c>
      <c r="I784" s="1" t="s">
        <v>3984</v>
      </c>
      <c r="J784" s="1" t="s">
        <v>12</v>
      </c>
      <c r="K784" s="3" t="s">
        <v>3995</v>
      </c>
      <c r="L784" s="1" t="s">
        <v>3987</v>
      </c>
      <c r="M784" s="1" t="s">
        <v>3996</v>
      </c>
      <c r="N784" s="1" t="s">
        <v>13</v>
      </c>
      <c r="O784" s="1" t="s">
        <v>3996</v>
      </c>
      <c r="P784" s="1" t="s">
        <v>13</v>
      </c>
      <c r="Q784" s="1" t="s">
        <v>16</v>
      </c>
      <c r="R784" s="1" t="s">
        <v>40</v>
      </c>
      <c r="S784" s="1" t="s">
        <v>3994</v>
      </c>
      <c r="T784" s="4">
        <v>3.3</v>
      </c>
    </row>
    <row r="785" spans="1:20">
      <c r="A785" s="1" t="s">
        <v>3981</v>
      </c>
      <c r="B785" s="1" t="s">
        <v>301</v>
      </c>
      <c r="C785" s="1" t="s">
        <v>3982</v>
      </c>
      <c r="D785" s="1" t="s">
        <v>408</v>
      </c>
      <c r="E785" s="2">
        <v>45835</v>
      </c>
      <c r="F785" s="2">
        <v>45828</v>
      </c>
      <c r="G785" s="1" t="s">
        <v>3990</v>
      </c>
      <c r="H785" s="3" t="s">
        <v>11</v>
      </c>
      <c r="I785" s="1" t="s">
        <v>3984</v>
      </c>
      <c r="J785" s="1" t="s">
        <v>12</v>
      </c>
      <c r="K785" s="3" t="s">
        <v>3995</v>
      </c>
      <c r="L785" s="1" t="s">
        <v>3987</v>
      </c>
      <c r="M785" s="1" t="s">
        <v>4017</v>
      </c>
      <c r="N785" s="1" t="s">
        <v>4018</v>
      </c>
      <c r="O785" s="1" t="s">
        <v>13</v>
      </c>
      <c r="P785" s="1" t="s">
        <v>13</v>
      </c>
      <c r="Q785" s="1" t="s">
        <v>4019</v>
      </c>
      <c r="R785" s="1" t="s">
        <v>4019</v>
      </c>
      <c r="S785" s="1" t="s">
        <v>3994</v>
      </c>
      <c r="T785" s="4">
        <v>1.9</v>
      </c>
    </row>
    <row r="786" spans="1:20">
      <c r="A786" s="1" t="s">
        <v>3981</v>
      </c>
      <c r="B786" s="1" t="s">
        <v>301</v>
      </c>
      <c r="C786" s="1" t="s">
        <v>3982</v>
      </c>
      <c r="D786" s="1" t="s">
        <v>408</v>
      </c>
      <c r="E786" s="2">
        <v>45835</v>
      </c>
      <c r="F786" s="2">
        <v>45828</v>
      </c>
      <c r="G786" s="1" t="s">
        <v>3990</v>
      </c>
      <c r="H786" s="3" t="s">
        <v>11</v>
      </c>
      <c r="I786" s="1" t="s">
        <v>3984</v>
      </c>
      <c r="J786" s="1" t="s">
        <v>12</v>
      </c>
      <c r="K786" s="3" t="s">
        <v>3995</v>
      </c>
      <c r="L786" s="1" t="s">
        <v>3987</v>
      </c>
      <c r="M786" s="1" t="s">
        <v>4010</v>
      </c>
      <c r="N786" s="1" t="s">
        <v>4011</v>
      </c>
      <c r="O786" s="1" t="s">
        <v>13</v>
      </c>
      <c r="P786" s="1" t="s">
        <v>13</v>
      </c>
      <c r="Q786" s="1" t="s">
        <v>4001</v>
      </c>
      <c r="R786" s="1" t="s">
        <v>4012</v>
      </c>
      <c r="S786" s="1" t="s">
        <v>3994</v>
      </c>
      <c r="T786" s="4">
        <v>0.8</v>
      </c>
    </row>
    <row r="787" spans="1:20">
      <c r="A787" s="1" t="s">
        <v>3981</v>
      </c>
      <c r="B787" s="1" t="s">
        <v>301</v>
      </c>
      <c r="C787" s="1" t="s">
        <v>3982</v>
      </c>
      <c r="D787" s="1" t="s">
        <v>408</v>
      </c>
      <c r="E787" s="2">
        <v>45835</v>
      </c>
      <c r="F787" s="2">
        <v>45828</v>
      </c>
      <c r="G787" s="1" t="s">
        <v>3990</v>
      </c>
      <c r="H787" s="3" t="s">
        <v>11</v>
      </c>
      <c r="I787" s="1" t="s">
        <v>3984</v>
      </c>
      <c r="J787" s="1" t="s">
        <v>12</v>
      </c>
      <c r="K787" s="3" t="s">
        <v>3995</v>
      </c>
      <c r="L787" s="1" t="s">
        <v>3987</v>
      </c>
      <c r="M787" s="1" t="s">
        <v>4055</v>
      </c>
      <c r="N787" s="1" t="s">
        <v>4056</v>
      </c>
      <c r="O787" s="1" t="s">
        <v>13</v>
      </c>
      <c r="P787" s="1" t="s">
        <v>13</v>
      </c>
      <c r="Q787" s="1" t="s">
        <v>4057</v>
      </c>
      <c r="R787" s="1" t="s">
        <v>4061</v>
      </c>
      <c r="S787" s="1" t="s">
        <v>3994</v>
      </c>
      <c r="T787" s="4">
        <v>0.5</v>
      </c>
    </row>
    <row r="788" spans="1:20">
      <c r="A788" s="1" t="s">
        <v>3981</v>
      </c>
      <c r="B788" s="1" t="s">
        <v>301</v>
      </c>
      <c r="C788" s="1" t="s">
        <v>3982</v>
      </c>
      <c r="D788" s="1" t="s">
        <v>408</v>
      </c>
      <c r="E788" s="2">
        <v>45835</v>
      </c>
      <c r="F788" s="2">
        <v>45828</v>
      </c>
      <c r="G788" s="1" t="s">
        <v>3990</v>
      </c>
      <c r="H788" s="3" t="s">
        <v>11</v>
      </c>
      <c r="I788" s="1" t="s">
        <v>3984</v>
      </c>
      <c r="J788" s="1" t="s">
        <v>12</v>
      </c>
      <c r="K788" s="3" t="s">
        <v>3995</v>
      </c>
      <c r="L788" s="1" t="s">
        <v>4002</v>
      </c>
      <c r="M788" s="1" t="s">
        <v>4003</v>
      </c>
      <c r="N788" s="1" t="s">
        <v>13</v>
      </c>
      <c r="O788" s="1" t="s">
        <v>4003</v>
      </c>
      <c r="P788" s="1" t="s">
        <v>13</v>
      </c>
      <c r="Q788" s="1" t="s">
        <v>4004</v>
      </c>
      <c r="R788" s="1" t="s">
        <v>4001</v>
      </c>
      <c r="S788" s="1" t="s">
        <v>3994</v>
      </c>
      <c r="T788" s="4">
        <v>1.6</v>
      </c>
    </row>
    <row r="789" spans="1:20">
      <c r="A789" s="1" t="s">
        <v>3981</v>
      </c>
      <c r="B789" s="1" t="s">
        <v>301</v>
      </c>
      <c r="C789" s="1" t="s">
        <v>3982</v>
      </c>
      <c r="D789" s="1" t="s">
        <v>408</v>
      </c>
      <c r="E789" s="2">
        <v>45835</v>
      </c>
      <c r="F789" s="2">
        <v>45828</v>
      </c>
      <c r="G789" s="1" t="s">
        <v>3997</v>
      </c>
      <c r="H789" s="3" t="s">
        <v>41</v>
      </c>
      <c r="I789" s="1" t="s">
        <v>3984</v>
      </c>
      <c r="J789" s="1" t="s">
        <v>12</v>
      </c>
      <c r="K789" s="3" t="s">
        <v>3995</v>
      </c>
      <c r="L789" s="1" t="s">
        <v>3987</v>
      </c>
      <c r="M789" s="1" t="s">
        <v>3999</v>
      </c>
      <c r="N789" s="1" t="s">
        <v>13</v>
      </c>
      <c r="O789" s="1" t="s">
        <v>3999</v>
      </c>
      <c r="P789" s="1" t="s">
        <v>13</v>
      </c>
      <c r="Q789" s="1" t="s">
        <v>4000</v>
      </c>
      <c r="R789" s="1" t="s">
        <v>4001</v>
      </c>
      <c r="S789" s="1" t="s">
        <v>3998</v>
      </c>
      <c r="T789" s="4">
        <v>7</v>
      </c>
    </row>
    <row r="790" spans="1:20">
      <c r="A790" s="1" t="s">
        <v>3981</v>
      </c>
      <c r="B790" s="1" t="s">
        <v>301</v>
      </c>
      <c r="C790" s="1" t="s">
        <v>3982</v>
      </c>
      <c r="D790" s="1" t="s">
        <v>408</v>
      </c>
      <c r="E790" s="2">
        <v>45835</v>
      </c>
      <c r="F790" s="2">
        <v>45828</v>
      </c>
      <c r="G790" s="1" t="s">
        <v>3997</v>
      </c>
      <c r="H790" s="3" t="s">
        <v>41</v>
      </c>
      <c r="I790" s="1" t="s">
        <v>3984</v>
      </c>
      <c r="J790" s="1" t="s">
        <v>12</v>
      </c>
      <c r="K790" s="3" t="s">
        <v>3995</v>
      </c>
      <c r="L790" s="1" t="s">
        <v>4002</v>
      </c>
      <c r="M790" s="1" t="s">
        <v>4003</v>
      </c>
      <c r="N790" s="1" t="s">
        <v>13</v>
      </c>
      <c r="O790" s="1" t="s">
        <v>4003</v>
      </c>
      <c r="P790" s="1" t="s">
        <v>13</v>
      </c>
      <c r="Q790" s="1" t="s">
        <v>4004</v>
      </c>
      <c r="R790" s="1" t="s">
        <v>4001</v>
      </c>
      <c r="S790" s="1" t="s">
        <v>3998</v>
      </c>
      <c r="T790" s="4">
        <v>33.5</v>
      </c>
    </row>
    <row r="791" spans="1:20">
      <c r="A791" s="1" t="s">
        <v>3981</v>
      </c>
      <c r="B791" s="1" t="s">
        <v>301</v>
      </c>
      <c r="C791" s="1" t="s">
        <v>3982</v>
      </c>
      <c r="D791" s="1" t="s">
        <v>408</v>
      </c>
      <c r="E791" s="2">
        <v>45835</v>
      </c>
      <c r="F791" s="2">
        <v>45828</v>
      </c>
      <c r="G791" s="1" t="s">
        <v>4005</v>
      </c>
      <c r="H791" s="3" t="s">
        <v>21</v>
      </c>
      <c r="I791" s="1" t="s">
        <v>3984</v>
      </c>
      <c r="J791" s="1" t="s">
        <v>12</v>
      </c>
      <c r="K791" s="3" t="s">
        <v>3995</v>
      </c>
      <c r="L791" s="1" t="s">
        <v>3987</v>
      </c>
      <c r="M791" s="1" t="s">
        <v>3996</v>
      </c>
      <c r="N791" s="1" t="s">
        <v>13</v>
      </c>
      <c r="O791" s="1" t="s">
        <v>3996</v>
      </c>
      <c r="P791" s="1" t="s">
        <v>13</v>
      </c>
      <c r="Q791" s="1" t="s">
        <v>14</v>
      </c>
      <c r="R791" s="1" t="s">
        <v>24</v>
      </c>
      <c r="S791" s="1" t="s">
        <v>4007</v>
      </c>
      <c r="T791" s="4">
        <v>4.7</v>
      </c>
    </row>
    <row r="792" spans="1:20">
      <c r="A792" s="1" t="s">
        <v>3981</v>
      </c>
      <c r="B792" s="1" t="s">
        <v>301</v>
      </c>
      <c r="C792" s="1" t="s">
        <v>3982</v>
      </c>
      <c r="D792" s="1" t="s">
        <v>408</v>
      </c>
      <c r="E792" s="2">
        <v>45835</v>
      </c>
      <c r="F792" s="2">
        <v>45828</v>
      </c>
      <c r="G792" s="1" t="s">
        <v>4005</v>
      </c>
      <c r="H792" s="3" t="s">
        <v>21</v>
      </c>
      <c r="I792" s="1" t="s">
        <v>3984</v>
      </c>
      <c r="J792" s="1" t="s">
        <v>12</v>
      </c>
      <c r="K792" s="3" t="s">
        <v>3995</v>
      </c>
      <c r="L792" s="1" t="s">
        <v>3987</v>
      </c>
      <c r="M792" s="1" t="s">
        <v>3996</v>
      </c>
      <c r="N792" s="1" t="s">
        <v>13</v>
      </c>
      <c r="O792" s="1" t="s">
        <v>3996</v>
      </c>
      <c r="P792" s="1" t="s">
        <v>13</v>
      </c>
      <c r="Q792" s="1" t="s">
        <v>14</v>
      </c>
      <c r="R792" s="1" t="s">
        <v>23</v>
      </c>
      <c r="S792" s="1" t="s">
        <v>4007</v>
      </c>
      <c r="T792" s="4">
        <v>20</v>
      </c>
    </row>
    <row r="793" spans="1:20">
      <c r="A793" s="1" t="s">
        <v>3981</v>
      </c>
      <c r="B793" s="1" t="s">
        <v>301</v>
      </c>
      <c r="C793" s="1" t="s">
        <v>3982</v>
      </c>
      <c r="D793" s="1" t="s">
        <v>408</v>
      </c>
      <c r="E793" s="2">
        <v>45835</v>
      </c>
      <c r="F793" s="2">
        <v>45828</v>
      </c>
      <c r="G793" s="1" t="s">
        <v>4005</v>
      </c>
      <c r="H793" s="3" t="s">
        <v>21</v>
      </c>
      <c r="I793" s="1" t="s">
        <v>3984</v>
      </c>
      <c r="J793" s="1" t="s">
        <v>12</v>
      </c>
      <c r="K793" s="3" t="s">
        <v>3995</v>
      </c>
      <c r="L793" s="1" t="s">
        <v>3987</v>
      </c>
      <c r="M793" s="1" t="s">
        <v>3996</v>
      </c>
      <c r="N793" s="1" t="s">
        <v>13</v>
      </c>
      <c r="O793" s="1" t="s">
        <v>3996</v>
      </c>
      <c r="P793" s="1" t="s">
        <v>13</v>
      </c>
      <c r="Q793" s="1" t="s">
        <v>14</v>
      </c>
      <c r="R793" s="1" t="s">
        <v>80</v>
      </c>
      <c r="S793" s="1" t="s">
        <v>4007</v>
      </c>
      <c r="T793" s="4">
        <v>6.2</v>
      </c>
    </row>
    <row r="794" spans="1:20">
      <c r="A794" s="1" t="s">
        <v>3981</v>
      </c>
      <c r="B794" s="1" t="s">
        <v>301</v>
      </c>
      <c r="C794" s="1" t="s">
        <v>3982</v>
      </c>
      <c r="D794" s="1" t="s">
        <v>408</v>
      </c>
      <c r="E794" s="2">
        <v>45835</v>
      </c>
      <c r="F794" s="2">
        <v>45828</v>
      </c>
      <c r="G794" s="1" t="s">
        <v>4005</v>
      </c>
      <c r="H794" s="3" t="s">
        <v>21</v>
      </c>
      <c r="I794" s="1" t="s">
        <v>3984</v>
      </c>
      <c r="J794" s="1" t="s">
        <v>12</v>
      </c>
      <c r="K794" s="3" t="s">
        <v>3995</v>
      </c>
      <c r="L794" s="1" t="s">
        <v>3987</v>
      </c>
      <c r="M794" s="1" t="s">
        <v>3996</v>
      </c>
      <c r="N794" s="1" t="s">
        <v>13</v>
      </c>
      <c r="O794" s="1" t="s">
        <v>3996</v>
      </c>
      <c r="P794" s="1" t="s">
        <v>13</v>
      </c>
      <c r="Q794" s="1" t="s">
        <v>14</v>
      </c>
      <c r="R794" s="1" t="s">
        <v>77</v>
      </c>
      <c r="S794" s="1" t="s">
        <v>4007</v>
      </c>
      <c r="T794" s="4">
        <v>3.4</v>
      </c>
    </row>
    <row r="795" spans="1:20">
      <c r="A795" s="1" t="s">
        <v>3981</v>
      </c>
      <c r="B795" s="1" t="s">
        <v>301</v>
      </c>
      <c r="C795" s="1" t="s">
        <v>3982</v>
      </c>
      <c r="D795" s="1" t="s">
        <v>408</v>
      </c>
      <c r="E795" s="2">
        <v>45835</v>
      </c>
      <c r="F795" s="2">
        <v>45828</v>
      </c>
      <c r="G795" s="1" t="s">
        <v>4005</v>
      </c>
      <c r="H795" s="3" t="s">
        <v>21</v>
      </c>
      <c r="I795" s="1" t="s">
        <v>3984</v>
      </c>
      <c r="J795" s="1" t="s">
        <v>12</v>
      </c>
      <c r="K795" s="3" t="s">
        <v>3995</v>
      </c>
      <c r="L795" s="1" t="s">
        <v>3987</v>
      </c>
      <c r="M795" s="1" t="s">
        <v>3996</v>
      </c>
      <c r="N795" s="1" t="s">
        <v>13</v>
      </c>
      <c r="O795" s="1" t="s">
        <v>3996</v>
      </c>
      <c r="P795" s="1" t="s">
        <v>13</v>
      </c>
      <c r="Q795" s="1" t="s">
        <v>28</v>
      </c>
      <c r="R795" s="1" t="s">
        <v>29</v>
      </c>
      <c r="S795" s="1" t="s">
        <v>4007</v>
      </c>
      <c r="T795" s="4">
        <v>4.5999999999999996</v>
      </c>
    </row>
    <row r="796" spans="1:20">
      <c r="A796" s="1" t="s">
        <v>3981</v>
      </c>
      <c r="B796" s="1" t="s">
        <v>301</v>
      </c>
      <c r="C796" s="1" t="s">
        <v>3982</v>
      </c>
      <c r="D796" s="1" t="s">
        <v>408</v>
      </c>
      <c r="E796" s="2">
        <v>45835</v>
      </c>
      <c r="F796" s="2">
        <v>45828</v>
      </c>
      <c r="G796" s="1" t="s">
        <v>4008</v>
      </c>
      <c r="H796" s="3" t="s">
        <v>25</v>
      </c>
      <c r="I796" s="1" t="s">
        <v>3984</v>
      </c>
      <c r="J796" s="1" t="s">
        <v>12</v>
      </c>
      <c r="K796" s="3" t="s">
        <v>3995</v>
      </c>
      <c r="L796" s="1" t="s">
        <v>4013</v>
      </c>
      <c r="M796" s="1" t="s">
        <v>4014</v>
      </c>
      <c r="N796" s="1" t="s">
        <v>13</v>
      </c>
      <c r="O796" s="1" t="s">
        <v>4014</v>
      </c>
      <c r="P796" s="1" t="s">
        <v>13</v>
      </c>
      <c r="Q796" s="1" t="s">
        <v>13</v>
      </c>
      <c r="R796" s="1" t="s">
        <v>13</v>
      </c>
      <c r="S796" s="1" t="s">
        <v>4009</v>
      </c>
      <c r="T796" s="4">
        <v>2</v>
      </c>
    </row>
    <row r="797" spans="1:20">
      <c r="A797" s="1" t="s">
        <v>3981</v>
      </c>
      <c r="B797" s="1" t="s">
        <v>301</v>
      </c>
      <c r="C797" s="1" t="s">
        <v>3982</v>
      </c>
      <c r="D797" s="1" t="s">
        <v>408</v>
      </c>
      <c r="E797" s="2">
        <v>45835</v>
      </c>
      <c r="F797" s="2">
        <v>45828</v>
      </c>
      <c r="G797" s="1" t="s">
        <v>4008</v>
      </c>
      <c r="H797" s="3" t="s">
        <v>25</v>
      </c>
      <c r="I797" s="1" t="s">
        <v>3984</v>
      </c>
      <c r="J797" s="1" t="s">
        <v>12</v>
      </c>
      <c r="K797" s="3" t="s">
        <v>3995</v>
      </c>
      <c r="L797" s="1" t="s">
        <v>4013</v>
      </c>
      <c r="M797" s="1" t="s">
        <v>4035</v>
      </c>
      <c r="N797" s="1" t="s">
        <v>4036</v>
      </c>
      <c r="O797" s="1" t="s">
        <v>13</v>
      </c>
      <c r="P797" s="1" t="s">
        <v>13</v>
      </c>
      <c r="Q797" s="1" t="s">
        <v>13</v>
      </c>
      <c r="R797" s="1" t="s">
        <v>13</v>
      </c>
      <c r="S797" s="1" t="s">
        <v>4009</v>
      </c>
      <c r="T797" s="4">
        <v>1.5</v>
      </c>
    </row>
    <row r="798" spans="1:20">
      <c r="A798" s="1" t="s">
        <v>3981</v>
      </c>
      <c r="B798" s="1" t="s">
        <v>301</v>
      </c>
      <c r="C798" s="1" t="s">
        <v>3982</v>
      </c>
      <c r="D798" s="1" t="s">
        <v>408</v>
      </c>
      <c r="E798" s="2">
        <v>45835</v>
      </c>
      <c r="F798" s="2">
        <v>45828</v>
      </c>
      <c r="G798" s="1" t="s">
        <v>4008</v>
      </c>
      <c r="H798" s="3" t="s">
        <v>25</v>
      </c>
      <c r="I798" s="1" t="s">
        <v>3984</v>
      </c>
      <c r="J798" s="1" t="s">
        <v>12</v>
      </c>
      <c r="K798" s="3" t="s">
        <v>3995</v>
      </c>
      <c r="L798" s="1" t="s">
        <v>3987</v>
      </c>
      <c r="M798" s="1" t="s">
        <v>3996</v>
      </c>
      <c r="N798" s="1" t="s">
        <v>13</v>
      </c>
      <c r="O798" s="1" t="s">
        <v>3996</v>
      </c>
      <c r="P798" s="1" t="s">
        <v>13</v>
      </c>
      <c r="Q798" s="1" t="s">
        <v>28</v>
      </c>
      <c r="R798" s="1" t="s">
        <v>29</v>
      </c>
      <c r="S798" s="1" t="s">
        <v>4009</v>
      </c>
      <c r="T798" s="4">
        <v>1.9</v>
      </c>
    </row>
    <row r="799" spans="1:20">
      <c r="A799" s="1" t="s">
        <v>3981</v>
      </c>
      <c r="B799" s="1" t="s">
        <v>301</v>
      </c>
      <c r="C799" s="1" t="s">
        <v>3982</v>
      </c>
      <c r="D799" s="1" t="s">
        <v>408</v>
      </c>
      <c r="E799" s="2">
        <v>45835</v>
      </c>
      <c r="F799" s="2">
        <v>45828</v>
      </c>
      <c r="G799" s="1" t="s">
        <v>4008</v>
      </c>
      <c r="H799" s="3" t="s">
        <v>25</v>
      </c>
      <c r="I799" s="1" t="s">
        <v>3984</v>
      </c>
      <c r="J799" s="1" t="s">
        <v>12</v>
      </c>
      <c r="K799" s="3" t="s">
        <v>3995</v>
      </c>
      <c r="L799" s="1" t="s">
        <v>3987</v>
      </c>
      <c r="M799" s="1" t="s">
        <v>3996</v>
      </c>
      <c r="N799" s="1" t="s">
        <v>13</v>
      </c>
      <c r="O799" s="1" t="s">
        <v>3996</v>
      </c>
      <c r="P799" s="1" t="s">
        <v>13</v>
      </c>
      <c r="Q799" s="1" t="s">
        <v>44</v>
      </c>
      <c r="R799" s="1" t="s">
        <v>45</v>
      </c>
      <c r="S799" s="1" t="s">
        <v>4009</v>
      </c>
      <c r="T799" s="4">
        <v>14.8</v>
      </c>
    </row>
    <row r="800" spans="1:20">
      <c r="A800" s="1" t="s">
        <v>3981</v>
      </c>
      <c r="B800" s="1" t="s">
        <v>301</v>
      </c>
      <c r="C800" s="1" t="s">
        <v>3982</v>
      </c>
      <c r="D800" s="1" t="s">
        <v>408</v>
      </c>
      <c r="E800" s="2">
        <v>45835</v>
      </c>
      <c r="F800" s="2">
        <v>45828</v>
      </c>
      <c r="G800" s="1" t="s">
        <v>4008</v>
      </c>
      <c r="H800" s="3" t="s">
        <v>25</v>
      </c>
      <c r="I800" s="1" t="s">
        <v>3984</v>
      </c>
      <c r="J800" s="1" t="s">
        <v>12</v>
      </c>
      <c r="K800" s="3" t="s">
        <v>3995</v>
      </c>
      <c r="L800" s="1" t="s">
        <v>3987</v>
      </c>
      <c r="M800" s="1" t="s">
        <v>3996</v>
      </c>
      <c r="N800" s="1" t="s">
        <v>13</v>
      </c>
      <c r="O800" s="1" t="s">
        <v>3996</v>
      </c>
      <c r="P800" s="1" t="s">
        <v>13</v>
      </c>
      <c r="Q800" s="1" t="s">
        <v>38</v>
      </c>
      <c r="R800" s="1" t="s">
        <v>46</v>
      </c>
      <c r="S800" s="1" t="s">
        <v>4009</v>
      </c>
      <c r="T800" s="4">
        <v>1</v>
      </c>
    </row>
    <row r="801" spans="1:20">
      <c r="A801" s="1" t="s">
        <v>3981</v>
      </c>
      <c r="B801" s="1" t="s">
        <v>301</v>
      </c>
      <c r="C801" s="1" t="s">
        <v>3982</v>
      </c>
      <c r="D801" s="1" t="s">
        <v>408</v>
      </c>
      <c r="E801" s="2">
        <v>45835</v>
      </c>
      <c r="F801" s="2">
        <v>45828</v>
      </c>
      <c r="G801" s="1" t="s">
        <v>4008</v>
      </c>
      <c r="H801" s="3" t="s">
        <v>25</v>
      </c>
      <c r="I801" s="1" t="s">
        <v>3984</v>
      </c>
      <c r="J801" s="1" t="s">
        <v>12</v>
      </c>
      <c r="K801" s="3" t="s">
        <v>3995</v>
      </c>
      <c r="L801" s="1" t="s">
        <v>3987</v>
      </c>
      <c r="M801" s="1" t="s">
        <v>3996</v>
      </c>
      <c r="N801" s="1" t="s">
        <v>13</v>
      </c>
      <c r="O801" s="1" t="s">
        <v>3996</v>
      </c>
      <c r="P801" s="1" t="s">
        <v>13</v>
      </c>
      <c r="Q801" s="1" t="s">
        <v>30</v>
      </c>
      <c r="R801" s="1" t="s">
        <v>67</v>
      </c>
      <c r="S801" s="1" t="s">
        <v>4009</v>
      </c>
      <c r="T801" s="4">
        <v>4.2</v>
      </c>
    </row>
    <row r="802" spans="1:20">
      <c r="A802" s="1" t="s">
        <v>3981</v>
      </c>
      <c r="B802" s="1" t="s">
        <v>301</v>
      </c>
      <c r="C802" s="1" t="s">
        <v>3982</v>
      </c>
      <c r="D802" s="1" t="s">
        <v>408</v>
      </c>
      <c r="E802" s="2">
        <v>45835</v>
      </c>
      <c r="F802" s="2">
        <v>45828</v>
      </c>
      <c r="G802" s="1" t="s">
        <v>4008</v>
      </c>
      <c r="H802" s="3" t="s">
        <v>25</v>
      </c>
      <c r="I802" s="1" t="s">
        <v>3984</v>
      </c>
      <c r="J802" s="1" t="s">
        <v>12</v>
      </c>
      <c r="K802" s="3" t="s">
        <v>3995</v>
      </c>
      <c r="L802" s="1" t="s">
        <v>3987</v>
      </c>
      <c r="M802" s="1" t="s">
        <v>3996</v>
      </c>
      <c r="N802" s="1" t="s">
        <v>13</v>
      </c>
      <c r="O802" s="1" t="s">
        <v>3996</v>
      </c>
      <c r="P802" s="1" t="s">
        <v>13</v>
      </c>
      <c r="Q802" s="1" t="s">
        <v>30</v>
      </c>
      <c r="R802" s="1" t="s">
        <v>62</v>
      </c>
      <c r="S802" s="1" t="s">
        <v>4009</v>
      </c>
      <c r="T802" s="4">
        <v>2.7</v>
      </c>
    </row>
    <row r="803" spans="1:20">
      <c r="A803" s="1" t="s">
        <v>3981</v>
      </c>
      <c r="B803" s="1" t="s">
        <v>301</v>
      </c>
      <c r="C803" s="1" t="s">
        <v>3982</v>
      </c>
      <c r="D803" s="1" t="s">
        <v>408</v>
      </c>
      <c r="E803" s="2">
        <v>45835</v>
      </c>
      <c r="F803" s="2">
        <v>45828</v>
      </c>
      <c r="G803" s="1" t="s">
        <v>4008</v>
      </c>
      <c r="H803" s="3" t="s">
        <v>25</v>
      </c>
      <c r="I803" s="1" t="s">
        <v>3984</v>
      </c>
      <c r="J803" s="1" t="s">
        <v>12</v>
      </c>
      <c r="K803" s="3" t="s">
        <v>3995</v>
      </c>
      <c r="L803" s="1" t="s">
        <v>3987</v>
      </c>
      <c r="M803" s="1" t="s">
        <v>3996</v>
      </c>
      <c r="N803" s="1" t="s">
        <v>13</v>
      </c>
      <c r="O803" s="1" t="s">
        <v>3996</v>
      </c>
      <c r="P803" s="1" t="s">
        <v>13</v>
      </c>
      <c r="Q803" s="1" t="s">
        <v>30</v>
      </c>
      <c r="R803" s="1" t="s">
        <v>68</v>
      </c>
      <c r="S803" s="1" t="s">
        <v>4009</v>
      </c>
      <c r="T803" s="4">
        <v>2.9</v>
      </c>
    </row>
    <row r="804" spans="1:20">
      <c r="A804" s="1" t="s">
        <v>3981</v>
      </c>
      <c r="B804" s="1" t="s">
        <v>301</v>
      </c>
      <c r="C804" s="1" t="s">
        <v>3982</v>
      </c>
      <c r="D804" s="1" t="s">
        <v>408</v>
      </c>
      <c r="E804" s="2">
        <v>45835</v>
      </c>
      <c r="F804" s="2">
        <v>45835</v>
      </c>
      <c r="G804" s="1" t="s">
        <v>3983</v>
      </c>
      <c r="H804" s="3" t="s">
        <v>32</v>
      </c>
      <c r="I804" s="1" t="s">
        <v>3984</v>
      </c>
      <c r="J804" s="1" t="s">
        <v>12</v>
      </c>
      <c r="K804" s="3" t="s">
        <v>3995</v>
      </c>
      <c r="L804" s="1" t="s">
        <v>3987</v>
      </c>
      <c r="M804" s="1" t="s">
        <v>3996</v>
      </c>
      <c r="N804" s="1" t="s">
        <v>13</v>
      </c>
      <c r="O804" s="1" t="s">
        <v>3996</v>
      </c>
      <c r="P804" s="1" t="s">
        <v>13</v>
      </c>
      <c r="Q804" s="1" t="s">
        <v>14</v>
      </c>
      <c r="R804" s="1" t="s">
        <v>54</v>
      </c>
      <c r="S804" s="1" t="s">
        <v>3989</v>
      </c>
      <c r="T804" s="4">
        <v>32</v>
      </c>
    </row>
    <row r="805" spans="1:20">
      <c r="A805" s="1" t="s">
        <v>3981</v>
      </c>
      <c r="B805" s="1" t="s">
        <v>301</v>
      </c>
      <c r="C805" s="1" t="s">
        <v>3982</v>
      </c>
      <c r="D805" s="1" t="s">
        <v>408</v>
      </c>
      <c r="E805" s="2">
        <v>45835</v>
      </c>
      <c r="F805" s="2">
        <v>45835</v>
      </c>
      <c r="G805" s="1" t="s">
        <v>3983</v>
      </c>
      <c r="H805" s="3" t="s">
        <v>32</v>
      </c>
      <c r="I805" s="1" t="s">
        <v>3984</v>
      </c>
      <c r="J805" s="1" t="s">
        <v>12</v>
      </c>
      <c r="K805" s="3" t="s">
        <v>3995</v>
      </c>
      <c r="L805" s="1" t="s">
        <v>3987</v>
      </c>
      <c r="M805" s="1" t="s">
        <v>3996</v>
      </c>
      <c r="N805" s="1" t="s">
        <v>13</v>
      </c>
      <c r="O805" s="1" t="s">
        <v>3996</v>
      </c>
      <c r="P805" s="1" t="s">
        <v>13</v>
      </c>
      <c r="Q805" s="1" t="s">
        <v>44</v>
      </c>
      <c r="R805" s="1" t="s">
        <v>47</v>
      </c>
      <c r="S805" s="1" t="s">
        <v>3989</v>
      </c>
      <c r="T805" s="4">
        <v>8</v>
      </c>
    </row>
    <row r="806" spans="1:20">
      <c r="A806" s="1" t="s">
        <v>3981</v>
      </c>
      <c r="B806" s="1" t="s">
        <v>301</v>
      </c>
      <c r="C806" s="1" t="s">
        <v>3982</v>
      </c>
      <c r="D806" s="1" t="s">
        <v>408</v>
      </c>
      <c r="E806" s="2">
        <v>45835</v>
      </c>
      <c r="F806" s="2">
        <v>45835</v>
      </c>
      <c r="G806" s="1" t="s">
        <v>3990</v>
      </c>
      <c r="H806" s="3" t="s">
        <v>11</v>
      </c>
      <c r="I806" s="1" t="s">
        <v>3984</v>
      </c>
      <c r="J806" s="1" t="s">
        <v>3985</v>
      </c>
      <c r="K806" s="3" t="s">
        <v>3986</v>
      </c>
      <c r="L806" s="1" t="s">
        <v>3987</v>
      </c>
      <c r="M806" s="1" t="s">
        <v>13</v>
      </c>
      <c r="N806" s="1" t="s">
        <v>13</v>
      </c>
      <c r="O806" s="1" t="s">
        <v>3988</v>
      </c>
      <c r="P806" s="1" t="s">
        <v>13</v>
      </c>
      <c r="Q806" s="1" t="s">
        <v>13</v>
      </c>
      <c r="R806" s="1" t="s">
        <v>13</v>
      </c>
      <c r="S806" s="1" t="s">
        <v>3994</v>
      </c>
      <c r="T806" s="4">
        <v>3.7</v>
      </c>
    </row>
    <row r="807" spans="1:20">
      <c r="A807" s="1" t="s">
        <v>3981</v>
      </c>
      <c r="B807" s="1" t="s">
        <v>301</v>
      </c>
      <c r="C807" s="1" t="s">
        <v>3982</v>
      </c>
      <c r="D807" s="1" t="s">
        <v>408</v>
      </c>
      <c r="E807" s="2">
        <v>45835</v>
      </c>
      <c r="F807" s="2">
        <v>45835</v>
      </c>
      <c r="G807" s="1" t="s">
        <v>3990</v>
      </c>
      <c r="H807" s="3" t="s">
        <v>11</v>
      </c>
      <c r="I807" s="1" t="s">
        <v>3984</v>
      </c>
      <c r="J807" s="1" t="s">
        <v>12</v>
      </c>
      <c r="K807" s="3" t="s">
        <v>3995</v>
      </c>
      <c r="L807" s="1" t="s">
        <v>3987</v>
      </c>
      <c r="M807" s="1" t="s">
        <v>3996</v>
      </c>
      <c r="N807" s="1" t="s">
        <v>13</v>
      </c>
      <c r="O807" s="1" t="s">
        <v>3996</v>
      </c>
      <c r="P807" s="1" t="s">
        <v>13</v>
      </c>
      <c r="Q807" s="1" t="s">
        <v>83</v>
      </c>
      <c r="R807" s="1" t="s">
        <v>84</v>
      </c>
      <c r="S807" s="1" t="s">
        <v>3994</v>
      </c>
      <c r="T807" s="4">
        <v>1.8</v>
      </c>
    </row>
    <row r="808" spans="1:20">
      <c r="A808" s="1" t="s">
        <v>3981</v>
      </c>
      <c r="B808" s="1" t="s">
        <v>301</v>
      </c>
      <c r="C808" s="1" t="s">
        <v>3982</v>
      </c>
      <c r="D808" s="1" t="s">
        <v>408</v>
      </c>
      <c r="E808" s="2">
        <v>45835</v>
      </c>
      <c r="F808" s="2">
        <v>45835</v>
      </c>
      <c r="G808" s="1" t="s">
        <v>3990</v>
      </c>
      <c r="H808" s="3" t="s">
        <v>11</v>
      </c>
      <c r="I808" s="1" t="s">
        <v>3984</v>
      </c>
      <c r="J808" s="1" t="s">
        <v>12</v>
      </c>
      <c r="K808" s="3" t="s">
        <v>3995</v>
      </c>
      <c r="L808" s="1" t="s">
        <v>3987</v>
      </c>
      <c r="M808" s="1" t="s">
        <v>3996</v>
      </c>
      <c r="N808" s="1" t="s">
        <v>13</v>
      </c>
      <c r="O808" s="1" t="s">
        <v>3996</v>
      </c>
      <c r="P808" s="1" t="s">
        <v>13</v>
      </c>
      <c r="Q808" s="1" t="s">
        <v>83</v>
      </c>
      <c r="R808" s="1" t="s">
        <v>86</v>
      </c>
      <c r="S808" s="1" t="s">
        <v>3994</v>
      </c>
      <c r="T808" s="4">
        <v>2.6</v>
      </c>
    </row>
    <row r="809" spans="1:20">
      <c r="A809" s="1" t="s">
        <v>3981</v>
      </c>
      <c r="B809" s="1" t="s">
        <v>301</v>
      </c>
      <c r="C809" s="1" t="s">
        <v>3982</v>
      </c>
      <c r="D809" s="1" t="s">
        <v>408</v>
      </c>
      <c r="E809" s="2">
        <v>45835</v>
      </c>
      <c r="F809" s="2">
        <v>45835</v>
      </c>
      <c r="G809" s="1" t="s">
        <v>3990</v>
      </c>
      <c r="H809" s="3" t="s">
        <v>11</v>
      </c>
      <c r="I809" s="1" t="s">
        <v>3984</v>
      </c>
      <c r="J809" s="1" t="s">
        <v>12</v>
      </c>
      <c r="K809" s="3" t="s">
        <v>3995</v>
      </c>
      <c r="L809" s="1" t="s">
        <v>3987</v>
      </c>
      <c r="M809" s="1" t="s">
        <v>3996</v>
      </c>
      <c r="N809" s="1" t="s">
        <v>13</v>
      </c>
      <c r="O809" s="1" t="s">
        <v>3996</v>
      </c>
      <c r="P809" s="1" t="s">
        <v>13</v>
      </c>
      <c r="Q809" s="1" t="s">
        <v>14</v>
      </c>
      <c r="R809" s="1" t="s">
        <v>24</v>
      </c>
      <c r="S809" s="1" t="s">
        <v>3994</v>
      </c>
      <c r="T809" s="4">
        <v>1</v>
      </c>
    </row>
    <row r="810" spans="1:20">
      <c r="A810" s="1" t="s">
        <v>3981</v>
      </c>
      <c r="B810" s="1" t="s">
        <v>301</v>
      </c>
      <c r="C810" s="1" t="s">
        <v>3982</v>
      </c>
      <c r="D810" s="1" t="s">
        <v>408</v>
      </c>
      <c r="E810" s="2">
        <v>45835</v>
      </c>
      <c r="F810" s="2">
        <v>45835</v>
      </c>
      <c r="G810" s="1" t="s">
        <v>3990</v>
      </c>
      <c r="H810" s="3" t="s">
        <v>11</v>
      </c>
      <c r="I810" s="1" t="s">
        <v>3984</v>
      </c>
      <c r="J810" s="1" t="s">
        <v>12</v>
      </c>
      <c r="K810" s="3" t="s">
        <v>3995</v>
      </c>
      <c r="L810" s="1" t="s">
        <v>3987</v>
      </c>
      <c r="M810" s="1" t="s">
        <v>3996</v>
      </c>
      <c r="N810" s="1" t="s">
        <v>13</v>
      </c>
      <c r="O810" s="1" t="s">
        <v>3996</v>
      </c>
      <c r="P810" s="1" t="s">
        <v>13</v>
      </c>
      <c r="Q810" s="1" t="s">
        <v>14</v>
      </c>
      <c r="R810" s="1" t="s">
        <v>79</v>
      </c>
      <c r="S810" s="1" t="s">
        <v>3994</v>
      </c>
      <c r="T810" s="4">
        <v>0.7</v>
      </c>
    </row>
    <row r="811" spans="1:20">
      <c r="A811" s="1" t="s">
        <v>3981</v>
      </c>
      <c r="B811" s="1" t="s">
        <v>301</v>
      </c>
      <c r="C811" s="1" t="s">
        <v>3982</v>
      </c>
      <c r="D811" s="1" t="s">
        <v>408</v>
      </c>
      <c r="E811" s="2">
        <v>45835</v>
      </c>
      <c r="F811" s="2">
        <v>45835</v>
      </c>
      <c r="G811" s="1" t="s">
        <v>3990</v>
      </c>
      <c r="H811" s="3" t="s">
        <v>11</v>
      </c>
      <c r="I811" s="1" t="s">
        <v>3984</v>
      </c>
      <c r="J811" s="1" t="s">
        <v>12</v>
      </c>
      <c r="K811" s="3" t="s">
        <v>3995</v>
      </c>
      <c r="L811" s="1" t="s">
        <v>3987</v>
      </c>
      <c r="M811" s="1" t="s">
        <v>3996</v>
      </c>
      <c r="N811" s="1" t="s">
        <v>13</v>
      </c>
      <c r="O811" s="1" t="s">
        <v>3996</v>
      </c>
      <c r="P811" s="1" t="s">
        <v>13</v>
      </c>
      <c r="Q811" s="1" t="s">
        <v>44</v>
      </c>
      <c r="R811" s="1" t="s">
        <v>45</v>
      </c>
      <c r="S811" s="1" t="s">
        <v>3994</v>
      </c>
      <c r="T811" s="4">
        <v>1</v>
      </c>
    </row>
    <row r="812" spans="1:20">
      <c r="A812" s="1" t="s">
        <v>3981</v>
      </c>
      <c r="B812" s="1" t="s">
        <v>301</v>
      </c>
      <c r="C812" s="1" t="s">
        <v>3982</v>
      </c>
      <c r="D812" s="1" t="s">
        <v>408</v>
      </c>
      <c r="E812" s="2">
        <v>45835</v>
      </c>
      <c r="F812" s="2">
        <v>45835</v>
      </c>
      <c r="G812" s="1" t="s">
        <v>3990</v>
      </c>
      <c r="H812" s="3" t="s">
        <v>11</v>
      </c>
      <c r="I812" s="1" t="s">
        <v>3984</v>
      </c>
      <c r="J812" s="1" t="s">
        <v>12</v>
      </c>
      <c r="K812" s="3" t="s">
        <v>3995</v>
      </c>
      <c r="L812" s="1" t="s">
        <v>3987</v>
      </c>
      <c r="M812" s="1" t="s">
        <v>3996</v>
      </c>
      <c r="N812" s="1" t="s">
        <v>13</v>
      </c>
      <c r="O812" s="1" t="s">
        <v>3996</v>
      </c>
      <c r="P812" s="1" t="s">
        <v>13</v>
      </c>
      <c r="Q812" s="1" t="s">
        <v>16</v>
      </c>
      <c r="R812" s="1" t="s">
        <v>17</v>
      </c>
      <c r="S812" s="1" t="s">
        <v>3994</v>
      </c>
      <c r="T812" s="4">
        <v>4.3</v>
      </c>
    </row>
    <row r="813" spans="1:20">
      <c r="A813" s="1" t="s">
        <v>3981</v>
      </c>
      <c r="B813" s="1" t="s">
        <v>301</v>
      </c>
      <c r="C813" s="1" t="s">
        <v>3982</v>
      </c>
      <c r="D813" s="1" t="s">
        <v>408</v>
      </c>
      <c r="E813" s="2">
        <v>45835</v>
      </c>
      <c r="F813" s="2">
        <v>45835</v>
      </c>
      <c r="G813" s="1" t="s">
        <v>3990</v>
      </c>
      <c r="H813" s="3" t="s">
        <v>11</v>
      </c>
      <c r="I813" s="1" t="s">
        <v>3984</v>
      </c>
      <c r="J813" s="1" t="s">
        <v>12</v>
      </c>
      <c r="K813" s="3" t="s">
        <v>3995</v>
      </c>
      <c r="L813" s="1" t="s">
        <v>3987</v>
      </c>
      <c r="M813" s="1" t="s">
        <v>3996</v>
      </c>
      <c r="N813" s="1" t="s">
        <v>13</v>
      </c>
      <c r="O813" s="1" t="s">
        <v>3996</v>
      </c>
      <c r="P813" s="1" t="s">
        <v>13</v>
      </c>
      <c r="Q813" s="1" t="s">
        <v>16</v>
      </c>
      <c r="R813" s="1" t="s">
        <v>87</v>
      </c>
      <c r="S813" s="1" t="s">
        <v>3994</v>
      </c>
      <c r="T813" s="4">
        <v>0.5</v>
      </c>
    </row>
    <row r="814" spans="1:20">
      <c r="A814" s="1" t="s">
        <v>3981</v>
      </c>
      <c r="B814" s="1" t="s">
        <v>301</v>
      </c>
      <c r="C814" s="1" t="s">
        <v>3982</v>
      </c>
      <c r="D814" s="1" t="s">
        <v>408</v>
      </c>
      <c r="E814" s="2">
        <v>45835</v>
      </c>
      <c r="F814" s="2">
        <v>45835</v>
      </c>
      <c r="G814" s="1" t="s">
        <v>3990</v>
      </c>
      <c r="H814" s="3" t="s">
        <v>11</v>
      </c>
      <c r="I814" s="1" t="s">
        <v>3984</v>
      </c>
      <c r="J814" s="1" t="s">
        <v>12</v>
      </c>
      <c r="K814" s="3" t="s">
        <v>3995</v>
      </c>
      <c r="L814" s="1" t="s">
        <v>3987</v>
      </c>
      <c r="M814" s="1" t="s">
        <v>3996</v>
      </c>
      <c r="N814" s="1" t="s">
        <v>13</v>
      </c>
      <c r="O814" s="1" t="s">
        <v>3996</v>
      </c>
      <c r="P814" s="1" t="s">
        <v>13</v>
      </c>
      <c r="Q814" s="1" t="s">
        <v>16</v>
      </c>
      <c r="R814" s="1" t="s">
        <v>40</v>
      </c>
      <c r="S814" s="1" t="s">
        <v>3994</v>
      </c>
      <c r="T814" s="4">
        <v>2.9</v>
      </c>
    </row>
    <row r="815" spans="1:20">
      <c r="A815" s="1" t="s">
        <v>3981</v>
      </c>
      <c r="B815" s="1" t="s">
        <v>301</v>
      </c>
      <c r="C815" s="1" t="s">
        <v>3982</v>
      </c>
      <c r="D815" s="1" t="s">
        <v>408</v>
      </c>
      <c r="E815" s="2">
        <v>45835</v>
      </c>
      <c r="F815" s="2">
        <v>45835</v>
      </c>
      <c r="G815" s="1" t="s">
        <v>3990</v>
      </c>
      <c r="H815" s="3" t="s">
        <v>11</v>
      </c>
      <c r="I815" s="1" t="s">
        <v>3984</v>
      </c>
      <c r="J815" s="1" t="s">
        <v>12</v>
      </c>
      <c r="K815" s="3" t="s">
        <v>3995</v>
      </c>
      <c r="L815" s="1" t="s">
        <v>3987</v>
      </c>
      <c r="M815" s="1" t="s">
        <v>3996</v>
      </c>
      <c r="N815" s="1" t="s">
        <v>13</v>
      </c>
      <c r="O815" s="1" t="s">
        <v>3996</v>
      </c>
      <c r="P815" s="1" t="s">
        <v>13</v>
      </c>
      <c r="Q815" s="1" t="s">
        <v>16</v>
      </c>
      <c r="R815" s="1" t="s">
        <v>88</v>
      </c>
      <c r="S815" s="1" t="s">
        <v>3994</v>
      </c>
      <c r="T815" s="4">
        <v>0.5</v>
      </c>
    </row>
    <row r="816" spans="1:20">
      <c r="A816" s="1" t="s">
        <v>3981</v>
      </c>
      <c r="B816" s="1" t="s">
        <v>301</v>
      </c>
      <c r="C816" s="1" t="s">
        <v>3982</v>
      </c>
      <c r="D816" s="1" t="s">
        <v>408</v>
      </c>
      <c r="E816" s="2">
        <v>45835</v>
      </c>
      <c r="F816" s="2">
        <v>45835</v>
      </c>
      <c r="G816" s="1" t="s">
        <v>3990</v>
      </c>
      <c r="H816" s="3" t="s">
        <v>11</v>
      </c>
      <c r="I816" s="1" t="s">
        <v>3984</v>
      </c>
      <c r="J816" s="1" t="s">
        <v>12</v>
      </c>
      <c r="K816" s="3" t="s">
        <v>3995</v>
      </c>
      <c r="L816" s="1" t="s">
        <v>3987</v>
      </c>
      <c r="M816" s="1" t="s">
        <v>3996</v>
      </c>
      <c r="N816" s="1" t="s">
        <v>13</v>
      </c>
      <c r="O816" s="1" t="s">
        <v>3996</v>
      </c>
      <c r="P816" s="1" t="s">
        <v>13</v>
      </c>
      <c r="Q816" s="1" t="s">
        <v>16</v>
      </c>
      <c r="R816" s="1" t="s">
        <v>85</v>
      </c>
      <c r="S816" s="1" t="s">
        <v>3994</v>
      </c>
      <c r="T816" s="4">
        <v>0.6</v>
      </c>
    </row>
    <row r="817" spans="1:20">
      <c r="A817" s="1" t="s">
        <v>3981</v>
      </c>
      <c r="B817" s="1" t="s">
        <v>301</v>
      </c>
      <c r="C817" s="1" t="s">
        <v>3982</v>
      </c>
      <c r="D817" s="1" t="s">
        <v>408</v>
      </c>
      <c r="E817" s="2">
        <v>45835</v>
      </c>
      <c r="F817" s="2">
        <v>45835</v>
      </c>
      <c r="G817" s="1" t="s">
        <v>3990</v>
      </c>
      <c r="H817" s="3" t="s">
        <v>11</v>
      </c>
      <c r="I817" s="1" t="s">
        <v>3984</v>
      </c>
      <c r="J817" s="1" t="s">
        <v>12</v>
      </c>
      <c r="K817" s="3" t="s">
        <v>3995</v>
      </c>
      <c r="L817" s="1" t="s">
        <v>3987</v>
      </c>
      <c r="M817" s="1" t="s">
        <v>4017</v>
      </c>
      <c r="N817" s="1" t="s">
        <v>4018</v>
      </c>
      <c r="O817" s="1" t="s">
        <v>13</v>
      </c>
      <c r="P817" s="1" t="s">
        <v>13</v>
      </c>
      <c r="Q817" s="1" t="s">
        <v>4019</v>
      </c>
      <c r="R817" s="1" t="s">
        <v>4019</v>
      </c>
      <c r="S817" s="1" t="s">
        <v>3994</v>
      </c>
      <c r="T817" s="4">
        <v>4.8</v>
      </c>
    </row>
    <row r="818" spans="1:20">
      <c r="A818" s="1" t="s">
        <v>3981</v>
      </c>
      <c r="B818" s="1" t="s">
        <v>301</v>
      </c>
      <c r="C818" s="1" t="s">
        <v>3982</v>
      </c>
      <c r="D818" s="1" t="s">
        <v>408</v>
      </c>
      <c r="E818" s="2">
        <v>45835</v>
      </c>
      <c r="F818" s="2">
        <v>45835</v>
      </c>
      <c r="G818" s="1" t="s">
        <v>3990</v>
      </c>
      <c r="H818" s="3" t="s">
        <v>11</v>
      </c>
      <c r="I818" s="1" t="s">
        <v>3984</v>
      </c>
      <c r="J818" s="1" t="s">
        <v>12</v>
      </c>
      <c r="K818" s="3" t="s">
        <v>3995</v>
      </c>
      <c r="L818" s="1" t="s">
        <v>3987</v>
      </c>
      <c r="M818" s="1" t="s">
        <v>4010</v>
      </c>
      <c r="N818" s="1" t="s">
        <v>4011</v>
      </c>
      <c r="O818" s="1" t="s">
        <v>13</v>
      </c>
      <c r="P818" s="1" t="s">
        <v>13</v>
      </c>
      <c r="Q818" s="1" t="s">
        <v>4001</v>
      </c>
      <c r="R818" s="1" t="s">
        <v>4012</v>
      </c>
      <c r="S818" s="1" t="s">
        <v>3994</v>
      </c>
      <c r="T818" s="4">
        <v>1</v>
      </c>
    </row>
    <row r="819" spans="1:20">
      <c r="A819" s="1" t="s">
        <v>3981</v>
      </c>
      <c r="B819" s="1" t="s">
        <v>301</v>
      </c>
      <c r="C819" s="1" t="s">
        <v>3982</v>
      </c>
      <c r="D819" s="1" t="s">
        <v>408</v>
      </c>
      <c r="E819" s="2">
        <v>45835</v>
      </c>
      <c r="F819" s="2">
        <v>45835</v>
      </c>
      <c r="G819" s="1" t="s">
        <v>3990</v>
      </c>
      <c r="H819" s="3" t="s">
        <v>11</v>
      </c>
      <c r="I819" s="1" t="s">
        <v>3984</v>
      </c>
      <c r="J819" s="1" t="s">
        <v>12</v>
      </c>
      <c r="K819" s="3" t="s">
        <v>3995</v>
      </c>
      <c r="L819" s="1" t="s">
        <v>3987</v>
      </c>
      <c r="M819" s="1" t="s">
        <v>4055</v>
      </c>
      <c r="N819" s="1" t="s">
        <v>4056</v>
      </c>
      <c r="O819" s="1" t="s">
        <v>13</v>
      </c>
      <c r="P819" s="1" t="s">
        <v>13</v>
      </c>
      <c r="Q819" s="1" t="s">
        <v>4057</v>
      </c>
      <c r="R819" s="1" t="s">
        <v>4061</v>
      </c>
      <c r="S819" s="1" t="s">
        <v>3994</v>
      </c>
      <c r="T819" s="4">
        <v>18.600000000000001</v>
      </c>
    </row>
    <row r="820" spans="1:20">
      <c r="A820" s="1" t="s">
        <v>3981</v>
      </c>
      <c r="B820" s="1" t="s">
        <v>301</v>
      </c>
      <c r="C820" s="1" t="s">
        <v>3982</v>
      </c>
      <c r="D820" s="1" t="s">
        <v>408</v>
      </c>
      <c r="E820" s="2">
        <v>45835</v>
      </c>
      <c r="F820" s="2">
        <v>45835</v>
      </c>
      <c r="G820" s="1" t="s">
        <v>3997</v>
      </c>
      <c r="H820" s="3" t="s">
        <v>41</v>
      </c>
      <c r="I820" s="1" t="s">
        <v>3984</v>
      </c>
      <c r="J820" s="1" t="s">
        <v>12</v>
      </c>
      <c r="K820" s="3" t="s">
        <v>3995</v>
      </c>
      <c r="L820" s="1" t="s">
        <v>3987</v>
      </c>
      <c r="M820" s="1" t="s">
        <v>3999</v>
      </c>
      <c r="N820" s="1" t="s">
        <v>13</v>
      </c>
      <c r="O820" s="1" t="s">
        <v>3999</v>
      </c>
      <c r="P820" s="1" t="s">
        <v>13</v>
      </c>
      <c r="Q820" s="1" t="s">
        <v>4000</v>
      </c>
      <c r="R820" s="1" t="s">
        <v>4001</v>
      </c>
      <c r="S820" s="1" t="s">
        <v>3998</v>
      </c>
      <c r="T820" s="4">
        <v>16</v>
      </c>
    </row>
    <row r="821" spans="1:20">
      <c r="A821" s="1" t="s">
        <v>3981</v>
      </c>
      <c r="B821" s="1" t="s">
        <v>301</v>
      </c>
      <c r="C821" s="1" t="s">
        <v>3982</v>
      </c>
      <c r="D821" s="1" t="s">
        <v>408</v>
      </c>
      <c r="E821" s="2">
        <v>45835</v>
      </c>
      <c r="F821" s="2">
        <v>45835</v>
      </c>
      <c r="G821" s="1" t="s">
        <v>3997</v>
      </c>
      <c r="H821" s="3" t="s">
        <v>41</v>
      </c>
      <c r="I821" s="1" t="s">
        <v>3984</v>
      </c>
      <c r="J821" s="1" t="s">
        <v>12</v>
      </c>
      <c r="K821" s="3" t="s">
        <v>3995</v>
      </c>
      <c r="L821" s="1" t="s">
        <v>3987</v>
      </c>
      <c r="M821" s="1" t="s">
        <v>3996</v>
      </c>
      <c r="N821" s="1" t="s">
        <v>13</v>
      </c>
      <c r="O821" s="1" t="s">
        <v>3996</v>
      </c>
      <c r="P821" s="1" t="s">
        <v>13</v>
      </c>
      <c r="Q821" s="1" t="s">
        <v>14</v>
      </c>
      <c r="R821" s="1" t="s">
        <v>54</v>
      </c>
      <c r="S821" s="1" t="s">
        <v>3998</v>
      </c>
      <c r="T821" s="4">
        <v>2</v>
      </c>
    </row>
    <row r="822" spans="1:20">
      <c r="A822" s="1" t="s">
        <v>3981</v>
      </c>
      <c r="B822" s="1" t="s">
        <v>301</v>
      </c>
      <c r="C822" s="1" t="s">
        <v>3982</v>
      </c>
      <c r="D822" s="1" t="s">
        <v>408</v>
      </c>
      <c r="E822" s="2">
        <v>45835</v>
      </c>
      <c r="F822" s="2">
        <v>45835</v>
      </c>
      <c r="G822" s="1" t="s">
        <v>3997</v>
      </c>
      <c r="H822" s="3" t="s">
        <v>41</v>
      </c>
      <c r="I822" s="1" t="s">
        <v>3984</v>
      </c>
      <c r="J822" s="1" t="s">
        <v>12</v>
      </c>
      <c r="K822" s="3" t="s">
        <v>3995</v>
      </c>
      <c r="L822" s="1" t="s">
        <v>4002</v>
      </c>
      <c r="M822" s="1" t="s">
        <v>4003</v>
      </c>
      <c r="N822" s="1" t="s">
        <v>13</v>
      </c>
      <c r="O822" s="1" t="s">
        <v>4003</v>
      </c>
      <c r="P822" s="1" t="s">
        <v>13</v>
      </c>
      <c r="Q822" s="1" t="s">
        <v>4004</v>
      </c>
      <c r="R822" s="1" t="s">
        <v>4001</v>
      </c>
      <c r="S822" s="1" t="s">
        <v>3998</v>
      </c>
      <c r="T822" s="4">
        <v>21.5</v>
      </c>
    </row>
    <row r="823" spans="1:20">
      <c r="A823" s="1" t="s">
        <v>3981</v>
      </c>
      <c r="B823" s="1" t="s">
        <v>301</v>
      </c>
      <c r="C823" s="1" t="s">
        <v>3982</v>
      </c>
      <c r="D823" s="1" t="s">
        <v>408</v>
      </c>
      <c r="E823" s="2">
        <v>45835</v>
      </c>
      <c r="F823" s="2">
        <v>45835</v>
      </c>
      <c r="G823" s="1" t="s">
        <v>4005</v>
      </c>
      <c r="H823" s="3" t="s">
        <v>21</v>
      </c>
      <c r="I823" s="1" t="s">
        <v>3984</v>
      </c>
      <c r="J823" s="1" t="s">
        <v>12</v>
      </c>
      <c r="K823" s="3" t="s">
        <v>3995</v>
      </c>
      <c r="L823" s="1" t="s">
        <v>3987</v>
      </c>
      <c r="M823" s="1" t="s">
        <v>3996</v>
      </c>
      <c r="N823" s="1" t="s">
        <v>13</v>
      </c>
      <c r="O823" s="1" t="s">
        <v>3996</v>
      </c>
      <c r="P823" s="1" t="s">
        <v>13</v>
      </c>
      <c r="Q823" s="1" t="s">
        <v>14</v>
      </c>
      <c r="R823" s="1" t="s">
        <v>24</v>
      </c>
      <c r="S823" s="1" t="s">
        <v>4007</v>
      </c>
      <c r="T823" s="4">
        <v>2.9</v>
      </c>
    </row>
    <row r="824" spans="1:20">
      <c r="A824" s="1" t="s">
        <v>3981</v>
      </c>
      <c r="B824" s="1" t="s">
        <v>301</v>
      </c>
      <c r="C824" s="1" t="s">
        <v>3982</v>
      </c>
      <c r="D824" s="1" t="s">
        <v>408</v>
      </c>
      <c r="E824" s="2">
        <v>45835</v>
      </c>
      <c r="F824" s="2">
        <v>45835</v>
      </c>
      <c r="G824" s="1" t="s">
        <v>4005</v>
      </c>
      <c r="H824" s="3" t="s">
        <v>21</v>
      </c>
      <c r="I824" s="1" t="s">
        <v>3984</v>
      </c>
      <c r="J824" s="1" t="s">
        <v>12</v>
      </c>
      <c r="K824" s="3" t="s">
        <v>3995</v>
      </c>
      <c r="L824" s="1" t="s">
        <v>3987</v>
      </c>
      <c r="M824" s="1" t="s">
        <v>3996</v>
      </c>
      <c r="N824" s="1" t="s">
        <v>13</v>
      </c>
      <c r="O824" s="1" t="s">
        <v>3996</v>
      </c>
      <c r="P824" s="1" t="s">
        <v>13</v>
      </c>
      <c r="Q824" s="1" t="s">
        <v>14</v>
      </c>
      <c r="R824" s="1" t="s">
        <v>23</v>
      </c>
      <c r="S824" s="1" t="s">
        <v>4007</v>
      </c>
      <c r="T824" s="4">
        <v>19.399999999999999</v>
      </c>
    </row>
    <row r="825" spans="1:20">
      <c r="A825" s="1" t="s">
        <v>3981</v>
      </c>
      <c r="B825" s="1" t="s">
        <v>301</v>
      </c>
      <c r="C825" s="1" t="s">
        <v>3982</v>
      </c>
      <c r="D825" s="1" t="s">
        <v>408</v>
      </c>
      <c r="E825" s="2">
        <v>45835</v>
      </c>
      <c r="F825" s="2">
        <v>45835</v>
      </c>
      <c r="G825" s="1" t="s">
        <v>4005</v>
      </c>
      <c r="H825" s="3" t="s">
        <v>21</v>
      </c>
      <c r="I825" s="1" t="s">
        <v>3984</v>
      </c>
      <c r="J825" s="1" t="s">
        <v>12</v>
      </c>
      <c r="K825" s="3" t="s">
        <v>3995</v>
      </c>
      <c r="L825" s="1" t="s">
        <v>3987</v>
      </c>
      <c r="M825" s="1" t="s">
        <v>3996</v>
      </c>
      <c r="N825" s="1" t="s">
        <v>13</v>
      </c>
      <c r="O825" s="1" t="s">
        <v>3996</v>
      </c>
      <c r="P825" s="1" t="s">
        <v>13</v>
      </c>
      <c r="Q825" s="1" t="s">
        <v>14</v>
      </c>
      <c r="R825" s="1" t="s">
        <v>57</v>
      </c>
      <c r="S825" s="1" t="s">
        <v>4007</v>
      </c>
      <c r="T825" s="4">
        <v>0.5</v>
      </c>
    </row>
    <row r="826" spans="1:20">
      <c r="A826" s="1" t="s">
        <v>3981</v>
      </c>
      <c r="B826" s="1" t="s">
        <v>301</v>
      </c>
      <c r="C826" s="1" t="s">
        <v>3982</v>
      </c>
      <c r="D826" s="1" t="s">
        <v>408</v>
      </c>
      <c r="E826" s="2">
        <v>45835</v>
      </c>
      <c r="F826" s="2">
        <v>45835</v>
      </c>
      <c r="G826" s="1" t="s">
        <v>4005</v>
      </c>
      <c r="H826" s="3" t="s">
        <v>21</v>
      </c>
      <c r="I826" s="1" t="s">
        <v>3984</v>
      </c>
      <c r="J826" s="1" t="s">
        <v>12</v>
      </c>
      <c r="K826" s="3" t="s">
        <v>3995</v>
      </c>
      <c r="L826" s="1" t="s">
        <v>3987</v>
      </c>
      <c r="M826" s="1" t="s">
        <v>3996</v>
      </c>
      <c r="N826" s="1" t="s">
        <v>13</v>
      </c>
      <c r="O826" s="1" t="s">
        <v>3996</v>
      </c>
      <c r="P826" s="1" t="s">
        <v>13</v>
      </c>
      <c r="Q826" s="1" t="s">
        <v>14</v>
      </c>
      <c r="R826" s="1" t="s">
        <v>80</v>
      </c>
      <c r="S826" s="1" t="s">
        <v>4007</v>
      </c>
      <c r="T826" s="4">
        <v>3.9</v>
      </c>
    </row>
    <row r="827" spans="1:20">
      <c r="A827" s="1" t="s">
        <v>3981</v>
      </c>
      <c r="B827" s="1" t="s">
        <v>301</v>
      </c>
      <c r="C827" s="1" t="s">
        <v>3982</v>
      </c>
      <c r="D827" s="1" t="s">
        <v>408</v>
      </c>
      <c r="E827" s="2">
        <v>45835</v>
      </c>
      <c r="F827" s="2">
        <v>45835</v>
      </c>
      <c r="G827" s="1" t="s">
        <v>4005</v>
      </c>
      <c r="H827" s="3" t="s">
        <v>21</v>
      </c>
      <c r="I827" s="1" t="s">
        <v>3984</v>
      </c>
      <c r="J827" s="1" t="s">
        <v>12</v>
      </c>
      <c r="K827" s="3" t="s">
        <v>3995</v>
      </c>
      <c r="L827" s="1" t="s">
        <v>3987</v>
      </c>
      <c r="M827" s="1" t="s">
        <v>3996</v>
      </c>
      <c r="N827" s="1" t="s">
        <v>13</v>
      </c>
      <c r="O827" s="1" t="s">
        <v>3996</v>
      </c>
      <c r="P827" s="1" t="s">
        <v>13</v>
      </c>
      <c r="Q827" s="1" t="s">
        <v>14</v>
      </c>
      <c r="R827" s="1" t="s">
        <v>77</v>
      </c>
      <c r="S827" s="1" t="s">
        <v>4007</v>
      </c>
      <c r="T827" s="4">
        <v>13.2</v>
      </c>
    </row>
    <row r="828" spans="1:20">
      <c r="A828" s="1" t="s">
        <v>3981</v>
      </c>
      <c r="B828" s="1" t="s">
        <v>301</v>
      </c>
      <c r="C828" s="1" t="s">
        <v>3982</v>
      </c>
      <c r="D828" s="1" t="s">
        <v>408</v>
      </c>
      <c r="E828" s="2">
        <v>45835</v>
      </c>
      <c r="F828" s="2">
        <v>45835</v>
      </c>
      <c r="G828" s="1" t="s">
        <v>4005</v>
      </c>
      <c r="H828" s="3" t="s">
        <v>21</v>
      </c>
      <c r="I828" s="1" t="s">
        <v>3984</v>
      </c>
      <c r="J828" s="1" t="s">
        <v>12</v>
      </c>
      <c r="K828" s="3" t="s">
        <v>3995</v>
      </c>
      <c r="L828" s="1" t="s">
        <v>3987</v>
      </c>
      <c r="M828" s="1" t="s">
        <v>3996</v>
      </c>
      <c r="N828" s="1" t="s">
        <v>13</v>
      </c>
      <c r="O828" s="1" t="s">
        <v>3996</v>
      </c>
      <c r="P828" s="1" t="s">
        <v>13</v>
      </c>
      <c r="Q828" s="1" t="s">
        <v>28</v>
      </c>
      <c r="R828" s="1" t="s">
        <v>29</v>
      </c>
      <c r="S828" s="1" t="s">
        <v>4007</v>
      </c>
      <c r="T828" s="4">
        <v>1.2</v>
      </c>
    </row>
    <row r="829" spans="1:20">
      <c r="A829" s="1" t="s">
        <v>3981</v>
      </c>
      <c r="B829" s="1" t="s">
        <v>301</v>
      </c>
      <c r="C829" s="1" t="s">
        <v>3982</v>
      </c>
      <c r="D829" s="1" t="s">
        <v>408</v>
      </c>
      <c r="E829" s="2">
        <v>45835</v>
      </c>
      <c r="F829" s="2">
        <v>45835</v>
      </c>
      <c r="G829" s="1" t="s">
        <v>4008</v>
      </c>
      <c r="H829" s="3" t="s">
        <v>25</v>
      </c>
      <c r="I829" s="1" t="s">
        <v>3984</v>
      </c>
      <c r="J829" s="1" t="s">
        <v>3985</v>
      </c>
      <c r="K829" s="3" t="s">
        <v>3986</v>
      </c>
      <c r="L829" s="1" t="s">
        <v>3987</v>
      </c>
      <c r="M829" s="1" t="s">
        <v>13</v>
      </c>
      <c r="N829" s="1" t="s">
        <v>13</v>
      </c>
      <c r="O829" s="1" t="s">
        <v>3988</v>
      </c>
      <c r="P829" s="1" t="s">
        <v>13</v>
      </c>
      <c r="Q829" s="1" t="s">
        <v>13</v>
      </c>
      <c r="R829" s="1" t="s">
        <v>13</v>
      </c>
      <c r="S829" s="1" t="s">
        <v>4009</v>
      </c>
      <c r="T829" s="4">
        <v>9</v>
      </c>
    </row>
    <row r="830" spans="1:20">
      <c r="A830" s="1" t="s">
        <v>3981</v>
      </c>
      <c r="B830" s="1" t="s">
        <v>301</v>
      </c>
      <c r="C830" s="1" t="s">
        <v>3982</v>
      </c>
      <c r="D830" s="1" t="s">
        <v>408</v>
      </c>
      <c r="E830" s="2">
        <v>45835</v>
      </c>
      <c r="F830" s="2">
        <v>45835</v>
      </c>
      <c r="G830" s="1" t="s">
        <v>4008</v>
      </c>
      <c r="H830" s="3" t="s">
        <v>25</v>
      </c>
      <c r="I830" s="1" t="s">
        <v>3984</v>
      </c>
      <c r="J830" s="1" t="s">
        <v>12</v>
      </c>
      <c r="K830" s="3" t="s">
        <v>3995</v>
      </c>
      <c r="L830" s="1" t="s">
        <v>4013</v>
      </c>
      <c r="M830" s="1" t="s">
        <v>4014</v>
      </c>
      <c r="N830" s="1" t="s">
        <v>13</v>
      </c>
      <c r="O830" s="1" t="s">
        <v>4014</v>
      </c>
      <c r="P830" s="1" t="s">
        <v>13</v>
      </c>
      <c r="Q830" s="1" t="s">
        <v>13</v>
      </c>
      <c r="R830" s="1" t="s">
        <v>13</v>
      </c>
      <c r="S830" s="1" t="s">
        <v>4009</v>
      </c>
      <c r="T830" s="4">
        <v>6</v>
      </c>
    </row>
    <row r="831" spans="1:20">
      <c r="A831" s="1" t="s">
        <v>3981</v>
      </c>
      <c r="B831" s="1" t="s">
        <v>301</v>
      </c>
      <c r="C831" s="1" t="s">
        <v>3982</v>
      </c>
      <c r="D831" s="1" t="s">
        <v>408</v>
      </c>
      <c r="E831" s="2">
        <v>45835</v>
      </c>
      <c r="F831" s="2">
        <v>45835</v>
      </c>
      <c r="G831" s="1" t="s">
        <v>4008</v>
      </c>
      <c r="H831" s="3" t="s">
        <v>25</v>
      </c>
      <c r="I831" s="1" t="s">
        <v>3984</v>
      </c>
      <c r="J831" s="1" t="s">
        <v>12</v>
      </c>
      <c r="K831" s="3" t="s">
        <v>3995</v>
      </c>
      <c r="L831" s="1" t="s">
        <v>4013</v>
      </c>
      <c r="M831" s="1" t="s">
        <v>4042</v>
      </c>
      <c r="N831" s="1" t="s">
        <v>4043</v>
      </c>
      <c r="O831" s="1" t="s">
        <v>13</v>
      </c>
      <c r="P831" s="1" t="s">
        <v>13</v>
      </c>
      <c r="Q831" s="1" t="s">
        <v>13</v>
      </c>
      <c r="R831" s="1" t="s">
        <v>13</v>
      </c>
      <c r="S831" s="1" t="s">
        <v>4009</v>
      </c>
      <c r="T831" s="4">
        <v>0.8</v>
      </c>
    </row>
    <row r="832" spans="1:20">
      <c r="A832" s="1" t="s">
        <v>3981</v>
      </c>
      <c r="B832" s="1" t="s">
        <v>301</v>
      </c>
      <c r="C832" s="1" t="s">
        <v>3982</v>
      </c>
      <c r="D832" s="1" t="s">
        <v>408</v>
      </c>
      <c r="E832" s="2">
        <v>45835</v>
      </c>
      <c r="F832" s="2">
        <v>45835</v>
      </c>
      <c r="G832" s="1" t="s">
        <v>4008</v>
      </c>
      <c r="H832" s="3" t="s">
        <v>25</v>
      </c>
      <c r="I832" s="1" t="s">
        <v>3984</v>
      </c>
      <c r="J832" s="1" t="s">
        <v>12</v>
      </c>
      <c r="K832" s="3" t="s">
        <v>3995</v>
      </c>
      <c r="L832" s="1" t="s">
        <v>3987</v>
      </c>
      <c r="M832" s="1" t="s">
        <v>3996</v>
      </c>
      <c r="N832" s="1" t="s">
        <v>13</v>
      </c>
      <c r="O832" s="1" t="s">
        <v>3996</v>
      </c>
      <c r="P832" s="1" t="s">
        <v>13</v>
      </c>
      <c r="Q832" s="1" t="s">
        <v>14</v>
      </c>
      <c r="R832" s="1" t="s">
        <v>79</v>
      </c>
      <c r="S832" s="1" t="s">
        <v>4009</v>
      </c>
      <c r="T832" s="4">
        <v>0.5</v>
      </c>
    </row>
    <row r="833" spans="1:20">
      <c r="A833" s="1" t="s">
        <v>3981</v>
      </c>
      <c r="B833" s="1" t="s">
        <v>301</v>
      </c>
      <c r="C833" s="1" t="s">
        <v>3982</v>
      </c>
      <c r="D833" s="1" t="s">
        <v>408</v>
      </c>
      <c r="E833" s="2">
        <v>45835</v>
      </c>
      <c r="F833" s="2">
        <v>45835</v>
      </c>
      <c r="G833" s="1" t="s">
        <v>4008</v>
      </c>
      <c r="H833" s="3" t="s">
        <v>25</v>
      </c>
      <c r="I833" s="1" t="s">
        <v>3984</v>
      </c>
      <c r="J833" s="1" t="s">
        <v>12</v>
      </c>
      <c r="K833" s="3" t="s">
        <v>3995</v>
      </c>
      <c r="L833" s="1" t="s">
        <v>3987</v>
      </c>
      <c r="M833" s="1" t="s">
        <v>3996</v>
      </c>
      <c r="N833" s="1" t="s">
        <v>13</v>
      </c>
      <c r="O833" s="1" t="s">
        <v>3996</v>
      </c>
      <c r="P833" s="1" t="s">
        <v>13</v>
      </c>
      <c r="Q833" s="1" t="s">
        <v>28</v>
      </c>
      <c r="R833" s="1" t="s">
        <v>29</v>
      </c>
      <c r="S833" s="1" t="s">
        <v>4009</v>
      </c>
      <c r="T833" s="4">
        <v>3.3</v>
      </c>
    </row>
    <row r="834" spans="1:20">
      <c r="A834" s="1" t="s">
        <v>3981</v>
      </c>
      <c r="B834" s="1" t="s">
        <v>301</v>
      </c>
      <c r="C834" s="1" t="s">
        <v>3982</v>
      </c>
      <c r="D834" s="1" t="s">
        <v>408</v>
      </c>
      <c r="E834" s="2">
        <v>45835</v>
      </c>
      <c r="F834" s="2">
        <v>45835</v>
      </c>
      <c r="G834" s="1" t="s">
        <v>4008</v>
      </c>
      <c r="H834" s="3" t="s">
        <v>25</v>
      </c>
      <c r="I834" s="1" t="s">
        <v>3984</v>
      </c>
      <c r="J834" s="1" t="s">
        <v>12</v>
      </c>
      <c r="K834" s="3" t="s">
        <v>3995</v>
      </c>
      <c r="L834" s="1" t="s">
        <v>3987</v>
      </c>
      <c r="M834" s="1" t="s">
        <v>3996</v>
      </c>
      <c r="N834" s="1" t="s">
        <v>13</v>
      </c>
      <c r="O834" s="1" t="s">
        <v>3996</v>
      </c>
      <c r="P834" s="1" t="s">
        <v>13</v>
      </c>
      <c r="Q834" s="1" t="s">
        <v>44</v>
      </c>
      <c r="R834" s="1" t="s">
        <v>45</v>
      </c>
      <c r="S834" s="1" t="s">
        <v>4009</v>
      </c>
      <c r="T834" s="4">
        <v>17.2</v>
      </c>
    </row>
    <row r="835" spans="1:20">
      <c r="A835" s="1" t="s">
        <v>3981</v>
      </c>
      <c r="B835" s="1" t="s">
        <v>301</v>
      </c>
      <c r="C835" s="1" t="s">
        <v>3982</v>
      </c>
      <c r="D835" s="1" t="s">
        <v>408</v>
      </c>
      <c r="E835" s="2">
        <v>45835</v>
      </c>
      <c r="F835" s="2">
        <v>45835</v>
      </c>
      <c r="G835" s="1" t="s">
        <v>4008</v>
      </c>
      <c r="H835" s="3" t="s">
        <v>25</v>
      </c>
      <c r="I835" s="1" t="s">
        <v>3984</v>
      </c>
      <c r="J835" s="1" t="s">
        <v>12</v>
      </c>
      <c r="K835" s="3" t="s">
        <v>3995</v>
      </c>
      <c r="L835" s="1" t="s">
        <v>3987</v>
      </c>
      <c r="M835" s="1" t="s">
        <v>3996</v>
      </c>
      <c r="N835" s="1" t="s">
        <v>13</v>
      </c>
      <c r="O835" s="1" t="s">
        <v>3996</v>
      </c>
      <c r="P835" s="1" t="s">
        <v>13</v>
      </c>
      <c r="Q835" s="1" t="s">
        <v>38</v>
      </c>
      <c r="R835" s="1" t="s">
        <v>46</v>
      </c>
      <c r="S835" s="1" t="s">
        <v>4009</v>
      </c>
      <c r="T835" s="4">
        <v>0.5</v>
      </c>
    </row>
    <row r="836" spans="1:20">
      <c r="A836" s="1" t="s">
        <v>3981</v>
      </c>
      <c r="B836" s="1" t="s">
        <v>301</v>
      </c>
      <c r="C836" s="1" t="s">
        <v>3982</v>
      </c>
      <c r="D836" s="1" t="s">
        <v>408</v>
      </c>
      <c r="E836" s="2">
        <v>45835</v>
      </c>
      <c r="F836" s="2">
        <v>45835</v>
      </c>
      <c r="G836" s="1" t="s">
        <v>4008</v>
      </c>
      <c r="H836" s="3" t="s">
        <v>25</v>
      </c>
      <c r="I836" s="1" t="s">
        <v>3984</v>
      </c>
      <c r="J836" s="1" t="s">
        <v>12</v>
      </c>
      <c r="K836" s="3" t="s">
        <v>3995</v>
      </c>
      <c r="L836" s="1" t="s">
        <v>3987</v>
      </c>
      <c r="M836" s="1" t="s">
        <v>3996</v>
      </c>
      <c r="N836" s="1" t="s">
        <v>13</v>
      </c>
      <c r="O836" s="1" t="s">
        <v>3996</v>
      </c>
      <c r="P836" s="1" t="s">
        <v>13</v>
      </c>
      <c r="Q836" s="1" t="s">
        <v>30</v>
      </c>
      <c r="R836" s="1" t="s">
        <v>67</v>
      </c>
      <c r="S836" s="1" t="s">
        <v>4009</v>
      </c>
      <c r="T836" s="4">
        <v>2.5</v>
      </c>
    </row>
    <row r="837" spans="1:20">
      <c r="A837" s="1" t="s">
        <v>3981</v>
      </c>
      <c r="B837" s="1" t="s">
        <v>301</v>
      </c>
      <c r="C837" s="1" t="s">
        <v>3982</v>
      </c>
      <c r="D837" s="1" t="s">
        <v>408</v>
      </c>
      <c r="E837" s="2">
        <v>45835</v>
      </c>
      <c r="F837" s="2">
        <v>45835</v>
      </c>
      <c r="G837" s="1" t="s">
        <v>4008</v>
      </c>
      <c r="H837" s="3" t="s">
        <v>25</v>
      </c>
      <c r="I837" s="1" t="s">
        <v>3984</v>
      </c>
      <c r="J837" s="1" t="s">
        <v>12</v>
      </c>
      <c r="K837" s="3" t="s">
        <v>3995</v>
      </c>
      <c r="L837" s="1" t="s">
        <v>3987</v>
      </c>
      <c r="M837" s="1" t="s">
        <v>3996</v>
      </c>
      <c r="N837" s="1" t="s">
        <v>13</v>
      </c>
      <c r="O837" s="1" t="s">
        <v>3996</v>
      </c>
      <c r="P837" s="1" t="s">
        <v>13</v>
      </c>
      <c r="Q837" s="1" t="s">
        <v>30</v>
      </c>
      <c r="R837" s="1" t="s">
        <v>62</v>
      </c>
      <c r="S837" s="1" t="s">
        <v>4009</v>
      </c>
      <c r="T837" s="4">
        <v>6.7</v>
      </c>
    </row>
    <row r="838" spans="1:20">
      <c r="A838" s="1" t="s">
        <v>3981</v>
      </c>
      <c r="B838" s="1" t="s">
        <v>301</v>
      </c>
      <c r="C838" s="1" t="s">
        <v>3982</v>
      </c>
      <c r="D838" s="1" t="s">
        <v>408</v>
      </c>
      <c r="E838" s="2">
        <v>45835</v>
      </c>
      <c r="F838" s="2">
        <v>45835</v>
      </c>
      <c r="G838" s="1" t="s">
        <v>4008</v>
      </c>
      <c r="H838" s="3" t="s">
        <v>25</v>
      </c>
      <c r="I838" s="1" t="s">
        <v>3984</v>
      </c>
      <c r="J838" s="1" t="s">
        <v>12</v>
      </c>
      <c r="K838" s="3" t="s">
        <v>3995</v>
      </c>
      <c r="L838" s="1" t="s">
        <v>3987</v>
      </c>
      <c r="M838" s="1" t="s">
        <v>3996</v>
      </c>
      <c r="N838" s="1" t="s">
        <v>13</v>
      </c>
      <c r="O838" s="1" t="s">
        <v>3996</v>
      </c>
      <c r="P838" s="1" t="s">
        <v>13</v>
      </c>
      <c r="Q838" s="1" t="s">
        <v>30</v>
      </c>
      <c r="R838" s="1" t="s">
        <v>68</v>
      </c>
      <c r="S838" s="1" t="s">
        <v>4009</v>
      </c>
      <c r="T838" s="4">
        <v>2.5</v>
      </c>
    </row>
    <row r="839" spans="1:20">
      <c r="A839" s="1" t="s">
        <v>3981</v>
      </c>
      <c r="B839" s="1" t="s">
        <v>301</v>
      </c>
      <c r="C839" s="1" t="s">
        <v>3982</v>
      </c>
      <c r="D839" s="1" t="s">
        <v>603</v>
      </c>
      <c r="E839" s="2">
        <v>45849</v>
      </c>
      <c r="F839" s="2">
        <v>45842</v>
      </c>
      <c r="G839" s="1" t="s">
        <v>3983</v>
      </c>
      <c r="H839" s="3" t="s">
        <v>32</v>
      </c>
      <c r="I839" s="1" t="s">
        <v>3984</v>
      </c>
      <c r="J839" s="1" t="s">
        <v>12</v>
      </c>
      <c r="K839" s="3" t="s">
        <v>3995</v>
      </c>
      <c r="L839" s="1" t="s">
        <v>3987</v>
      </c>
      <c r="M839" s="1" t="s">
        <v>3996</v>
      </c>
      <c r="N839" s="1" t="s">
        <v>13</v>
      </c>
      <c r="O839" s="1" t="s">
        <v>3996</v>
      </c>
      <c r="P839" s="1" t="s">
        <v>13</v>
      </c>
      <c r="Q839" s="1" t="s">
        <v>89</v>
      </c>
      <c r="R839" s="1" t="s">
        <v>90</v>
      </c>
      <c r="S839" s="1" t="s">
        <v>3989</v>
      </c>
      <c r="T839" s="4">
        <v>1</v>
      </c>
    </row>
    <row r="840" spans="1:20">
      <c r="A840" s="1" t="s">
        <v>3981</v>
      </c>
      <c r="B840" s="1" t="s">
        <v>301</v>
      </c>
      <c r="C840" s="1" t="s">
        <v>3982</v>
      </c>
      <c r="D840" s="1" t="s">
        <v>603</v>
      </c>
      <c r="E840" s="2">
        <v>45849</v>
      </c>
      <c r="F840" s="2">
        <v>45842</v>
      </c>
      <c r="G840" s="1" t="s">
        <v>3983</v>
      </c>
      <c r="H840" s="3" t="s">
        <v>32</v>
      </c>
      <c r="I840" s="1" t="s">
        <v>3984</v>
      </c>
      <c r="J840" s="1" t="s">
        <v>12</v>
      </c>
      <c r="K840" s="3" t="s">
        <v>3995</v>
      </c>
      <c r="L840" s="1" t="s">
        <v>3987</v>
      </c>
      <c r="M840" s="1" t="s">
        <v>3996</v>
      </c>
      <c r="N840" s="1" t="s">
        <v>13</v>
      </c>
      <c r="O840" s="1" t="s">
        <v>3996</v>
      </c>
      <c r="P840" s="1" t="s">
        <v>13</v>
      </c>
      <c r="Q840" s="1" t="s">
        <v>14</v>
      </c>
      <c r="R840" s="1" t="s">
        <v>54</v>
      </c>
      <c r="S840" s="1" t="s">
        <v>3989</v>
      </c>
      <c r="T840" s="4">
        <v>9</v>
      </c>
    </row>
    <row r="841" spans="1:20">
      <c r="A841" s="1" t="s">
        <v>3981</v>
      </c>
      <c r="B841" s="1" t="s">
        <v>301</v>
      </c>
      <c r="C841" s="1" t="s">
        <v>3982</v>
      </c>
      <c r="D841" s="1" t="s">
        <v>603</v>
      </c>
      <c r="E841" s="2">
        <v>45849</v>
      </c>
      <c r="F841" s="2">
        <v>45842</v>
      </c>
      <c r="G841" s="1" t="s">
        <v>3990</v>
      </c>
      <c r="H841" s="3" t="s">
        <v>11</v>
      </c>
      <c r="I841" s="1" t="s">
        <v>3984</v>
      </c>
      <c r="J841" s="1" t="s">
        <v>3985</v>
      </c>
      <c r="K841" s="3" t="s">
        <v>3986</v>
      </c>
      <c r="L841" s="1" t="s">
        <v>3987</v>
      </c>
      <c r="M841" s="1" t="s">
        <v>13</v>
      </c>
      <c r="N841" s="1" t="s">
        <v>13</v>
      </c>
      <c r="O841" s="1" t="s">
        <v>3988</v>
      </c>
      <c r="P841" s="1" t="s">
        <v>13</v>
      </c>
      <c r="Q841" s="1" t="s">
        <v>13</v>
      </c>
      <c r="R841" s="1" t="s">
        <v>13</v>
      </c>
      <c r="S841" s="1" t="s">
        <v>3994</v>
      </c>
      <c r="T841" s="4">
        <v>1.8</v>
      </c>
    </row>
    <row r="842" spans="1:20">
      <c r="A842" s="1" t="s">
        <v>3981</v>
      </c>
      <c r="B842" s="1" t="s">
        <v>301</v>
      </c>
      <c r="C842" s="1" t="s">
        <v>3982</v>
      </c>
      <c r="D842" s="1" t="s">
        <v>603</v>
      </c>
      <c r="E842" s="2">
        <v>45849</v>
      </c>
      <c r="F842" s="2">
        <v>45842</v>
      </c>
      <c r="G842" s="1" t="s">
        <v>3990</v>
      </c>
      <c r="H842" s="3" t="s">
        <v>11</v>
      </c>
      <c r="I842" s="1" t="s">
        <v>3984</v>
      </c>
      <c r="J842" s="1" t="s">
        <v>12</v>
      </c>
      <c r="K842" s="3" t="s">
        <v>3995</v>
      </c>
      <c r="L842" s="1" t="s">
        <v>3987</v>
      </c>
      <c r="M842" s="1" t="s">
        <v>3996</v>
      </c>
      <c r="N842" s="1" t="s">
        <v>13</v>
      </c>
      <c r="O842" s="1" t="s">
        <v>3996</v>
      </c>
      <c r="P842" s="1" t="s">
        <v>13</v>
      </c>
      <c r="Q842" s="1" t="s">
        <v>14</v>
      </c>
      <c r="R842" s="1" t="s">
        <v>24</v>
      </c>
      <c r="S842" s="1" t="s">
        <v>3994</v>
      </c>
      <c r="T842" s="4">
        <v>1.3</v>
      </c>
    </row>
    <row r="843" spans="1:20">
      <c r="A843" s="1" t="s">
        <v>3981</v>
      </c>
      <c r="B843" s="1" t="s">
        <v>301</v>
      </c>
      <c r="C843" s="1" t="s">
        <v>3982</v>
      </c>
      <c r="D843" s="1" t="s">
        <v>603</v>
      </c>
      <c r="E843" s="2">
        <v>45849</v>
      </c>
      <c r="F843" s="2">
        <v>45842</v>
      </c>
      <c r="G843" s="1" t="s">
        <v>3990</v>
      </c>
      <c r="H843" s="3" t="s">
        <v>11</v>
      </c>
      <c r="I843" s="1" t="s">
        <v>3984</v>
      </c>
      <c r="J843" s="1" t="s">
        <v>12</v>
      </c>
      <c r="K843" s="3" t="s">
        <v>3995</v>
      </c>
      <c r="L843" s="1" t="s">
        <v>3987</v>
      </c>
      <c r="M843" s="1" t="s">
        <v>3996</v>
      </c>
      <c r="N843" s="1" t="s">
        <v>13</v>
      </c>
      <c r="O843" s="1" t="s">
        <v>3996</v>
      </c>
      <c r="P843" s="1" t="s">
        <v>13</v>
      </c>
      <c r="Q843" s="1" t="s">
        <v>14</v>
      </c>
      <c r="R843" s="1" t="s">
        <v>15</v>
      </c>
      <c r="S843" s="1" t="s">
        <v>3994</v>
      </c>
      <c r="T843" s="4">
        <v>1.4</v>
      </c>
    </row>
    <row r="844" spans="1:20">
      <c r="A844" s="1" t="s">
        <v>3981</v>
      </c>
      <c r="B844" s="1" t="s">
        <v>301</v>
      </c>
      <c r="C844" s="1" t="s">
        <v>3982</v>
      </c>
      <c r="D844" s="1" t="s">
        <v>603</v>
      </c>
      <c r="E844" s="2">
        <v>45849</v>
      </c>
      <c r="F844" s="2">
        <v>45842</v>
      </c>
      <c r="G844" s="1" t="s">
        <v>3990</v>
      </c>
      <c r="H844" s="3" t="s">
        <v>11</v>
      </c>
      <c r="I844" s="1" t="s">
        <v>3984</v>
      </c>
      <c r="J844" s="1" t="s">
        <v>12</v>
      </c>
      <c r="K844" s="3" t="s">
        <v>3995</v>
      </c>
      <c r="L844" s="1" t="s">
        <v>3987</v>
      </c>
      <c r="M844" s="1" t="s">
        <v>3996</v>
      </c>
      <c r="N844" s="1" t="s">
        <v>13</v>
      </c>
      <c r="O844" s="1" t="s">
        <v>3996</v>
      </c>
      <c r="P844" s="1" t="s">
        <v>13</v>
      </c>
      <c r="Q844" s="1" t="s">
        <v>16</v>
      </c>
      <c r="R844" s="1" t="s">
        <v>87</v>
      </c>
      <c r="S844" s="1" t="s">
        <v>3994</v>
      </c>
      <c r="T844" s="4">
        <v>0.7</v>
      </c>
    </row>
    <row r="845" spans="1:20">
      <c r="A845" s="1" t="s">
        <v>3981</v>
      </c>
      <c r="B845" s="1" t="s">
        <v>301</v>
      </c>
      <c r="C845" s="1" t="s">
        <v>3982</v>
      </c>
      <c r="D845" s="1" t="s">
        <v>603</v>
      </c>
      <c r="E845" s="2">
        <v>45849</v>
      </c>
      <c r="F845" s="2">
        <v>45842</v>
      </c>
      <c r="G845" s="1" t="s">
        <v>3990</v>
      </c>
      <c r="H845" s="3" t="s">
        <v>11</v>
      </c>
      <c r="I845" s="1" t="s">
        <v>3984</v>
      </c>
      <c r="J845" s="1" t="s">
        <v>12</v>
      </c>
      <c r="K845" s="3" t="s">
        <v>3995</v>
      </c>
      <c r="L845" s="1" t="s">
        <v>3987</v>
      </c>
      <c r="M845" s="1" t="s">
        <v>3996</v>
      </c>
      <c r="N845" s="1" t="s">
        <v>13</v>
      </c>
      <c r="O845" s="1" t="s">
        <v>3996</v>
      </c>
      <c r="P845" s="1" t="s">
        <v>13</v>
      </c>
      <c r="Q845" s="1" t="s">
        <v>16</v>
      </c>
      <c r="R845" s="1" t="s">
        <v>61</v>
      </c>
      <c r="S845" s="1" t="s">
        <v>3994</v>
      </c>
      <c r="T845" s="4">
        <v>1.8</v>
      </c>
    </row>
    <row r="846" spans="1:20">
      <c r="A846" s="1" t="s">
        <v>3981</v>
      </c>
      <c r="B846" s="1" t="s">
        <v>301</v>
      </c>
      <c r="C846" s="1" t="s">
        <v>3982</v>
      </c>
      <c r="D846" s="1" t="s">
        <v>603</v>
      </c>
      <c r="E846" s="2">
        <v>45849</v>
      </c>
      <c r="F846" s="2">
        <v>45842</v>
      </c>
      <c r="G846" s="1" t="s">
        <v>3990</v>
      </c>
      <c r="H846" s="3" t="s">
        <v>11</v>
      </c>
      <c r="I846" s="1" t="s">
        <v>3984</v>
      </c>
      <c r="J846" s="1" t="s">
        <v>12</v>
      </c>
      <c r="K846" s="3" t="s">
        <v>3995</v>
      </c>
      <c r="L846" s="1" t="s">
        <v>3987</v>
      </c>
      <c r="M846" s="1" t="s">
        <v>3996</v>
      </c>
      <c r="N846" s="1" t="s">
        <v>13</v>
      </c>
      <c r="O846" s="1" t="s">
        <v>3996</v>
      </c>
      <c r="P846" s="1" t="s">
        <v>13</v>
      </c>
      <c r="Q846" s="1" t="s">
        <v>16</v>
      </c>
      <c r="R846" s="1" t="s">
        <v>85</v>
      </c>
      <c r="S846" s="1" t="s">
        <v>3994</v>
      </c>
      <c r="T846" s="4">
        <v>0.5</v>
      </c>
    </row>
    <row r="847" spans="1:20">
      <c r="A847" s="1" t="s">
        <v>3981</v>
      </c>
      <c r="B847" s="1" t="s">
        <v>301</v>
      </c>
      <c r="C847" s="1" t="s">
        <v>3982</v>
      </c>
      <c r="D847" s="1" t="s">
        <v>603</v>
      </c>
      <c r="E847" s="2">
        <v>45849</v>
      </c>
      <c r="F847" s="2">
        <v>45842</v>
      </c>
      <c r="G847" s="1" t="s">
        <v>3990</v>
      </c>
      <c r="H847" s="3" t="s">
        <v>11</v>
      </c>
      <c r="I847" s="1" t="s">
        <v>3984</v>
      </c>
      <c r="J847" s="1" t="s">
        <v>12</v>
      </c>
      <c r="K847" s="3" t="s">
        <v>3995</v>
      </c>
      <c r="L847" s="1" t="s">
        <v>3987</v>
      </c>
      <c r="M847" s="1" t="s">
        <v>4055</v>
      </c>
      <c r="N847" s="1" t="s">
        <v>4056</v>
      </c>
      <c r="O847" s="1" t="s">
        <v>13</v>
      </c>
      <c r="P847" s="1" t="s">
        <v>13</v>
      </c>
      <c r="Q847" s="1" t="s">
        <v>4057</v>
      </c>
      <c r="R847" s="1" t="s">
        <v>4061</v>
      </c>
      <c r="S847" s="1" t="s">
        <v>3994</v>
      </c>
      <c r="T847" s="4">
        <v>1.5</v>
      </c>
    </row>
    <row r="848" spans="1:20">
      <c r="A848" s="1" t="s">
        <v>3981</v>
      </c>
      <c r="B848" s="1" t="s">
        <v>301</v>
      </c>
      <c r="C848" s="1" t="s">
        <v>3982</v>
      </c>
      <c r="D848" s="1" t="s">
        <v>603</v>
      </c>
      <c r="E848" s="2">
        <v>45849</v>
      </c>
      <c r="F848" s="2">
        <v>45842</v>
      </c>
      <c r="G848" s="1" t="s">
        <v>3997</v>
      </c>
      <c r="H848" s="3" t="s">
        <v>41</v>
      </c>
      <c r="I848" s="1" t="s">
        <v>3984</v>
      </c>
      <c r="J848" s="1" t="s">
        <v>12</v>
      </c>
      <c r="K848" s="3" t="s">
        <v>3995</v>
      </c>
      <c r="L848" s="1" t="s">
        <v>3987</v>
      </c>
      <c r="M848" s="1" t="s">
        <v>3999</v>
      </c>
      <c r="N848" s="1" t="s">
        <v>13</v>
      </c>
      <c r="O848" s="1" t="s">
        <v>3999</v>
      </c>
      <c r="P848" s="1" t="s">
        <v>13</v>
      </c>
      <c r="Q848" s="1" t="s">
        <v>4000</v>
      </c>
      <c r="R848" s="1" t="s">
        <v>4001</v>
      </c>
      <c r="S848" s="1" t="s">
        <v>3998</v>
      </c>
      <c r="T848" s="4">
        <v>5</v>
      </c>
    </row>
    <row r="849" spans="1:20">
      <c r="A849" s="1" t="s">
        <v>3981</v>
      </c>
      <c r="B849" s="1" t="s">
        <v>301</v>
      </c>
      <c r="C849" s="1" t="s">
        <v>3982</v>
      </c>
      <c r="D849" s="1" t="s">
        <v>603</v>
      </c>
      <c r="E849" s="2">
        <v>45849</v>
      </c>
      <c r="F849" s="2">
        <v>45842</v>
      </c>
      <c r="G849" s="1" t="s">
        <v>3997</v>
      </c>
      <c r="H849" s="3" t="s">
        <v>41</v>
      </c>
      <c r="I849" s="1" t="s">
        <v>3984</v>
      </c>
      <c r="J849" s="1" t="s">
        <v>12</v>
      </c>
      <c r="K849" s="3" t="s">
        <v>3995</v>
      </c>
      <c r="L849" s="1" t="s">
        <v>4002</v>
      </c>
      <c r="M849" s="1" t="s">
        <v>4003</v>
      </c>
      <c r="N849" s="1" t="s">
        <v>13</v>
      </c>
      <c r="O849" s="1" t="s">
        <v>4003</v>
      </c>
      <c r="P849" s="1" t="s">
        <v>13</v>
      </c>
      <c r="Q849" s="1" t="s">
        <v>4004</v>
      </c>
      <c r="R849" s="1" t="s">
        <v>4001</v>
      </c>
      <c r="S849" s="1" t="s">
        <v>3998</v>
      </c>
      <c r="T849" s="4">
        <v>6.5</v>
      </c>
    </row>
    <row r="850" spans="1:20">
      <c r="A850" s="1" t="s">
        <v>3981</v>
      </c>
      <c r="B850" s="1" t="s">
        <v>301</v>
      </c>
      <c r="C850" s="1" t="s">
        <v>3982</v>
      </c>
      <c r="D850" s="1" t="s">
        <v>603</v>
      </c>
      <c r="E850" s="2">
        <v>45849</v>
      </c>
      <c r="F850" s="2">
        <v>45842</v>
      </c>
      <c r="G850" s="1" t="s">
        <v>4005</v>
      </c>
      <c r="H850" s="3" t="s">
        <v>21</v>
      </c>
      <c r="I850" s="1" t="s">
        <v>3984</v>
      </c>
      <c r="J850" s="1" t="s">
        <v>12</v>
      </c>
      <c r="K850" s="3" t="s">
        <v>3995</v>
      </c>
      <c r="L850" s="1" t="s">
        <v>3987</v>
      </c>
      <c r="M850" s="1" t="s">
        <v>3996</v>
      </c>
      <c r="N850" s="1" t="s">
        <v>13</v>
      </c>
      <c r="O850" s="1" t="s">
        <v>3996</v>
      </c>
      <c r="P850" s="1" t="s">
        <v>13</v>
      </c>
      <c r="Q850" s="1" t="s">
        <v>14</v>
      </c>
      <c r="R850" s="1" t="s">
        <v>23</v>
      </c>
      <c r="S850" s="1" t="s">
        <v>4007</v>
      </c>
      <c r="T850" s="4">
        <v>1.3</v>
      </c>
    </row>
    <row r="851" spans="1:20">
      <c r="A851" s="1" t="s">
        <v>3981</v>
      </c>
      <c r="B851" s="1" t="s">
        <v>301</v>
      </c>
      <c r="C851" s="1" t="s">
        <v>3982</v>
      </c>
      <c r="D851" s="1" t="s">
        <v>603</v>
      </c>
      <c r="E851" s="2">
        <v>45849</v>
      </c>
      <c r="F851" s="2">
        <v>45842</v>
      </c>
      <c r="G851" s="1" t="s">
        <v>4005</v>
      </c>
      <c r="H851" s="3" t="s">
        <v>21</v>
      </c>
      <c r="I851" s="1" t="s">
        <v>3984</v>
      </c>
      <c r="J851" s="1" t="s">
        <v>12</v>
      </c>
      <c r="K851" s="3" t="s">
        <v>3995</v>
      </c>
      <c r="L851" s="1" t="s">
        <v>3987</v>
      </c>
      <c r="M851" s="1" t="s">
        <v>3996</v>
      </c>
      <c r="N851" s="1" t="s">
        <v>13</v>
      </c>
      <c r="O851" s="1" t="s">
        <v>3996</v>
      </c>
      <c r="P851" s="1" t="s">
        <v>13</v>
      </c>
      <c r="Q851" s="1" t="s">
        <v>14</v>
      </c>
      <c r="R851" s="1" t="s">
        <v>80</v>
      </c>
      <c r="S851" s="1" t="s">
        <v>4007</v>
      </c>
      <c r="T851" s="4">
        <v>1.7</v>
      </c>
    </row>
    <row r="852" spans="1:20">
      <c r="A852" s="1" t="s">
        <v>3981</v>
      </c>
      <c r="B852" s="1" t="s">
        <v>301</v>
      </c>
      <c r="C852" s="1" t="s">
        <v>3982</v>
      </c>
      <c r="D852" s="1" t="s">
        <v>603</v>
      </c>
      <c r="E852" s="2">
        <v>45849</v>
      </c>
      <c r="F852" s="2">
        <v>45842</v>
      </c>
      <c r="G852" s="1" t="s">
        <v>4005</v>
      </c>
      <c r="H852" s="3" t="s">
        <v>21</v>
      </c>
      <c r="I852" s="1" t="s">
        <v>3984</v>
      </c>
      <c r="J852" s="1" t="s">
        <v>12</v>
      </c>
      <c r="K852" s="3" t="s">
        <v>3995</v>
      </c>
      <c r="L852" s="1" t="s">
        <v>3987</v>
      </c>
      <c r="M852" s="1" t="s">
        <v>3996</v>
      </c>
      <c r="N852" s="1" t="s">
        <v>13</v>
      </c>
      <c r="O852" s="1" t="s">
        <v>3996</v>
      </c>
      <c r="P852" s="1" t="s">
        <v>13</v>
      </c>
      <c r="Q852" s="1" t="s">
        <v>14</v>
      </c>
      <c r="R852" s="1" t="s">
        <v>77</v>
      </c>
      <c r="S852" s="1" t="s">
        <v>4007</v>
      </c>
      <c r="T852" s="4">
        <v>8.4</v>
      </c>
    </row>
    <row r="853" spans="1:20">
      <c r="A853" s="1" t="s">
        <v>3981</v>
      </c>
      <c r="B853" s="1" t="s">
        <v>301</v>
      </c>
      <c r="C853" s="1" t="s">
        <v>3982</v>
      </c>
      <c r="D853" s="1" t="s">
        <v>603</v>
      </c>
      <c r="E853" s="2">
        <v>45849</v>
      </c>
      <c r="F853" s="2">
        <v>45842</v>
      </c>
      <c r="G853" s="1" t="s">
        <v>4008</v>
      </c>
      <c r="H853" s="3" t="s">
        <v>25</v>
      </c>
      <c r="I853" s="1" t="s">
        <v>3984</v>
      </c>
      <c r="J853" s="1" t="s">
        <v>12</v>
      </c>
      <c r="K853" s="3" t="s">
        <v>3995</v>
      </c>
      <c r="L853" s="1" t="s">
        <v>4013</v>
      </c>
      <c r="M853" s="1" t="s">
        <v>4073</v>
      </c>
      <c r="N853" s="1" t="s">
        <v>4074</v>
      </c>
      <c r="O853" s="1" t="s">
        <v>13</v>
      </c>
      <c r="P853" s="1" t="s">
        <v>13</v>
      </c>
      <c r="Q853" s="1" t="s">
        <v>13</v>
      </c>
      <c r="R853" s="1" t="s">
        <v>13</v>
      </c>
      <c r="S853" s="1" t="s">
        <v>4009</v>
      </c>
      <c r="T853" s="4">
        <v>1.8</v>
      </c>
    </row>
    <row r="854" spans="1:20">
      <c r="A854" s="1" t="s">
        <v>3981</v>
      </c>
      <c r="B854" s="1" t="s">
        <v>301</v>
      </c>
      <c r="C854" s="1" t="s">
        <v>3982</v>
      </c>
      <c r="D854" s="1" t="s">
        <v>603</v>
      </c>
      <c r="E854" s="2">
        <v>45849</v>
      </c>
      <c r="F854" s="2">
        <v>45842</v>
      </c>
      <c r="G854" s="1" t="s">
        <v>4008</v>
      </c>
      <c r="H854" s="3" t="s">
        <v>25</v>
      </c>
      <c r="I854" s="1" t="s">
        <v>3984</v>
      </c>
      <c r="J854" s="1" t="s">
        <v>12</v>
      </c>
      <c r="K854" s="3" t="s">
        <v>3995</v>
      </c>
      <c r="L854" s="1" t="s">
        <v>3987</v>
      </c>
      <c r="M854" s="1" t="s">
        <v>3996</v>
      </c>
      <c r="N854" s="1" t="s">
        <v>13</v>
      </c>
      <c r="O854" s="1" t="s">
        <v>3996</v>
      </c>
      <c r="P854" s="1" t="s">
        <v>13</v>
      </c>
      <c r="Q854" s="1" t="s">
        <v>44</v>
      </c>
      <c r="R854" s="1" t="s">
        <v>45</v>
      </c>
      <c r="S854" s="1" t="s">
        <v>4009</v>
      </c>
      <c r="T854" s="4">
        <v>3.3</v>
      </c>
    </row>
    <row r="855" spans="1:20">
      <c r="A855" s="1" t="s">
        <v>3981</v>
      </c>
      <c r="B855" s="1" t="s">
        <v>301</v>
      </c>
      <c r="C855" s="1" t="s">
        <v>3982</v>
      </c>
      <c r="D855" s="1" t="s">
        <v>603</v>
      </c>
      <c r="E855" s="2">
        <v>45849</v>
      </c>
      <c r="F855" s="2">
        <v>45842</v>
      </c>
      <c r="G855" s="1" t="s">
        <v>4008</v>
      </c>
      <c r="H855" s="3" t="s">
        <v>25</v>
      </c>
      <c r="I855" s="1" t="s">
        <v>3984</v>
      </c>
      <c r="J855" s="1" t="s">
        <v>12</v>
      </c>
      <c r="K855" s="3" t="s">
        <v>3995</v>
      </c>
      <c r="L855" s="1" t="s">
        <v>3987</v>
      </c>
      <c r="M855" s="1" t="s">
        <v>3996</v>
      </c>
      <c r="N855" s="1" t="s">
        <v>13</v>
      </c>
      <c r="O855" s="1" t="s">
        <v>3996</v>
      </c>
      <c r="P855" s="1" t="s">
        <v>13</v>
      </c>
      <c r="Q855" s="1" t="s">
        <v>38</v>
      </c>
      <c r="R855" s="1" t="s">
        <v>46</v>
      </c>
      <c r="S855" s="1" t="s">
        <v>4009</v>
      </c>
      <c r="T855" s="4">
        <v>0.5</v>
      </c>
    </row>
    <row r="856" spans="1:20">
      <c r="A856" s="1" t="s">
        <v>3981</v>
      </c>
      <c r="B856" s="1" t="s">
        <v>301</v>
      </c>
      <c r="C856" s="1" t="s">
        <v>3982</v>
      </c>
      <c r="D856" s="1" t="s">
        <v>603</v>
      </c>
      <c r="E856" s="2">
        <v>45849</v>
      </c>
      <c r="F856" s="2">
        <v>45842</v>
      </c>
      <c r="G856" s="1" t="s">
        <v>4008</v>
      </c>
      <c r="H856" s="3" t="s">
        <v>25</v>
      </c>
      <c r="I856" s="1" t="s">
        <v>3984</v>
      </c>
      <c r="J856" s="1" t="s">
        <v>12</v>
      </c>
      <c r="K856" s="3" t="s">
        <v>3995</v>
      </c>
      <c r="L856" s="1" t="s">
        <v>3987</v>
      </c>
      <c r="M856" s="1" t="s">
        <v>3996</v>
      </c>
      <c r="N856" s="1" t="s">
        <v>13</v>
      </c>
      <c r="O856" s="1" t="s">
        <v>3996</v>
      </c>
      <c r="P856" s="1" t="s">
        <v>13</v>
      </c>
      <c r="Q856" s="1" t="s">
        <v>38</v>
      </c>
      <c r="R856" s="1" t="s">
        <v>91</v>
      </c>
      <c r="S856" s="1" t="s">
        <v>4009</v>
      </c>
      <c r="T856" s="4">
        <v>2.1</v>
      </c>
    </row>
    <row r="857" spans="1:20">
      <c r="A857" s="1" t="s">
        <v>3981</v>
      </c>
      <c r="B857" s="1" t="s">
        <v>301</v>
      </c>
      <c r="C857" s="1" t="s">
        <v>3982</v>
      </c>
      <c r="D857" s="1" t="s">
        <v>603</v>
      </c>
      <c r="E857" s="2">
        <v>45849</v>
      </c>
      <c r="F857" s="2">
        <v>45842</v>
      </c>
      <c r="G857" s="1" t="s">
        <v>4008</v>
      </c>
      <c r="H857" s="3" t="s">
        <v>25</v>
      </c>
      <c r="I857" s="1" t="s">
        <v>3984</v>
      </c>
      <c r="J857" s="1" t="s">
        <v>12</v>
      </c>
      <c r="K857" s="3" t="s">
        <v>3995</v>
      </c>
      <c r="L857" s="1" t="s">
        <v>3987</v>
      </c>
      <c r="M857" s="1" t="s">
        <v>3996</v>
      </c>
      <c r="N857" s="1" t="s">
        <v>13</v>
      </c>
      <c r="O857" s="1" t="s">
        <v>3996</v>
      </c>
      <c r="P857" s="1" t="s">
        <v>13</v>
      </c>
      <c r="Q857" s="1" t="s">
        <v>30</v>
      </c>
      <c r="R857" s="1" t="s">
        <v>67</v>
      </c>
      <c r="S857" s="1" t="s">
        <v>4009</v>
      </c>
      <c r="T857" s="4">
        <v>1</v>
      </c>
    </row>
    <row r="858" spans="1:20">
      <c r="A858" s="1" t="s">
        <v>3981</v>
      </c>
      <c r="B858" s="1" t="s">
        <v>301</v>
      </c>
      <c r="C858" s="1" t="s">
        <v>3982</v>
      </c>
      <c r="D858" s="1" t="s">
        <v>603</v>
      </c>
      <c r="E858" s="2">
        <v>45849</v>
      </c>
      <c r="F858" s="2">
        <v>45842</v>
      </c>
      <c r="G858" s="1" t="s">
        <v>4008</v>
      </c>
      <c r="H858" s="3" t="s">
        <v>25</v>
      </c>
      <c r="I858" s="1" t="s">
        <v>3984</v>
      </c>
      <c r="J858" s="1" t="s">
        <v>12</v>
      </c>
      <c r="K858" s="3" t="s">
        <v>3995</v>
      </c>
      <c r="L858" s="1" t="s">
        <v>3987</v>
      </c>
      <c r="M858" s="1" t="s">
        <v>3996</v>
      </c>
      <c r="N858" s="1" t="s">
        <v>13</v>
      </c>
      <c r="O858" s="1" t="s">
        <v>3996</v>
      </c>
      <c r="P858" s="1" t="s">
        <v>13</v>
      </c>
      <c r="Q858" s="1" t="s">
        <v>30</v>
      </c>
      <c r="R858" s="1" t="s">
        <v>92</v>
      </c>
      <c r="S858" s="1" t="s">
        <v>4009</v>
      </c>
      <c r="T858" s="4">
        <v>0.3</v>
      </c>
    </row>
    <row r="859" spans="1:20">
      <c r="A859" s="1" t="s">
        <v>3981</v>
      </c>
      <c r="B859" s="1" t="s">
        <v>465</v>
      </c>
      <c r="C859" s="1" t="s">
        <v>3982</v>
      </c>
      <c r="D859" s="1" t="s">
        <v>603</v>
      </c>
      <c r="E859" s="2">
        <v>45849</v>
      </c>
      <c r="F859" s="2">
        <v>45842</v>
      </c>
      <c r="G859" s="1" t="s">
        <v>3983</v>
      </c>
      <c r="H859" s="3" t="s">
        <v>32</v>
      </c>
      <c r="I859" s="1" t="s">
        <v>3984</v>
      </c>
      <c r="J859" s="1" t="s">
        <v>12</v>
      </c>
      <c r="K859" s="3" t="s">
        <v>3995</v>
      </c>
      <c r="L859" s="1" t="s">
        <v>3987</v>
      </c>
      <c r="M859" s="1" t="s">
        <v>3996</v>
      </c>
      <c r="N859" s="1" t="s">
        <v>13</v>
      </c>
      <c r="O859" s="1" t="s">
        <v>3996</v>
      </c>
      <c r="P859" s="1" t="s">
        <v>13</v>
      </c>
      <c r="Q859" s="1" t="s">
        <v>89</v>
      </c>
      <c r="R859" s="1" t="s">
        <v>90</v>
      </c>
      <c r="S859" s="1" t="s">
        <v>3989</v>
      </c>
      <c r="T859" s="4">
        <v>1</v>
      </c>
    </row>
    <row r="860" spans="1:20">
      <c r="A860" s="1" t="s">
        <v>3981</v>
      </c>
      <c r="B860" s="1" t="s">
        <v>465</v>
      </c>
      <c r="C860" s="1" t="s">
        <v>3982</v>
      </c>
      <c r="D860" s="1" t="s">
        <v>603</v>
      </c>
      <c r="E860" s="2">
        <v>45849</v>
      </c>
      <c r="F860" s="2">
        <v>45842</v>
      </c>
      <c r="G860" s="1" t="s">
        <v>3983</v>
      </c>
      <c r="H860" s="3" t="s">
        <v>32</v>
      </c>
      <c r="I860" s="1" t="s">
        <v>3984</v>
      </c>
      <c r="J860" s="1" t="s">
        <v>12</v>
      </c>
      <c r="K860" s="3" t="s">
        <v>3995</v>
      </c>
      <c r="L860" s="1" t="s">
        <v>3987</v>
      </c>
      <c r="M860" s="1" t="s">
        <v>3996</v>
      </c>
      <c r="N860" s="1" t="s">
        <v>13</v>
      </c>
      <c r="O860" s="1" t="s">
        <v>3996</v>
      </c>
      <c r="P860" s="1" t="s">
        <v>13</v>
      </c>
      <c r="Q860" s="1" t="s">
        <v>14</v>
      </c>
      <c r="R860" s="1" t="s">
        <v>54</v>
      </c>
      <c r="S860" s="1" t="s">
        <v>3989</v>
      </c>
      <c r="T860" s="4">
        <v>26</v>
      </c>
    </row>
    <row r="861" spans="1:20">
      <c r="A861" s="1" t="s">
        <v>3981</v>
      </c>
      <c r="B861" s="1" t="s">
        <v>465</v>
      </c>
      <c r="C861" s="1" t="s">
        <v>3982</v>
      </c>
      <c r="D861" s="1" t="s">
        <v>603</v>
      </c>
      <c r="E861" s="2">
        <v>45849</v>
      </c>
      <c r="F861" s="2">
        <v>45842</v>
      </c>
      <c r="G861" s="1" t="s">
        <v>3983</v>
      </c>
      <c r="H861" s="3" t="s">
        <v>32</v>
      </c>
      <c r="I861" s="1" t="s">
        <v>3984</v>
      </c>
      <c r="J861" s="1" t="s">
        <v>12</v>
      </c>
      <c r="K861" s="3" t="s">
        <v>3995</v>
      </c>
      <c r="L861" s="1" t="s">
        <v>3987</v>
      </c>
      <c r="M861" s="1" t="s">
        <v>3996</v>
      </c>
      <c r="N861" s="1" t="s">
        <v>13</v>
      </c>
      <c r="O861" s="1" t="s">
        <v>3996</v>
      </c>
      <c r="P861" s="1" t="s">
        <v>13</v>
      </c>
      <c r="Q861" s="1" t="s">
        <v>14</v>
      </c>
      <c r="R861" s="1" t="s">
        <v>56</v>
      </c>
      <c r="S861" s="1" t="s">
        <v>3989</v>
      </c>
      <c r="T861" s="4">
        <v>1</v>
      </c>
    </row>
    <row r="862" spans="1:20">
      <c r="A862" s="1" t="s">
        <v>3981</v>
      </c>
      <c r="B862" s="1" t="s">
        <v>465</v>
      </c>
      <c r="C862" s="1" t="s">
        <v>3982</v>
      </c>
      <c r="D862" s="1" t="s">
        <v>603</v>
      </c>
      <c r="E862" s="2">
        <v>45849</v>
      </c>
      <c r="F862" s="2">
        <v>45842</v>
      </c>
      <c r="G862" s="1" t="s">
        <v>3990</v>
      </c>
      <c r="H862" s="3" t="s">
        <v>11</v>
      </c>
      <c r="I862" s="1" t="s">
        <v>3984</v>
      </c>
      <c r="J862" s="1" t="s">
        <v>3985</v>
      </c>
      <c r="K862" s="3" t="s">
        <v>3986</v>
      </c>
      <c r="L862" s="1" t="s">
        <v>3987</v>
      </c>
      <c r="M862" s="1" t="s">
        <v>13</v>
      </c>
      <c r="N862" s="1" t="s">
        <v>13</v>
      </c>
      <c r="O862" s="1" t="s">
        <v>3988</v>
      </c>
      <c r="P862" s="1" t="s">
        <v>13</v>
      </c>
      <c r="Q862" s="1" t="s">
        <v>13</v>
      </c>
      <c r="R862" s="1" t="s">
        <v>13</v>
      </c>
      <c r="S862" s="1" t="s">
        <v>3994</v>
      </c>
      <c r="T862" s="4">
        <v>2.7</v>
      </c>
    </row>
    <row r="863" spans="1:20">
      <c r="A863" s="1" t="s">
        <v>3981</v>
      </c>
      <c r="B863" s="1" t="s">
        <v>465</v>
      </c>
      <c r="C863" s="1" t="s">
        <v>3982</v>
      </c>
      <c r="D863" s="1" t="s">
        <v>603</v>
      </c>
      <c r="E863" s="2">
        <v>45849</v>
      </c>
      <c r="F863" s="2">
        <v>45842</v>
      </c>
      <c r="G863" s="1" t="s">
        <v>3990</v>
      </c>
      <c r="H863" s="3" t="s">
        <v>11</v>
      </c>
      <c r="I863" s="1" t="s">
        <v>3984</v>
      </c>
      <c r="J863" s="1" t="s">
        <v>12</v>
      </c>
      <c r="K863" s="3" t="s">
        <v>3995</v>
      </c>
      <c r="L863" s="1" t="s">
        <v>3987</v>
      </c>
      <c r="M863" s="1" t="s">
        <v>3996</v>
      </c>
      <c r="N863" s="1" t="s">
        <v>13</v>
      </c>
      <c r="O863" s="1" t="s">
        <v>3996</v>
      </c>
      <c r="P863" s="1" t="s">
        <v>13</v>
      </c>
      <c r="Q863" s="1" t="s">
        <v>83</v>
      </c>
      <c r="R863" s="1" t="s">
        <v>64</v>
      </c>
      <c r="S863" s="1" t="s">
        <v>3994</v>
      </c>
      <c r="T863" s="4">
        <v>1.9</v>
      </c>
    </row>
    <row r="864" spans="1:20">
      <c r="A864" s="1" t="s">
        <v>3981</v>
      </c>
      <c r="B864" s="1" t="s">
        <v>465</v>
      </c>
      <c r="C864" s="1" t="s">
        <v>3982</v>
      </c>
      <c r="D864" s="1" t="s">
        <v>603</v>
      </c>
      <c r="E864" s="2">
        <v>45849</v>
      </c>
      <c r="F864" s="2">
        <v>45842</v>
      </c>
      <c r="G864" s="1" t="s">
        <v>3990</v>
      </c>
      <c r="H864" s="3" t="s">
        <v>11</v>
      </c>
      <c r="I864" s="1" t="s">
        <v>3984</v>
      </c>
      <c r="J864" s="1" t="s">
        <v>12</v>
      </c>
      <c r="K864" s="3" t="s">
        <v>3995</v>
      </c>
      <c r="L864" s="1" t="s">
        <v>3987</v>
      </c>
      <c r="M864" s="1" t="s">
        <v>3996</v>
      </c>
      <c r="N864" s="1" t="s">
        <v>13</v>
      </c>
      <c r="O864" s="1" t="s">
        <v>3996</v>
      </c>
      <c r="P864" s="1" t="s">
        <v>13</v>
      </c>
      <c r="Q864" s="1" t="s">
        <v>83</v>
      </c>
      <c r="R864" s="1" t="s">
        <v>86</v>
      </c>
      <c r="S864" s="1" t="s">
        <v>3994</v>
      </c>
      <c r="T864" s="4">
        <v>3</v>
      </c>
    </row>
    <row r="865" spans="1:20">
      <c r="A865" s="1" t="s">
        <v>3981</v>
      </c>
      <c r="B865" s="1" t="s">
        <v>465</v>
      </c>
      <c r="C865" s="1" t="s">
        <v>3982</v>
      </c>
      <c r="D865" s="1" t="s">
        <v>603</v>
      </c>
      <c r="E865" s="2">
        <v>45849</v>
      </c>
      <c r="F865" s="2">
        <v>45842</v>
      </c>
      <c r="G865" s="1" t="s">
        <v>3990</v>
      </c>
      <c r="H865" s="3" t="s">
        <v>11</v>
      </c>
      <c r="I865" s="1" t="s">
        <v>3984</v>
      </c>
      <c r="J865" s="1" t="s">
        <v>12</v>
      </c>
      <c r="K865" s="3" t="s">
        <v>3995</v>
      </c>
      <c r="L865" s="1" t="s">
        <v>3987</v>
      </c>
      <c r="M865" s="1" t="s">
        <v>3996</v>
      </c>
      <c r="N865" s="1" t="s">
        <v>13</v>
      </c>
      <c r="O865" s="1" t="s">
        <v>3996</v>
      </c>
      <c r="P865" s="1" t="s">
        <v>13</v>
      </c>
      <c r="Q865" s="1" t="s">
        <v>14</v>
      </c>
      <c r="R865" s="1" t="s">
        <v>24</v>
      </c>
      <c r="S865" s="1" t="s">
        <v>3994</v>
      </c>
      <c r="T865" s="4">
        <v>5.0999999999999996</v>
      </c>
    </row>
    <row r="866" spans="1:20">
      <c r="A866" s="1" t="s">
        <v>3981</v>
      </c>
      <c r="B866" s="1" t="s">
        <v>465</v>
      </c>
      <c r="C866" s="1" t="s">
        <v>3982</v>
      </c>
      <c r="D866" s="1" t="s">
        <v>603</v>
      </c>
      <c r="E866" s="2">
        <v>45849</v>
      </c>
      <c r="F866" s="2">
        <v>45842</v>
      </c>
      <c r="G866" s="1" t="s">
        <v>3990</v>
      </c>
      <c r="H866" s="3" t="s">
        <v>11</v>
      </c>
      <c r="I866" s="1" t="s">
        <v>3984</v>
      </c>
      <c r="J866" s="1" t="s">
        <v>12</v>
      </c>
      <c r="K866" s="3" t="s">
        <v>3995</v>
      </c>
      <c r="L866" s="1" t="s">
        <v>3987</v>
      </c>
      <c r="M866" s="1" t="s">
        <v>3996</v>
      </c>
      <c r="N866" s="1" t="s">
        <v>13</v>
      </c>
      <c r="O866" s="1" t="s">
        <v>3996</v>
      </c>
      <c r="P866" s="1" t="s">
        <v>13</v>
      </c>
      <c r="Q866" s="1" t="s">
        <v>14</v>
      </c>
      <c r="R866" s="1" t="s">
        <v>37</v>
      </c>
      <c r="S866" s="1" t="s">
        <v>3994</v>
      </c>
      <c r="T866" s="4">
        <v>0.5</v>
      </c>
    </row>
    <row r="867" spans="1:20">
      <c r="A867" s="1" t="s">
        <v>3981</v>
      </c>
      <c r="B867" s="1" t="s">
        <v>465</v>
      </c>
      <c r="C867" s="1" t="s">
        <v>3982</v>
      </c>
      <c r="D867" s="1" t="s">
        <v>603</v>
      </c>
      <c r="E867" s="2">
        <v>45849</v>
      </c>
      <c r="F867" s="2">
        <v>45842</v>
      </c>
      <c r="G867" s="1" t="s">
        <v>3990</v>
      </c>
      <c r="H867" s="3" t="s">
        <v>11</v>
      </c>
      <c r="I867" s="1" t="s">
        <v>3984</v>
      </c>
      <c r="J867" s="1" t="s">
        <v>12</v>
      </c>
      <c r="K867" s="3" t="s">
        <v>3995</v>
      </c>
      <c r="L867" s="1" t="s">
        <v>3987</v>
      </c>
      <c r="M867" s="1" t="s">
        <v>3996</v>
      </c>
      <c r="N867" s="1" t="s">
        <v>13</v>
      </c>
      <c r="O867" s="1" t="s">
        <v>3996</v>
      </c>
      <c r="P867" s="1" t="s">
        <v>13</v>
      </c>
      <c r="Q867" s="1" t="s">
        <v>14</v>
      </c>
      <c r="R867" s="1" t="s">
        <v>15</v>
      </c>
      <c r="S867" s="1" t="s">
        <v>3994</v>
      </c>
      <c r="T867" s="4">
        <v>2</v>
      </c>
    </row>
    <row r="868" spans="1:20">
      <c r="A868" s="1" t="s">
        <v>3981</v>
      </c>
      <c r="B868" s="1" t="s">
        <v>465</v>
      </c>
      <c r="C868" s="1" t="s">
        <v>3982</v>
      </c>
      <c r="D868" s="1" t="s">
        <v>603</v>
      </c>
      <c r="E868" s="2">
        <v>45849</v>
      </c>
      <c r="F868" s="2">
        <v>45842</v>
      </c>
      <c r="G868" s="1" t="s">
        <v>3990</v>
      </c>
      <c r="H868" s="3" t="s">
        <v>11</v>
      </c>
      <c r="I868" s="1" t="s">
        <v>3984</v>
      </c>
      <c r="J868" s="1" t="s">
        <v>12</v>
      </c>
      <c r="K868" s="3" t="s">
        <v>3995</v>
      </c>
      <c r="L868" s="1" t="s">
        <v>3987</v>
      </c>
      <c r="M868" s="1" t="s">
        <v>3996</v>
      </c>
      <c r="N868" s="1" t="s">
        <v>13</v>
      </c>
      <c r="O868" s="1" t="s">
        <v>3996</v>
      </c>
      <c r="P868" s="1" t="s">
        <v>13</v>
      </c>
      <c r="Q868" s="1" t="s">
        <v>44</v>
      </c>
      <c r="R868" s="1" t="s">
        <v>45</v>
      </c>
      <c r="S868" s="1" t="s">
        <v>3994</v>
      </c>
      <c r="T868" s="4">
        <v>2</v>
      </c>
    </row>
    <row r="869" spans="1:20">
      <c r="A869" s="1" t="s">
        <v>3981</v>
      </c>
      <c r="B869" s="1" t="s">
        <v>465</v>
      </c>
      <c r="C869" s="1" t="s">
        <v>3982</v>
      </c>
      <c r="D869" s="1" t="s">
        <v>603</v>
      </c>
      <c r="E869" s="2">
        <v>45849</v>
      </c>
      <c r="F869" s="2">
        <v>45842</v>
      </c>
      <c r="G869" s="1" t="s">
        <v>3990</v>
      </c>
      <c r="H869" s="3" t="s">
        <v>11</v>
      </c>
      <c r="I869" s="1" t="s">
        <v>3984</v>
      </c>
      <c r="J869" s="1" t="s">
        <v>12</v>
      </c>
      <c r="K869" s="3" t="s">
        <v>3995</v>
      </c>
      <c r="L869" s="1" t="s">
        <v>3987</v>
      </c>
      <c r="M869" s="1" t="s">
        <v>3996</v>
      </c>
      <c r="N869" s="1" t="s">
        <v>13</v>
      </c>
      <c r="O869" s="1" t="s">
        <v>3996</v>
      </c>
      <c r="P869" s="1" t="s">
        <v>13</v>
      </c>
      <c r="Q869" s="1" t="s">
        <v>16</v>
      </c>
      <c r="R869" s="1" t="s">
        <v>87</v>
      </c>
      <c r="S869" s="1" t="s">
        <v>3994</v>
      </c>
      <c r="T869" s="4">
        <v>1</v>
      </c>
    </row>
    <row r="870" spans="1:20">
      <c r="A870" s="1" t="s">
        <v>3981</v>
      </c>
      <c r="B870" s="1" t="s">
        <v>465</v>
      </c>
      <c r="C870" s="1" t="s">
        <v>3982</v>
      </c>
      <c r="D870" s="1" t="s">
        <v>603</v>
      </c>
      <c r="E870" s="2">
        <v>45849</v>
      </c>
      <c r="F870" s="2">
        <v>45842</v>
      </c>
      <c r="G870" s="1" t="s">
        <v>3990</v>
      </c>
      <c r="H870" s="3" t="s">
        <v>11</v>
      </c>
      <c r="I870" s="1" t="s">
        <v>3984</v>
      </c>
      <c r="J870" s="1" t="s">
        <v>12</v>
      </c>
      <c r="K870" s="3" t="s">
        <v>3995</v>
      </c>
      <c r="L870" s="1" t="s">
        <v>3987</v>
      </c>
      <c r="M870" s="1" t="s">
        <v>3996</v>
      </c>
      <c r="N870" s="1" t="s">
        <v>13</v>
      </c>
      <c r="O870" s="1" t="s">
        <v>3996</v>
      </c>
      <c r="P870" s="1" t="s">
        <v>13</v>
      </c>
      <c r="Q870" s="1" t="s">
        <v>16</v>
      </c>
      <c r="R870" s="1" t="s">
        <v>93</v>
      </c>
      <c r="S870" s="1" t="s">
        <v>3994</v>
      </c>
      <c r="T870" s="4">
        <v>1.9</v>
      </c>
    </row>
    <row r="871" spans="1:20">
      <c r="A871" s="1" t="s">
        <v>3981</v>
      </c>
      <c r="B871" s="1" t="s">
        <v>465</v>
      </c>
      <c r="C871" s="1" t="s">
        <v>3982</v>
      </c>
      <c r="D871" s="1" t="s">
        <v>603</v>
      </c>
      <c r="E871" s="2">
        <v>45849</v>
      </c>
      <c r="F871" s="2">
        <v>45842</v>
      </c>
      <c r="G871" s="1" t="s">
        <v>3990</v>
      </c>
      <c r="H871" s="3" t="s">
        <v>11</v>
      </c>
      <c r="I871" s="1" t="s">
        <v>3984</v>
      </c>
      <c r="J871" s="1" t="s">
        <v>12</v>
      </c>
      <c r="K871" s="3" t="s">
        <v>3995</v>
      </c>
      <c r="L871" s="1" t="s">
        <v>3987</v>
      </c>
      <c r="M871" s="1" t="s">
        <v>4017</v>
      </c>
      <c r="N871" s="1" t="s">
        <v>4018</v>
      </c>
      <c r="O871" s="1" t="s">
        <v>13</v>
      </c>
      <c r="P871" s="1" t="s">
        <v>13</v>
      </c>
      <c r="Q871" s="1" t="s">
        <v>4019</v>
      </c>
      <c r="R871" s="1" t="s">
        <v>4019</v>
      </c>
      <c r="S871" s="1" t="s">
        <v>3994</v>
      </c>
      <c r="T871" s="4">
        <v>1.5</v>
      </c>
    </row>
    <row r="872" spans="1:20">
      <c r="A872" s="1" t="s">
        <v>3981</v>
      </c>
      <c r="B872" s="1" t="s">
        <v>465</v>
      </c>
      <c r="C872" s="1" t="s">
        <v>3982</v>
      </c>
      <c r="D872" s="1" t="s">
        <v>603</v>
      </c>
      <c r="E872" s="2">
        <v>45849</v>
      </c>
      <c r="F872" s="2">
        <v>45842</v>
      </c>
      <c r="G872" s="1" t="s">
        <v>3990</v>
      </c>
      <c r="H872" s="3" t="s">
        <v>11</v>
      </c>
      <c r="I872" s="1" t="s">
        <v>3984</v>
      </c>
      <c r="J872" s="1" t="s">
        <v>12</v>
      </c>
      <c r="K872" s="3" t="s">
        <v>3995</v>
      </c>
      <c r="L872" s="1" t="s">
        <v>4002</v>
      </c>
      <c r="M872" s="1" t="s">
        <v>4003</v>
      </c>
      <c r="N872" s="1" t="s">
        <v>13</v>
      </c>
      <c r="O872" s="1" t="s">
        <v>4003</v>
      </c>
      <c r="P872" s="1" t="s">
        <v>13</v>
      </c>
      <c r="Q872" s="1" t="s">
        <v>4004</v>
      </c>
      <c r="R872" s="1" t="s">
        <v>4001</v>
      </c>
      <c r="S872" s="1" t="s">
        <v>3994</v>
      </c>
      <c r="T872" s="4">
        <v>5.4</v>
      </c>
    </row>
    <row r="873" spans="1:20">
      <c r="A873" s="1" t="s">
        <v>3981</v>
      </c>
      <c r="B873" s="1" t="s">
        <v>465</v>
      </c>
      <c r="C873" s="1" t="s">
        <v>3982</v>
      </c>
      <c r="D873" s="1" t="s">
        <v>603</v>
      </c>
      <c r="E873" s="2">
        <v>45849</v>
      </c>
      <c r="F873" s="2">
        <v>45842</v>
      </c>
      <c r="G873" s="1" t="s">
        <v>3997</v>
      </c>
      <c r="H873" s="3" t="s">
        <v>41</v>
      </c>
      <c r="I873" s="1" t="s">
        <v>3984</v>
      </c>
      <c r="J873" s="1" t="s">
        <v>3985</v>
      </c>
      <c r="K873" s="3" t="s">
        <v>3986</v>
      </c>
      <c r="L873" s="1" t="s">
        <v>3987</v>
      </c>
      <c r="M873" s="1" t="s">
        <v>13</v>
      </c>
      <c r="N873" s="1" t="s">
        <v>13</v>
      </c>
      <c r="O873" s="1" t="s">
        <v>3988</v>
      </c>
      <c r="P873" s="1" t="s">
        <v>13</v>
      </c>
      <c r="Q873" s="1" t="s">
        <v>13</v>
      </c>
      <c r="R873" s="1" t="s">
        <v>13</v>
      </c>
      <c r="S873" s="1" t="s">
        <v>3998</v>
      </c>
      <c r="T873" s="4">
        <v>4</v>
      </c>
    </row>
    <row r="874" spans="1:20">
      <c r="A874" s="1" t="s">
        <v>3981</v>
      </c>
      <c r="B874" s="1" t="s">
        <v>465</v>
      </c>
      <c r="C874" s="1" t="s">
        <v>3982</v>
      </c>
      <c r="D874" s="1" t="s">
        <v>603</v>
      </c>
      <c r="E874" s="2">
        <v>45849</v>
      </c>
      <c r="F874" s="2">
        <v>45842</v>
      </c>
      <c r="G874" s="1" t="s">
        <v>3997</v>
      </c>
      <c r="H874" s="3" t="s">
        <v>41</v>
      </c>
      <c r="I874" s="1" t="s">
        <v>3984</v>
      </c>
      <c r="J874" s="1" t="s">
        <v>12</v>
      </c>
      <c r="K874" s="3" t="s">
        <v>3995</v>
      </c>
      <c r="L874" s="1" t="s">
        <v>3987</v>
      </c>
      <c r="M874" s="1" t="s">
        <v>3999</v>
      </c>
      <c r="N874" s="1" t="s">
        <v>13</v>
      </c>
      <c r="O874" s="1" t="s">
        <v>3999</v>
      </c>
      <c r="P874" s="1" t="s">
        <v>13</v>
      </c>
      <c r="Q874" s="1" t="s">
        <v>4000</v>
      </c>
      <c r="R874" s="1" t="s">
        <v>4001</v>
      </c>
      <c r="S874" s="1" t="s">
        <v>3998</v>
      </c>
      <c r="T874" s="4">
        <v>5.5</v>
      </c>
    </row>
    <row r="875" spans="1:20">
      <c r="A875" s="1" t="s">
        <v>3981</v>
      </c>
      <c r="B875" s="1" t="s">
        <v>465</v>
      </c>
      <c r="C875" s="1" t="s">
        <v>3982</v>
      </c>
      <c r="D875" s="1" t="s">
        <v>603</v>
      </c>
      <c r="E875" s="2">
        <v>45849</v>
      </c>
      <c r="F875" s="2">
        <v>45842</v>
      </c>
      <c r="G875" s="1" t="s">
        <v>3997</v>
      </c>
      <c r="H875" s="3" t="s">
        <v>41</v>
      </c>
      <c r="I875" s="1" t="s">
        <v>3984</v>
      </c>
      <c r="J875" s="1" t="s">
        <v>12</v>
      </c>
      <c r="K875" s="3" t="s">
        <v>3995</v>
      </c>
      <c r="L875" s="1" t="s">
        <v>3987</v>
      </c>
      <c r="M875" s="1" t="s">
        <v>3996</v>
      </c>
      <c r="N875" s="1" t="s">
        <v>13</v>
      </c>
      <c r="O875" s="1" t="s">
        <v>3996</v>
      </c>
      <c r="P875" s="1" t="s">
        <v>13</v>
      </c>
      <c r="Q875" s="1" t="s">
        <v>14</v>
      </c>
      <c r="R875" s="1" t="s">
        <v>56</v>
      </c>
      <c r="S875" s="1" t="s">
        <v>3998</v>
      </c>
      <c r="T875" s="4">
        <v>1.5</v>
      </c>
    </row>
    <row r="876" spans="1:20">
      <c r="A876" s="1" t="s">
        <v>3981</v>
      </c>
      <c r="B876" s="1" t="s">
        <v>465</v>
      </c>
      <c r="C876" s="1" t="s">
        <v>3982</v>
      </c>
      <c r="D876" s="1" t="s">
        <v>603</v>
      </c>
      <c r="E876" s="2">
        <v>45849</v>
      </c>
      <c r="F876" s="2">
        <v>45842</v>
      </c>
      <c r="G876" s="1" t="s">
        <v>3997</v>
      </c>
      <c r="H876" s="3" t="s">
        <v>41</v>
      </c>
      <c r="I876" s="1" t="s">
        <v>3984</v>
      </c>
      <c r="J876" s="1" t="s">
        <v>12</v>
      </c>
      <c r="K876" s="3" t="s">
        <v>3995</v>
      </c>
      <c r="L876" s="1" t="s">
        <v>4002</v>
      </c>
      <c r="M876" s="1" t="s">
        <v>4003</v>
      </c>
      <c r="N876" s="1" t="s">
        <v>13</v>
      </c>
      <c r="O876" s="1" t="s">
        <v>4003</v>
      </c>
      <c r="P876" s="1" t="s">
        <v>13</v>
      </c>
      <c r="Q876" s="1" t="s">
        <v>4004</v>
      </c>
      <c r="R876" s="1" t="s">
        <v>4001</v>
      </c>
      <c r="S876" s="1" t="s">
        <v>3998</v>
      </c>
      <c r="T876" s="4">
        <v>13.5</v>
      </c>
    </row>
    <row r="877" spans="1:20">
      <c r="A877" s="1" t="s">
        <v>3981</v>
      </c>
      <c r="B877" s="1" t="s">
        <v>465</v>
      </c>
      <c r="C877" s="1" t="s">
        <v>3982</v>
      </c>
      <c r="D877" s="1" t="s">
        <v>603</v>
      </c>
      <c r="E877" s="2">
        <v>45849</v>
      </c>
      <c r="F877" s="2">
        <v>45842</v>
      </c>
      <c r="G877" s="1" t="s">
        <v>4005</v>
      </c>
      <c r="H877" s="3" t="s">
        <v>21</v>
      </c>
      <c r="I877" s="1" t="s">
        <v>3984</v>
      </c>
      <c r="J877" s="1" t="s">
        <v>12</v>
      </c>
      <c r="K877" s="3" t="s">
        <v>3995</v>
      </c>
      <c r="L877" s="1" t="s">
        <v>3987</v>
      </c>
      <c r="M877" s="1" t="s">
        <v>3996</v>
      </c>
      <c r="N877" s="1" t="s">
        <v>13</v>
      </c>
      <c r="O877" s="1" t="s">
        <v>3996</v>
      </c>
      <c r="P877" s="1" t="s">
        <v>13</v>
      </c>
      <c r="Q877" s="1" t="s">
        <v>14</v>
      </c>
      <c r="R877" s="1" t="s">
        <v>24</v>
      </c>
      <c r="S877" s="1" t="s">
        <v>4007</v>
      </c>
      <c r="T877" s="4">
        <v>1.2</v>
      </c>
    </row>
    <row r="878" spans="1:20">
      <c r="A878" s="1" t="s">
        <v>3981</v>
      </c>
      <c r="B878" s="1" t="s">
        <v>465</v>
      </c>
      <c r="C878" s="1" t="s">
        <v>3982</v>
      </c>
      <c r="D878" s="1" t="s">
        <v>603</v>
      </c>
      <c r="E878" s="2">
        <v>45849</v>
      </c>
      <c r="F878" s="2">
        <v>45842</v>
      </c>
      <c r="G878" s="1" t="s">
        <v>4005</v>
      </c>
      <c r="H878" s="3" t="s">
        <v>21</v>
      </c>
      <c r="I878" s="1" t="s">
        <v>3984</v>
      </c>
      <c r="J878" s="1" t="s">
        <v>12</v>
      </c>
      <c r="K878" s="3" t="s">
        <v>3995</v>
      </c>
      <c r="L878" s="1" t="s">
        <v>3987</v>
      </c>
      <c r="M878" s="1" t="s">
        <v>3996</v>
      </c>
      <c r="N878" s="1" t="s">
        <v>13</v>
      </c>
      <c r="O878" s="1" t="s">
        <v>3996</v>
      </c>
      <c r="P878" s="1" t="s">
        <v>13</v>
      </c>
      <c r="Q878" s="1" t="s">
        <v>14</v>
      </c>
      <c r="R878" s="1" t="s">
        <v>23</v>
      </c>
      <c r="S878" s="1" t="s">
        <v>4007</v>
      </c>
      <c r="T878" s="4">
        <v>20.6</v>
      </c>
    </row>
    <row r="879" spans="1:20">
      <c r="A879" s="1" t="s">
        <v>3981</v>
      </c>
      <c r="B879" s="1" t="s">
        <v>465</v>
      </c>
      <c r="C879" s="1" t="s">
        <v>3982</v>
      </c>
      <c r="D879" s="1" t="s">
        <v>603</v>
      </c>
      <c r="E879" s="2">
        <v>45849</v>
      </c>
      <c r="F879" s="2">
        <v>45842</v>
      </c>
      <c r="G879" s="1" t="s">
        <v>4005</v>
      </c>
      <c r="H879" s="3" t="s">
        <v>21</v>
      </c>
      <c r="I879" s="1" t="s">
        <v>3984</v>
      </c>
      <c r="J879" s="1" t="s">
        <v>12</v>
      </c>
      <c r="K879" s="3" t="s">
        <v>3995</v>
      </c>
      <c r="L879" s="1" t="s">
        <v>3987</v>
      </c>
      <c r="M879" s="1" t="s">
        <v>3996</v>
      </c>
      <c r="N879" s="1" t="s">
        <v>13</v>
      </c>
      <c r="O879" s="1" t="s">
        <v>3996</v>
      </c>
      <c r="P879" s="1" t="s">
        <v>13</v>
      </c>
      <c r="Q879" s="1" t="s">
        <v>14</v>
      </c>
      <c r="R879" s="1" t="s">
        <v>80</v>
      </c>
      <c r="S879" s="1" t="s">
        <v>4007</v>
      </c>
      <c r="T879" s="4">
        <v>3.8</v>
      </c>
    </row>
    <row r="880" spans="1:20">
      <c r="A880" s="1" t="s">
        <v>3981</v>
      </c>
      <c r="B880" s="1" t="s">
        <v>465</v>
      </c>
      <c r="C880" s="1" t="s">
        <v>3982</v>
      </c>
      <c r="D880" s="1" t="s">
        <v>603</v>
      </c>
      <c r="E880" s="2">
        <v>45849</v>
      </c>
      <c r="F880" s="2">
        <v>45842</v>
      </c>
      <c r="G880" s="1" t="s">
        <v>4005</v>
      </c>
      <c r="H880" s="3" t="s">
        <v>21</v>
      </c>
      <c r="I880" s="1" t="s">
        <v>3984</v>
      </c>
      <c r="J880" s="1" t="s">
        <v>12</v>
      </c>
      <c r="K880" s="3" t="s">
        <v>3995</v>
      </c>
      <c r="L880" s="1" t="s">
        <v>3987</v>
      </c>
      <c r="M880" s="1" t="s">
        <v>3996</v>
      </c>
      <c r="N880" s="1" t="s">
        <v>13</v>
      </c>
      <c r="O880" s="1" t="s">
        <v>3996</v>
      </c>
      <c r="P880" s="1" t="s">
        <v>13</v>
      </c>
      <c r="Q880" s="1" t="s">
        <v>14</v>
      </c>
      <c r="R880" s="1" t="s">
        <v>77</v>
      </c>
      <c r="S880" s="1" t="s">
        <v>4007</v>
      </c>
      <c r="T880" s="4">
        <v>3.4</v>
      </c>
    </row>
    <row r="881" spans="1:20">
      <c r="A881" s="1" t="s">
        <v>3981</v>
      </c>
      <c r="B881" s="1" t="s">
        <v>465</v>
      </c>
      <c r="C881" s="1" t="s">
        <v>3982</v>
      </c>
      <c r="D881" s="1" t="s">
        <v>603</v>
      </c>
      <c r="E881" s="2">
        <v>45849</v>
      </c>
      <c r="F881" s="2">
        <v>45842</v>
      </c>
      <c r="G881" s="1" t="s">
        <v>4005</v>
      </c>
      <c r="H881" s="3" t="s">
        <v>21</v>
      </c>
      <c r="I881" s="1" t="s">
        <v>3984</v>
      </c>
      <c r="J881" s="1" t="s">
        <v>12</v>
      </c>
      <c r="K881" s="3" t="s">
        <v>3995</v>
      </c>
      <c r="L881" s="1" t="s">
        <v>3987</v>
      </c>
      <c r="M881" s="1" t="s">
        <v>3996</v>
      </c>
      <c r="N881" s="1" t="s">
        <v>13</v>
      </c>
      <c r="O881" s="1" t="s">
        <v>3996</v>
      </c>
      <c r="P881" s="1" t="s">
        <v>13</v>
      </c>
      <c r="Q881" s="1" t="s">
        <v>28</v>
      </c>
      <c r="R881" s="1" t="s">
        <v>29</v>
      </c>
      <c r="S881" s="1" t="s">
        <v>4007</v>
      </c>
      <c r="T881" s="4">
        <v>0.8</v>
      </c>
    </row>
    <row r="882" spans="1:20">
      <c r="A882" s="1" t="s">
        <v>3981</v>
      </c>
      <c r="B882" s="1" t="s">
        <v>465</v>
      </c>
      <c r="C882" s="1" t="s">
        <v>3982</v>
      </c>
      <c r="D882" s="1" t="s">
        <v>603</v>
      </c>
      <c r="E882" s="2">
        <v>45849</v>
      </c>
      <c r="F882" s="2">
        <v>45842</v>
      </c>
      <c r="G882" s="1" t="s">
        <v>4008</v>
      </c>
      <c r="H882" s="3" t="s">
        <v>25</v>
      </c>
      <c r="I882" s="1" t="s">
        <v>3984</v>
      </c>
      <c r="J882" s="1" t="s">
        <v>12</v>
      </c>
      <c r="K882" s="3" t="s">
        <v>3995</v>
      </c>
      <c r="L882" s="1" t="s">
        <v>4013</v>
      </c>
      <c r="M882" s="1" t="s">
        <v>4042</v>
      </c>
      <c r="N882" s="1" t="s">
        <v>4043</v>
      </c>
      <c r="O882" s="1" t="s">
        <v>13</v>
      </c>
      <c r="P882" s="1" t="s">
        <v>13</v>
      </c>
      <c r="Q882" s="1" t="s">
        <v>13</v>
      </c>
      <c r="R882" s="1" t="s">
        <v>13</v>
      </c>
      <c r="S882" s="1" t="s">
        <v>4009</v>
      </c>
      <c r="T882" s="4">
        <v>0.4</v>
      </c>
    </row>
    <row r="883" spans="1:20">
      <c r="A883" s="1" t="s">
        <v>3981</v>
      </c>
      <c r="B883" s="1" t="s">
        <v>465</v>
      </c>
      <c r="C883" s="1" t="s">
        <v>3982</v>
      </c>
      <c r="D883" s="1" t="s">
        <v>603</v>
      </c>
      <c r="E883" s="2">
        <v>45849</v>
      </c>
      <c r="F883" s="2">
        <v>45842</v>
      </c>
      <c r="G883" s="1" t="s">
        <v>4008</v>
      </c>
      <c r="H883" s="3" t="s">
        <v>25</v>
      </c>
      <c r="I883" s="1" t="s">
        <v>3984</v>
      </c>
      <c r="J883" s="1" t="s">
        <v>12</v>
      </c>
      <c r="K883" s="3" t="s">
        <v>3995</v>
      </c>
      <c r="L883" s="1" t="s">
        <v>4013</v>
      </c>
      <c r="M883" s="1" t="s">
        <v>4075</v>
      </c>
      <c r="N883" s="1" t="s">
        <v>4076</v>
      </c>
      <c r="O883" s="1" t="s">
        <v>13</v>
      </c>
      <c r="P883" s="1" t="s">
        <v>13</v>
      </c>
      <c r="Q883" s="1" t="s">
        <v>13</v>
      </c>
      <c r="R883" s="1" t="s">
        <v>13</v>
      </c>
      <c r="S883" s="1" t="s">
        <v>4009</v>
      </c>
      <c r="T883" s="4">
        <v>0.6</v>
      </c>
    </row>
    <row r="884" spans="1:20">
      <c r="A884" s="1" t="s">
        <v>3981</v>
      </c>
      <c r="B884" s="1" t="s">
        <v>465</v>
      </c>
      <c r="C884" s="1" t="s">
        <v>3982</v>
      </c>
      <c r="D884" s="1" t="s">
        <v>603</v>
      </c>
      <c r="E884" s="2">
        <v>45849</v>
      </c>
      <c r="F884" s="2">
        <v>45842</v>
      </c>
      <c r="G884" s="1" t="s">
        <v>4008</v>
      </c>
      <c r="H884" s="3" t="s">
        <v>25</v>
      </c>
      <c r="I884" s="1" t="s">
        <v>3984</v>
      </c>
      <c r="J884" s="1" t="s">
        <v>12</v>
      </c>
      <c r="K884" s="3" t="s">
        <v>3995</v>
      </c>
      <c r="L884" s="1" t="s">
        <v>3987</v>
      </c>
      <c r="M884" s="1" t="s">
        <v>3996</v>
      </c>
      <c r="N884" s="1" t="s">
        <v>13</v>
      </c>
      <c r="O884" s="1" t="s">
        <v>3996</v>
      </c>
      <c r="P884" s="1" t="s">
        <v>13</v>
      </c>
      <c r="Q884" s="1" t="s">
        <v>14</v>
      </c>
      <c r="R884" s="1" t="s">
        <v>37</v>
      </c>
      <c r="S884" s="1" t="s">
        <v>4009</v>
      </c>
      <c r="T884" s="4">
        <v>1</v>
      </c>
    </row>
    <row r="885" spans="1:20">
      <c r="A885" s="1" t="s">
        <v>3981</v>
      </c>
      <c r="B885" s="1" t="s">
        <v>465</v>
      </c>
      <c r="C885" s="1" t="s">
        <v>3982</v>
      </c>
      <c r="D885" s="1" t="s">
        <v>603</v>
      </c>
      <c r="E885" s="2">
        <v>45849</v>
      </c>
      <c r="F885" s="2">
        <v>45842</v>
      </c>
      <c r="G885" s="1" t="s">
        <v>4008</v>
      </c>
      <c r="H885" s="3" t="s">
        <v>25</v>
      </c>
      <c r="I885" s="1" t="s">
        <v>3984</v>
      </c>
      <c r="J885" s="1" t="s">
        <v>12</v>
      </c>
      <c r="K885" s="3" t="s">
        <v>3995</v>
      </c>
      <c r="L885" s="1" t="s">
        <v>3987</v>
      </c>
      <c r="M885" s="1" t="s">
        <v>3996</v>
      </c>
      <c r="N885" s="1" t="s">
        <v>13</v>
      </c>
      <c r="O885" s="1" t="s">
        <v>3996</v>
      </c>
      <c r="P885" s="1" t="s">
        <v>13</v>
      </c>
      <c r="Q885" s="1" t="s">
        <v>28</v>
      </c>
      <c r="R885" s="1" t="s">
        <v>29</v>
      </c>
      <c r="S885" s="1" t="s">
        <v>4009</v>
      </c>
      <c r="T885" s="4">
        <v>0.9</v>
      </c>
    </row>
    <row r="886" spans="1:20">
      <c r="A886" s="1" t="s">
        <v>3981</v>
      </c>
      <c r="B886" s="1" t="s">
        <v>465</v>
      </c>
      <c r="C886" s="1" t="s">
        <v>3982</v>
      </c>
      <c r="D886" s="1" t="s">
        <v>603</v>
      </c>
      <c r="E886" s="2">
        <v>45849</v>
      </c>
      <c r="F886" s="2">
        <v>45842</v>
      </c>
      <c r="G886" s="1" t="s">
        <v>4008</v>
      </c>
      <c r="H886" s="3" t="s">
        <v>25</v>
      </c>
      <c r="I886" s="1" t="s">
        <v>3984</v>
      </c>
      <c r="J886" s="1" t="s">
        <v>12</v>
      </c>
      <c r="K886" s="3" t="s">
        <v>3995</v>
      </c>
      <c r="L886" s="1" t="s">
        <v>3987</v>
      </c>
      <c r="M886" s="1" t="s">
        <v>3996</v>
      </c>
      <c r="N886" s="1" t="s">
        <v>13</v>
      </c>
      <c r="O886" s="1" t="s">
        <v>3996</v>
      </c>
      <c r="P886" s="1" t="s">
        <v>13</v>
      </c>
      <c r="Q886" s="1" t="s">
        <v>44</v>
      </c>
      <c r="R886" s="1" t="s">
        <v>45</v>
      </c>
      <c r="S886" s="1" t="s">
        <v>4009</v>
      </c>
      <c r="T886" s="4">
        <v>15.3</v>
      </c>
    </row>
    <row r="887" spans="1:20">
      <c r="A887" s="1" t="s">
        <v>3981</v>
      </c>
      <c r="B887" s="1" t="s">
        <v>465</v>
      </c>
      <c r="C887" s="1" t="s">
        <v>3982</v>
      </c>
      <c r="D887" s="1" t="s">
        <v>603</v>
      </c>
      <c r="E887" s="2">
        <v>45849</v>
      </c>
      <c r="F887" s="2">
        <v>45842</v>
      </c>
      <c r="G887" s="1" t="s">
        <v>4008</v>
      </c>
      <c r="H887" s="3" t="s">
        <v>25</v>
      </c>
      <c r="I887" s="1" t="s">
        <v>3984</v>
      </c>
      <c r="J887" s="1" t="s">
        <v>12</v>
      </c>
      <c r="K887" s="3" t="s">
        <v>3995</v>
      </c>
      <c r="L887" s="1" t="s">
        <v>3987</v>
      </c>
      <c r="M887" s="1" t="s">
        <v>3996</v>
      </c>
      <c r="N887" s="1" t="s">
        <v>13</v>
      </c>
      <c r="O887" s="1" t="s">
        <v>3996</v>
      </c>
      <c r="P887" s="1" t="s">
        <v>13</v>
      </c>
      <c r="Q887" s="1" t="s">
        <v>38</v>
      </c>
      <c r="R887" s="1" t="s">
        <v>46</v>
      </c>
      <c r="S887" s="1" t="s">
        <v>4009</v>
      </c>
      <c r="T887" s="4">
        <v>0.6</v>
      </c>
    </row>
    <row r="888" spans="1:20">
      <c r="A888" s="1" t="s">
        <v>3981</v>
      </c>
      <c r="B888" s="1" t="s">
        <v>465</v>
      </c>
      <c r="C888" s="1" t="s">
        <v>3982</v>
      </c>
      <c r="D888" s="1" t="s">
        <v>603</v>
      </c>
      <c r="E888" s="2">
        <v>45849</v>
      </c>
      <c r="F888" s="2">
        <v>45842</v>
      </c>
      <c r="G888" s="1" t="s">
        <v>4008</v>
      </c>
      <c r="H888" s="3" t="s">
        <v>25</v>
      </c>
      <c r="I888" s="1" t="s">
        <v>3984</v>
      </c>
      <c r="J888" s="1" t="s">
        <v>12</v>
      </c>
      <c r="K888" s="3" t="s">
        <v>3995</v>
      </c>
      <c r="L888" s="1" t="s">
        <v>3987</v>
      </c>
      <c r="M888" s="1" t="s">
        <v>3996</v>
      </c>
      <c r="N888" s="1" t="s">
        <v>13</v>
      </c>
      <c r="O888" s="1" t="s">
        <v>3996</v>
      </c>
      <c r="P888" s="1" t="s">
        <v>13</v>
      </c>
      <c r="Q888" s="1" t="s">
        <v>30</v>
      </c>
      <c r="R888" s="1" t="s">
        <v>67</v>
      </c>
      <c r="S888" s="1" t="s">
        <v>4009</v>
      </c>
      <c r="T888" s="4">
        <v>1.9</v>
      </c>
    </row>
    <row r="889" spans="1:20">
      <c r="A889" s="1" t="s">
        <v>3981</v>
      </c>
      <c r="B889" s="1" t="s">
        <v>465</v>
      </c>
      <c r="C889" s="1" t="s">
        <v>3982</v>
      </c>
      <c r="D889" s="1" t="s">
        <v>603</v>
      </c>
      <c r="E889" s="2">
        <v>45849</v>
      </c>
      <c r="F889" s="2">
        <v>45842</v>
      </c>
      <c r="G889" s="1" t="s">
        <v>4008</v>
      </c>
      <c r="H889" s="3" t="s">
        <v>25</v>
      </c>
      <c r="I889" s="1" t="s">
        <v>3984</v>
      </c>
      <c r="J889" s="1" t="s">
        <v>12</v>
      </c>
      <c r="K889" s="3" t="s">
        <v>3995</v>
      </c>
      <c r="L889" s="1" t="s">
        <v>3987</v>
      </c>
      <c r="M889" s="1" t="s">
        <v>3996</v>
      </c>
      <c r="N889" s="1" t="s">
        <v>13</v>
      </c>
      <c r="O889" s="1" t="s">
        <v>3996</v>
      </c>
      <c r="P889" s="1" t="s">
        <v>13</v>
      </c>
      <c r="Q889" s="1" t="s">
        <v>30</v>
      </c>
      <c r="R889" s="1" t="s">
        <v>68</v>
      </c>
      <c r="S889" s="1" t="s">
        <v>4009</v>
      </c>
      <c r="T889" s="4">
        <v>1</v>
      </c>
    </row>
    <row r="890" spans="1:20">
      <c r="A890" s="1" t="s">
        <v>3981</v>
      </c>
      <c r="B890" s="1" t="s">
        <v>465</v>
      </c>
      <c r="C890" s="1" t="s">
        <v>3982</v>
      </c>
      <c r="D890" s="1" t="s">
        <v>603</v>
      </c>
      <c r="E890" s="2">
        <v>45849</v>
      </c>
      <c r="F890" s="2">
        <v>45842</v>
      </c>
      <c r="G890" s="1" t="s">
        <v>4008</v>
      </c>
      <c r="H890" s="3" t="s">
        <v>25</v>
      </c>
      <c r="I890" s="1" t="s">
        <v>3984</v>
      </c>
      <c r="J890" s="1" t="s">
        <v>12</v>
      </c>
      <c r="K890" s="3" t="s">
        <v>3995</v>
      </c>
      <c r="L890" s="1" t="s">
        <v>4077</v>
      </c>
      <c r="M890" s="1" t="s">
        <v>4078</v>
      </c>
      <c r="N890" s="1" t="s">
        <v>13</v>
      </c>
      <c r="O890" s="1" t="s">
        <v>4078</v>
      </c>
      <c r="P890" s="1" t="s">
        <v>13</v>
      </c>
      <c r="Q890" s="1" t="s">
        <v>13</v>
      </c>
      <c r="R890" s="1" t="s">
        <v>13</v>
      </c>
      <c r="S890" s="1" t="s">
        <v>4009</v>
      </c>
      <c r="T890" s="4">
        <v>0.3</v>
      </c>
    </row>
    <row r="891" spans="1:20">
      <c r="A891" s="1" t="s">
        <v>3981</v>
      </c>
      <c r="B891" s="1" t="s">
        <v>465</v>
      </c>
      <c r="C891" s="1" t="s">
        <v>3982</v>
      </c>
      <c r="D891" s="1" t="s">
        <v>603</v>
      </c>
      <c r="E891" s="2">
        <v>45849</v>
      </c>
      <c r="F891" s="2">
        <v>45849</v>
      </c>
      <c r="G891" s="1" t="s">
        <v>3983</v>
      </c>
      <c r="H891" s="3" t="s">
        <v>32</v>
      </c>
      <c r="I891" s="1" t="s">
        <v>3984</v>
      </c>
      <c r="J891" s="1" t="s">
        <v>12</v>
      </c>
      <c r="K891" s="3" t="s">
        <v>3995</v>
      </c>
      <c r="L891" s="1" t="s">
        <v>3987</v>
      </c>
      <c r="M891" s="1" t="s">
        <v>3996</v>
      </c>
      <c r="N891" s="1" t="s">
        <v>13</v>
      </c>
      <c r="O891" s="1" t="s">
        <v>3996</v>
      </c>
      <c r="P891" s="1" t="s">
        <v>13</v>
      </c>
      <c r="Q891" s="1" t="s">
        <v>14</v>
      </c>
      <c r="R891" s="1" t="s">
        <v>54</v>
      </c>
      <c r="S891" s="1" t="s">
        <v>3989</v>
      </c>
      <c r="T891" s="4">
        <v>27.5</v>
      </c>
    </row>
    <row r="892" spans="1:20">
      <c r="A892" s="1" t="s">
        <v>3981</v>
      </c>
      <c r="B892" s="1" t="s">
        <v>465</v>
      </c>
      <c r="C892" s="1" t="s">
        <v>3982</v>
      </c>
      <c r="D892" s="1" t="s">
        <v>603</v>
      </c>
      <c r="E892" s="2">
        <v>45849</v>
      </c>
      <c r="F892" s="2">
        <v>45849</v>
      </c>
      <c r="G892" s="1" t="s">
        <v>3983</v>
      </c>
      <c r="H892" s="3" t="s">
        <v>32</v>
      </c>
      <c r="I892" s="1" t="s">
        <v>3984</v>
      </c>
      <c r="J892" s="1" t="s">
        <v>12</v>
      </c>
      <c r="K892" s="3" t="s">
        <v>3995</v>
      </c>
      <c r="L892" s="1" t="s">
        <v>3987</v>
      </c>
      <c r="M892" s="1" t="s">
        <v>3996</v>
      </c>
      <c r="N892" s="1" t="s">
        <v>13</v>
      </c>
      <c r="O892" s="1" t="s">
        <v>3996</v>
      </c>
      <c r="P892" s="1" t="s">
        <v>13</v>
      </c>
      <c r="Q892" s="1" t="s">
        <v>44</v>
      </c>
      <c r="R892" s="1" t="s">
        <v>94</v>
      </c>
      <c r="S892" s="1" t="s">
        <v>3989</v>
      </c>
      <c r="T892" s="4">
        <v>14.5</v>
      </c>
    </row>
    <row r="893" spans="1:20">
      <c r="A893" s="1" t="s">
        <v>3981</v>
      </c>
      <c r="B893" s="1" t="s">
        <v>465</v>
      </c>
      <c r="C893" s="1" t="s">
        <v>3982</v>
      </c>
      <c r="D893" s="1" t="s">
        <v>603</v>
      </c>
      <c r="E893" s="2">
        <v>45849</v>
      </c>
      <c r="F893" s="2">
        <v>45849</v>
      </c>
      <c r="G893" s="1" t="s">
        <v>3990</v>
      </c>
      <c r="H893" s="3" t="s">
        <v>11</v>
      </c>
      <c r="I893" s="1" t="s">
        <v>3984</v>
      </c>
      <c r="J893" s="1" t="s">
        <v>3985</v>
      </c>
      <c r="K893" s="3" t="s">
        <v>3986</v>
      </c>
      <c r="L893" s="1" t="s">
        <v>3987</v>
      </c>
      <c r="M893" s="1" t="s">
        <v>13</v>
      </c>
      <c r="N893" s="1" t="s">
        <v>13</v>
      </c>
      <c r="O893" s="1" t="s">
        <v>3988</v>
      </c>
      <c r="P893" s="1" t="s">
        <v>13</v>
      </c>
      <c r="Q893" s="1" t="s">
        <v>13</v>
      </c>
      <c r="R893" s="1" t="s">
        <v>13</v>
      </c>
      <c r="S893" s="1" t="s">
        <v>3994</v>
      </c>
      <c r="T893" s="4">
        <v>4.4000000000000004</v>
      </c>
    </row>
    <row r="894" spans="1:20">
      <c r="A894" s="1" t="s">
        <v>3981</v>
      </c>
      <c r="B894" s="1" t="s">
        <v>465</v>
      </c>
      <c r="C894" s="1" t="s">
        <v>3982</v>
      </c>
      <c r="D894" s="1" t="s">
        <v>603</v>
      </c>
      <c r="E894" s="2">
        <v>45849</v>
      </c>
      <c r="F894" s="2">
        <v>45849</v>
      </c>
      <c r="G894" s="1" t="s">
        <v>3990</v>
      </c>
      <c r="H894" s="3" t="s">
        <v>11</v>
      </c>
      <c r="I894" s="1" t="s">
        <v>3984</v>
      </c>
      <c r="J894" s="1" t="s">
        <v>12</v>
      </c>
      <c r="K894" s="3" t="s">
        <v>3995</v>
      </c>
      <c r="L894" s="1" t="s">
        <v>3987</v>
      </c>
      <c r="M894" s="1" t="s">
        <v>3996</v>
      </c>
      <c r="N894" s="1" t="s">
        <v>13</v>
      </c>
      <c r="O894" s="1" t="s">
        <v>3996</v>
      </c>
      <c r="P894" s="1" t="s">
        <v>13</v>
      </c>
      <c r="Q894" s="1" t="s">
        <v>83</v>
      </c>
      <c r="R894" s="1" t="s">
        <v>86</v>
      </c>
      <c r="S894" s="1" t="s">
        <v>3994</v>
      </c>
      <c r="T894" s="4">
        <v>1.3</v>
      </c>
    </row>
    <row r="895" spans="1:20">
      <c r="A895" s="1" t="s">
        <v>3981</v>
      </c>
      <c r="B895" s="1" t="s">
        <v>465</v>
      </c>
      <c r="C895" s="1" t="s">
        <v>3982</v>
      </c>
      <c r="D895" s="1" t="s">
        <v>603</v>
      </c>
      <c r="E895" s="2">
        <v>45849</v>
      </c>
      <c r="F895" s="2">
        <v>45849</v>
      </c>
      <c r="G895" s="1" t="s">
        <v>3990</v>
      </c>
      <c r="H895" s="3" t="s">
        <v>11</v>
      </c>
      <c r="I895" s="1" t="s">
        <v>3984</v>
      </c>
      <c r="J895" s="1" t="s">
        <v>12</v>
      </c>
      <c r="K895" s="3" t="s">
        <v>3995</v>
      </c>
      <c r="L895" s="1" t="s">
        <v>3987</v>
      </c>
      <c r="M895" s="1" t="s">
        <v>3996</v>
      </c>
      <c r="N895" s="1" t="s">
        <v>13</v>
      </c>
      <c r="O895" s="1" t="s">
        <v>3996</v>
      </c>
      <c r="P895" s="1" t="s">
        <v>13</v>
      </c>
      <c r="Q895" s="1" t="s">
        <v>14</v>
      </c>
      <c r="R895" s="1" t="s">
        <v>24</v>
      </c>
      <c r="S895" s="1" t="s">
        <v>3994</v>
      </c>
      <c r="T895" s="4">
        <v>0.7</v>
      </c>
    </row>
    <row r="896" spans="1:20">
      <c r="A896" s="1" t="s">
        <v>3981</v>
      </c>
      <c r="B896" s="1" t="s">
        <v>465</v>
      </c>
      <c r="C896" s="1" t="s">
        <v>3982</v>
      </c>
      <c r="D896" s="1" t="s">
        <v>603</v>
      </c>
      <c r="E896" s="2">
        <v>45849</v>
      </c>
      <c r="F896" s="2">
        <v>45849</v>
      </c>
      <c r="G896" s="1" t="s">
        <v>3990</v>
      </c>
      <c r="H896" s="3" t="s">
        <v>11</v>
      </c>
      <c r="I896" s="1" t="s">
        <v>3984</v>
      </c>
      <c r="J896" s="1" t="s">
        <v>12</v>
      </c>
      <c r="K896" s="3" t="s">
        <v>3995</v>
      </c>
      <c r="L896" s="1" t="s">
        <v>3987</v>
      </c>
      <c r="M896" s="1" t="s">
        <v>3996</v>
      </c>
      <c r="N896" s="1" t="s">
        <v>13</v>
      </c>
      <c r="O896" s="1" t="s">
        <v>3996</v>
      </c>
      <c r="P896" s="1" t="s">
        <v>13</v>
      </c>
      <c r="Q896" s="1" t="s">
        <v>14</v>
      </c>
      <c r="R896" s="1" t="s">
        <v>37</v>
      </c>
      <c r="S896" s="1" t="s">
        <v>3994</v>
      </c>
      <c r="T896" s="4">
        <v>0.5</v>
      </c>
    </row>
    <row r="897" spans="1:20">
      <c r="A897" s="1" t="s">
        <v>3981</v>
      </c>
      <c r="B897" s="1" t="s">
        <v>465</v>
      </c>
      <c r="C897" s="1" t="s">
        <v>3982</v>
      </c>
      <c r="D897" s="1" t="s">
        <v>603</v>
      </c>
      <c r="E897" s="2">
        <v>45849</v>
      </c>
      <c r="F897" s="2">
        <v>45849</v>
      </c>
      <c r="G897" s="1" t="s">
        <v>3990</v>
      </c>
      <c r="H897" s="3" t="s">
        <v>11</v>
      </c>
      <c r="I897" s="1" t="s">
        <v>3984</v>
      </c>
      <c r="J897" s="1" t="s">
        <v>12</v>
      </c>
      <c r="K897" s="3" t="s">
        <v>3995</v>
      </c>
      <c r="L897" s="1" t="s">
        <v>3987</v>
      </c>
      <c r="M897" s="1" t="s">
        <v>3996</v>
      </c>
      <c r="N897" s="1" t="s">
        <v>13</v>
      </c>
      <c r="O897" s="1" t="s">
        <v>3996</v>
      </c>
      <c r="P897" s="1" t="s">
        <v>13</v>
      </c>
      <c r="Q897" s="1" t="s">
        <v>44</v>
      </c>
      <c r="R897" s="1" t="s">
        <v>45</v>
      </c>
      <c r="S897" s="1" t="s">
        <v>3994</v>
      </c>
      <c r="T897" s="4">
        <v>2.7</v>
      </c>
    </row>
    <row r="898" spans="1:20">
      <c r="A898" s="1" t="s">
        <v>3981</v>
      </c>
      <c r="B898" s="1" t="s">
        <v>465</v>
      </c>
      <c r="C898" s="1" t="s">
        <v>3982</v>
      </c>
      <c r="D898" s="1" t="s">
        <v>603</v>
      </c>
      <c r="E898" s="2">
        <v>45849</v>
      </c>
      <c r="F898" s="2">
        <v>45849</v>
      </c>
      <c r="G898" s="1" t="s">
        <v>3990</v>
      </c>
      <c r="H898" s="3" t="s">
        <v>11</v>
      </c>
      <c r="I898" s="1" t="s">
        <v>3984</v>
      </c>
      <c r="J898" s="1" t="s">
        <v>12</v>
      </c>
      <c r="K898" s="3" t="s">
        <v>3995</v>
      </c>
      <c r="L898" s="1" t="s">
        <v>3987</v>
      </c>
      <c r="M898" s="1" t="s">
        <v>3996</v>
      </c>
      <c r="N898" s="1" t="s">
        <v>13</v>
      </c>
      <c r="O898" s="1" t="s">
        <v>3996</v>
      </c>
      <c r="P898" s="1" t="s">
        <v>13</v>
      </c>
      <c r="Q898" s="1" t="s">
        <v>16</v>
      </c>
      <c r="R898" s="1" t="s">
        <v>17</v>
      </c>
      <c r="S898" s="1" t="s">
        <v>3994</v>
      </c>
      <c r="T898" s="4">
        <v>10</v>
      </c>
    </row>
    <row r="899" spans="1:20">
      <c r="A899" s="1" t="s">
        <v>3981</v>
      </c>
      <c r="B899" s="1" t="s">
        <v>465</v>
      </c>
      <c r="C899" s="1" t="s">
        <v>3982</v>
      </c>
      <c r="D899" s="1" t="s">
        <v>603</v>
      </c>
      <c r="E899" s="2">
        <v>45849</v>
      </c>
      <c r="F899" s="2">
        <v>45849</v>
      </c>
      <c r="G899" s="1" t="s">
        <v>3990</v>
      </c>
      <c r="H899" s="3" t="s">
        <v>11</v>
      </c>
      <c r="I899" s="1" t="s">
        <v>3984</v>
      </c>
      <c r="J899" s="1" t="s">
        <v>12</v>
      </c>
      <c r="K899" s="3" t="s">
        <v>3995</v>
      </c>
      <c r="L899" s="1" t="s">
        <v>3987</v>
      </c>
      <c r="M899" s="1" t="s">
        <v>3996</v>
      </c>
      <c r="N899" s="1" t="s">
        <v>13</v>
      </c>
      <c r="O899" s="1" t="s">
        <v>3996</v>
      </c>
      <c r="P899" s="1" t="s">
        <v>13</v>
      </c>
      <c r="Q899" s="1" t="s">
        <v>16</v>
      </c>
      <c r="R899" s="1" t="s">
        <v>64</v>
      </c>
      <c r="S899" s="1" t="s">
        <v>3994</v>
      </c>
      <c r="T899" s="4">
        <v>3</v>
      </c>
    </row>
    <row r="900" spans="1:20">
      <c r="A900" s="1" t="s">
        <v>3981</v>
      </c>
      <c r="B900" s="1" t="s">
        <v>465</v>
      </c>
      <c r="C900" s="1" t="s">
        <v>3982</v>
      </c>
      <c r="D900" s="1" t="s">
        <v>603</v>
      </c>
      <c r="E900" s="2">
        <v>45849</v>
      </c>
      <c r="F900" s="2">
        <v>45849</v>
      </c>
      <c r="G900" s="1" t="s">
        <v>3990</v>
      </c>
      <c r="H900" s="3" t="s">
        <v>11</v>
      </c>
      <c r="I900" s="1" t="s">
        <v>3984</v>
      </c>
      <c r="J900" s="1" t="s">
        <v>12</v>
      </c>
      <c r="K900" s="3" t="s">
        <v>3995</v>
      </c>
      <c r="L900" s="1" t="s">
        <v>3987</v>
      </c>
      <c r="M900" s="1" t="s">
        <v>3996</v>
      </c>
      <c r="N900" s="1" t="s">
        <v>13</v>
      </c>
      <c r="O900" s="1" t="s">
        <v>3996</v>
      </c>
      <c r="P900" s="1" t="s">
        <v>13</v>
      </c>
      <c r="Q900" s="1" t="s">
        <v>16</v>
      </c>
      <c r="R900" s="1" t="s">
        <v>40</v>
      </c>
      <c r="S900" s="1" t="s">
        <v>3994</v>
      </c>
      <c r="T900" s="4">
        <v>7.3</v>
      </c>
    </row>
    <row r="901" spans="1:20">
      <c r="A901" s="1" t="s">
        <v>3981</v>
      </c>
      <c r="B901" s="1" t="s">
        <v>465</v>
      </c>
      <c r="C901" s="1" t="s">
        <v>3982</v>
      </c>
      <c r="D901" s="1" t="s">
        <v>603</v>
      </c>
      <c r="E901" s="2">
        <v>45849</v>
      </c>
      <c r="F901" s="2">
        <v>45849</v>
      </c>
      <c r="G901" s="1" t="s">
        <v>3990</v>
      </c>
      <c r="H901" s="3" t="s">
        <v>11</v>
      </c>
      <c r="I901" s="1" t="s">
        <v>3984</v>
      </c>
      <c r="J901" s="1" t="s">
        <v>12</v>
      </c>
      <c r="K901" s="3" t="s">
        <v>3995</v>
      </c>
      <c r="L901" s="1" t="s">
        <v>3987</v>
      </c>
      <c r="M901" s="1" t="s">
        <v>3996</v>
      </c>
      <c r="N901" s="1" t="s">
        <v>13</v>
      </c>
      <c r="O901" s="1" t="s">
        <v>3996</v>
      </c>
      <c r="P901" s="1" t="s">
        <v>13</v>
      </c>
      <c r="Q901" s="1" t="s">
        <v>16</v>
      </c>
      <c r="R901" s="1" t="s">
        <v>74</v>
      </c>
      <c r="S901" s="1" t="s">
        <v>3994</v>
      </c>
      <c r="T901" s="4">
        <v>1.1000000000000001</v>
      </c>
    </row>
    <row r="902" spans="1:20">
      <c r="A902" s="1" t="s">
        <v>3981</v>
      </c>
      <c r="B902" s="1" t="s">
        <v>465</v>
      </c>
      <c r="C902" s="1" t="s">
        <v>3982</v>
      </c>
      <c r="D902" s="1" t="s">
        <v>603</v>
      </c>
      <c r="E902" s="2">
        <v>45849</v>
      </c>
      <c r="F902" s="2">
        <v>45849</v>
      </c>
      <c r="G902" s="1" t="s">
        <v>3990</v>
      </c>
      <c r="H902" s="3" t="s">
        <v>11</v>
      </c>
      <c r="I902" s="1" t="s">
        <v>3984</v>
      </c>
      <c r="J902" s="1" t="s">
        <v>12</v>
      </c>
      <c r="K902" s="3" t="s">
        <v>3995</v>
      </c>
      <c r="L902" s="1" t="s">
        <v>3987</v>
      </c>
      <c r="M902" s="1" t="s">
        <v>3996</v>
      </c>
      <c r="N902" s="1" t="s">
        <v>13</v>
      </c>
      <c r="O902" s="1" t="s">
        <v>3996</v>
      </c>
      <c r="P902" s="1" t="s">
        <v>13</v>
      </c>
      <c r="Q902" s="1" t="s">
        <v>16</v>
      </c>
      <c r="R902" s="1" t="s">
        <v>85</v>
      </c>
      <c r="S902" s="1" t="s">
        <v>3994</v>
      </c>
      <c r="T902" s="4">
        <v>8.6</v>
      </c>
    </row>
    <row r="903" spans="1:20">
      <c r="A903" s="1" t="s">
        <v>3981</v>
      </c>
      <c r="B903" s="1" t="s">
        <v>465</v>
      </c>
      <c r="C903" s="1" t="s">
        <v>3982</v>
      </c>
      <c r="D903" s="1" t="s">
        <v>603</v>
      </c>
      <c r="E903" s="2">
        <v>45849</v>
      </c>
      <c r="F903" s="2">
        <v>45849</v>
      </c>
      <c r="G903" s="1" t="s">
        <v>3990</v>
      </c>
      <c r="H903" s="3" t="s">
        <v>11</v>
      </c>
      <c r="I903" s="1" t="s">
        <v>3984</v>
      </c>
      <c r="J903" s="1" t="s">
        <v>12</v>
      </c>
      <c r="K903" s="3" t="s">
        <v>3995</v>
      </c>
      <c r="L903" s="1" t="s">
        <v>3987</v>
      </c>
      <c r="M903" s="1" t="s">
        <v>4017</v>
      </c>
      <c r="N903" s="1" t="s">
        <v>4018</v>
      </c>
      <c r="O903" s="1" t="s">
        <v>13</v>
      </c>
      <c r="P903" s="1" t="s">
        <v>13</v>
      </c>
      <c r="Q903" s="1" t="s">
        <v>4019</v>
      </c>
      <c r="R903" s="1" t="s">
        <v>4019</v>
      </c>
      <c r="S903" s="1" t="s">
        <v>3994</v>
      </c>
      <c r="T903" s="4">
        <v>1.5</v>
      </c>
    </row>
    <row r="904" spans="1:20">
      <c r="A904" s="1" t="s">
        <v>3981</v>
      </c>
      <c r="B904" s="1" t="s">
        <v>465</v>
      </c>
      <c r="C904" s="1" t="s">
        <v>3982</v>
      </c>
      <c r="D904" s="1" t="s">
        <v>603</v>
      </c>
      <c r="E904" s="2">
        <v>45849</v>
      </c>
      <c r="F904" s="2">
        <v>45849</v>
      </c>
      <c r="G904" s="1" t="s">
        <v>3990</v>
      </c>
      <c r="H904" s="3" t="s">
        <v>11</v>
      </c>
      <c r="I904" s="1" t="s">
        <v>3984</v>
      </c>
      <c r="J904" s="1" t="s">
        <v>12</v>
      </c>
      <c r="K904" s="3" t="s">
        <v>3995</v>
      </c>
      <c r="L904" s="1" t="s">
        <v>3987</v>
      </c>
      <c r="M904" s="1" t="s">
        <v>4010</v>
      </c>
      <c r="N904" s="1" t="s">
        <v>4011</v>
      </c>
      <c r="O904" s="1" t="s">
        <v>13</v>
      </c>
      <c r="P904" s="1" t="s">
        <v>13</v>
      </c>
      <c r="Q904" s="1" t="s">
        <v>4001</v>
      </c>
      <c r="R904" s="1" t="s">
        <v>4012</v>
      </c>
      <c r="S904" s="1" t="s">
        <v>3994</v>
      </c>
      <c r="T904" s="4">
        <v>1</v>
      </c>
    </row>
    <row r="905" spans="1:20">
      <c r="A905" s="1" t="s">
        <v>3981</v>
      </c>
      <c r="B905" s="1" t="s">
        <v>465</v>
      </c>
      <c r="C905" s="1" t="s">
        <v>3982</v>
      </c>
      <c r="D905" s="1" t="s">
        <v>603</v>
      </c>
      <c r="E905" s="2">
        <v>45849</v>
      </c>
      <c r="F905" s="2">
        <v>45849</v>
      </c>
      <c r="G905" s="1" t="s">
        <v>3990</v>
      </c>
      <c r="H905" s="3" t="s">
        <v>11</v>
      </c>
      <c r="I905" s="1" t="s">
        <v>3984</v>
      </c>
      <c r="J905" s="1" t="s">
        <v>12</v>
      </c>
      <c r="K905" s="3" t="s">
        <v>3995</v>
      </c>
      <c r="L905" s="1" t="s">
        <v>3987</v>
      </c>
      <c r="M905" s="1" t="s">
        <v>4055</v>
      </c>
      <c r="N905" s="1" t="s">
        <v>4056</v>
      </c>
      <c r="O905" s="1" t="s">
        <v>13</v>
      </c>
      <c r="P905" s="1" t="s">
        <v>13</v>
      </c>
      <c r="Q905" s="1" t="s">
        <v>4057</v>
      </c>
      <c r="R905" s="1" t="s">
        <v>4061</v>
      </c>
      <c r="S905" s="1" t="s">
        <v>3994</v>
      </c>
      <c r="T905" s="4">
        <v>1.9</v>
      </c>
    </row>
    <row r="906" spans="1:20">
      <c r="A906" s="1" t="s">
        <v>3981</v>
      </c>
      <c r="B906" s="1" t="s">
        <v>465</v>
      </c>
      <c r="C906" s="1" t="s">
        <v>3982</v>
      </c>
      <c r="D906" s="1" t="s">
        <v>603</v>
      </c>
      <c r="E906" s="2">
        <v>45849</v>
      </c>
      <c r="F906" s="2">
        <v>45849</v>
      </c>
      <c r="G906" s="1" t="s">
        <v>3997</v>
      </c>
      <c r="H906" s="3" t="s">
        <v>41</v>
      </c>
      <c r="I906" s="1" t="s">
        <v>3984</v>
      </c>
      <c r="J906" s="1" t="s">
        <v>3985</v>
      </c>
      <c r="K906" s="3" t="s">
        <v>3986</v>
      </c>
      <c r="L906" s="1" t="s">
        <v>3987</v>
      </c>
      <c r="M906" s="1" t="s">
        <v>13</v>
      </c>
      <c r="N906" s="1" t="s">
        <v>13</v>
      </c>
      <c r="O906" s="1" t="s">
        <v>3988</v>
      </c>
      <c r="P906" s="1" t="s">
        <v>13</v>
      </c>
      <c r="Q906" s="1" t="s">
        <v>13</v>
      </c>
      <c r="R906" s="1" t="s">
        <v>13</v>
      </c>
      <c r="S906" s="1" t="s">
        <v>3998</v>
      </c>
      <c r="T906" s="4">
        <v>3</v>
      </c>
    </row>
    <row r="907" spans="1:20">
      <c r="A907" s="1" t="s">
        <v>3981</v>
      </c>
      <c r="B907" s="1" t="s">
        <v>465</v>
      </c>
      <c r="C907" s="1" t="s">
        <v>3982</v>
      </c>
      <c r="D907" s="1" t="s">
        <v>603</v>
      </c>
      <c r="E907" s="2">
        <v>45849</v>
      </c>
      <c r="F907" s="2">
        <v>45849</v>
      </c>
      <c r="G907" s="1" t="s">
        <v>3997</v>
      </c>
      <c r="H907" s="3" t="s">
        <v>41</v>
      </c>
      <c r="I907" s="1" t="s">
        <v>3984</v>
      </c>
      <c r="J907" s="1" t="s">
        <v>12</v>
      </c>
      <c r="K907" s="3" t="s">
        <v>3995</v>
      </c>
      <c r="L907" s="1" t="s">
        <v>3987</v>
      </c>
      <c r="M907" s="1" t="s">
        <v>3999</v>
      </c>
      <c r="N907" s="1" t="s">
        <v>13</v>
      </c>
      <c r="O907" s="1" t="s">
        <v>3999</v>
      </c>
      <c r="P907" s="1" t="s">
        <v>13</v>
      </c>
      <c r="Q907" s="1" t="s">
        <v>4000</v>
      </c>
      <c r="R907" s="1" t="s">
        <v>4001</v>
      </c>
      <c r="S907" s="1" t="s">
        <v>3998</v>
      </c>
      <c r="T907" s="4">
        <v>23</v>
      </c>
    </row>
    <row r="908" spans="1:20">
      <c r="A908" s="1" t="s">
        <v>3981</v>
      </c>
      <c r="B908" s="1" t="s">
        <v>465</v>
      </c>
      <c r="C908" s="1" t="s">
        <v>3982</v>
      </c>
      <c r="D908" s="1" t="s">
        <v>603</v>
      </c>
      <c r="E908" s="2">
        <v>45849</v>
      </c>
      <c r="F908" s="2">
        <v>45849</v>
      </c>
      <c r="G908" s="1" t="s">
        <v>3997</v>
      </c>
      <c r="H908" s="3" t="s">
        <v>41</v>
      </c>
      <c r="I908" s="1" t="s">
        <v>3984</v>
      </c>
      <c r="J908" s="1" t="s">
        <v>12</v>
      </c>
      <c r="K908" s="3" t="s">
        <v>3995</v>
      </c>
      <c r="L908" s="1" t="s">
        <v>4002</v>
      </c>
      <c r="M908" s="1" t="s">
        <v>4003</v>
      </c>
      <c r="N908" s="1" t="s">
        <v>13</v>
      </c>
      <c r="O908" s="1" t="s">
        <v>4003</v>
      </c>
      <c r="P908" s="1" t="s">
        <v>13</v>
      </c>
      <c r="Q908" s="1" t="s">
        <v>4004</v>
      </c>
      <c r="R908" s="1" t="s">
        <v>4001</v>
      </c>
      <c r="S908" s="1" t="s">
        <v>3998</v>
      </c>
      <c r="T908" s="4">
        <v>18</v>
      </c>
    </row>
    <row r="909" spans="1:20">
      <c r="A909" s="1" t="s">
        <v>3981</v>
      </c>
      <c r="B909" s="1" t="s">
        <v>465</v>
      </c>
      <c r="C909" s="1" t="s">
        <v>3982</v>
      </c>
      <c r="D909" s="1" t="s">
        <v>603</v>
      </c>
      <c r="E909" s="2">
        <v>45849</v>
      </c>
      <c r="F909" s="2">
        <v>45849</v>
      </c>
      <c r="G909" s="1" t="s">
        <v>4005</v>
      </c>
      <c r="H909" s="3" t="s">
        <v>21</v>
      </c>
      <c r="I909" s="1" t="s">
        <v>3984</v>
      </c>
      <c r="J909" s="1" t="s">
        <v>12</v>
      </c>
      <c r="K909" s="3" t="s">
        <v>3995</v>
      </c>
      <c r="L909" s="1" t="s">
        <v>3987</v>
      </c>
      <c r="M909" s="1" t="s">
        <v>3996</v>
      </c>
      <c r="N909" s="1" t="s">
        <v>13</v>
      </c>
      <c r="O909" s="1" t="s">
        <v>3996</v>
      </c>
      <c r="P909" s="1" t="s">
        <v>13</v>
      </c>
      <c r="Q909" s="1" t="s">
        <v>14</v>
      </c>
      <c r="R909" s="1" t="s">
        <v>23</v>
      </c>
      <c r="S909" s="1" t="s">
        <v>4007</v>
      </c>
      <c r="T909" s="4">
        <v>16</v>
      </c>
    </row>
    <row r="910" spans="1:20">
      <c r="A910" s="1" t="s">
        <v>3981</v>
      </c>
      <c r="B910" s="1" t="s">
        <v>465</v>
      </c>
      <c r="C910" s="1" t="s">
        <v>3982</v>
      </c>
      <c r="D910" s="1" t="s">
        <v>603</v>
      </c>
      <c r="E910" s="2">
        <v>45849</v>
      </c>
      <c r="F910" s="2">
        <v>45849</v>
      </c>
      <c r="G910" s="1" t="s">
        <v>4005</v>
      </c>
      <c r="H910" s="3" t="s">
        <v>21</v>
      </c>
      <c r="I910" s="1" t="s">
        <v>3984</v>
      </c>
      <c r="J910" s="1" t="s">
        <v>12</v>
      </c>
      <c r="K910" s="3" t="s">
        <v>3995</v>
      </c>
      <c r="L910" s="1" t="s">
        <v>3987</v>
      </c>
      <c r="M910" s="1" t="s">
        <v>3996</v>
      </c>
      <c r="N910" s="1" t="s">
        <v>13</v>
      </c>
      <c r="O910" s="1" t="s">
        <v>3996</v>
      </c>
      <c r="P910" s="1" t="s">
        <v>13</v>
      </c>
      <c r="Q910" s="1" t="s">
        <v>14</v>
      </c>
      <c r="R910" s="1" t="s">
        <v>57</v>
      </c>
      <c r="S910" s="1" t="s">
        <v>4007</v>
      </c>
      <c r="T910" s="4">
        <v>0.5</v>
      </c>
    </row>
    <row r="911" spans="1:20">
      <c r="A911" s="1" t="s">
        <v>3981</v>
      </c>
      <c r="B911" s="1" t="s">
        <v>465</v>
      </c>
      <c r="C911" s="1" t="s">
        <v>3982</v>
      </c>
      <c r="D911" s="1" t="s">
        <v>603</v>
      </c>
      <c r="E911" s="2">
        <v>45849</v>
      </c>
      <c r="F911" s="2">
        <v>45849</v>
      </c>
      <c r="G911" s="1" t="s">
        <v>4005</v>
      </c>
      <c r="H911" s="3" t="s">
        <v>21</v>
      </c>
      <c r="I911" s="1" t="s">
        <v>3984</v>
      </c>
      <c r="J911" s="1" t="s">
        <v>12</v>
      </c>
      <c r="K911" s="3" t="s">
        <v>3995</v>
      </c>
      <c r="L911" s="1" t="s">
        <v>3987</v>
      </c>
      <c r="M911" s="1" t="s">
        <v>3996</v>
      </c>
      <c r="N911" s="1" t="s">
        <v>13</v>
      </c>
      <c r="O911" s="1" t="s">
        <v>3996</v>
      </c>
      <c r="P911" s="1" t="s">
        <v>13</v>
      </c>
      <c r="Q911" s="1" t="s">
        <v>14</v>
      </c>
      <c r="R911" s="1" t="s">
        <v>80</v>
      </c>
      <c r="S911" s="1" t="s">
        <v>4007</v>
      </c>
      <c r="T911" s="4">
        <v>2.1</v>
      </c>
    </row>
    <row r="912" spans="1:20">
      <c r="A912" s="1" t="s">
        <v>3981</v>
      </c>
      <c r="B912" s="1" t="s">
        <v>465</v>
      </c>
      <c r="C912" s="1" t="s">
        <v>3982</v>
      </c>
      <c r="D912" s="1" t="s">
        <v>603</v>
      </c>
      <c r="E912" s="2">
        <v>45849</v>
      </c>
      <c r="F912" s="2">
        <v>45849</v>
      </c>
      <c r="G912" s="1" t="s">
        <v>4005</v>
      </c>
      <c r="H912" s="3" t="s">
        <v>21</v>
      </c>
      <c r="I912" s="1" t="s">
        <v>3984</v>
      </c>
      <c r="J912" s="1" t="s">
        <v>12</v>
      </c>
      <c r="K912" s="3" t="s">
        <v>3995</v>
      </c>
      <c r="L912" s="1" t="s">
        <v>3987</v>
      </c>
      <c r="M912" s="1" t="s">
        <v>3996</v>
      </c>
      <c r="N912" s="1" t="s">
        <v>13</v>
      </c>
      <c r="O912" s="1" t="s">
        <v>3996</v>
      </c>
      <c r="P912" s="1" t="s">
        <v>13</v>
      </c>
      <c r="Q912" s="1" t="s">
        <v>14</v>
      </c>
      <c r="R912" s="1" t="s">
        <v>77</v>
      </c>
      <c r="S912" s="1" t="s">
        <v>4007</v>
      </c>
      <c r="T912" s="4">
        <v>21.4</v>
      </c>
    </row>
    <row r="913" spans="1:20">
      <c r="A913" s="1" t="s">
        <v>3981</v>
      </c>
      <c r="B913" s="1" t="s">
        <v>465</v>
      </c>
      <c r="C913" s="1" t="s">
        <v>3982</v>
      </c>
      <c r="D913" s="1" t="s">
        <v>603</v>
      </c>
      <c r="E913" s="2">
        <v>45849</v>
      </c>
      <c r="F913" s="2">
        <v>45849</v>
      </c>
      <c r="G913" s="1" t="s">
        <v>4005</v>
      </c>
      <c r="H913" s="3" t="s">
        <v>21</v>
      </c>
      <c r="I913" s="1" t="s">
        <v>3984</v>
      </c>
      <c r="J913" s="1" t="s">
        <v>12</v>
      </c>
      <c r="K913" s="3" t="s">
        <v>3995</v>
      </c>
      <c r="L913" s="1" t="s">
        <v>3987</v>
      </c>
      <c r="M913" s="1" t="s">
        <v>3996</v>
      </c>
      <c r="N913" s="1" t="s">
        <v>13</v>
      </c>
      <c r="O913" s="1" t="s">
        <v>3996</v>
      </c>
      <c r="P913" s="1" t="s">
        <v>13</v>
      </c>
      <c r="Q913" s="1" t="s">
        <v>28</v>
      </c>
      <c r="R913" s="1" t="s">
        <v>95</v>
      </c>
      <c r="S913" s="1" t="s">
        <v>4007</v>
      </c>
      <c r="T913" s="4">
        <v>1</v>
      </c>
    </row>
    <row r="914" spans="1:20">
      <c r="A914" s="1" t="s">
        <v>3981</v>
      </c>
      <c r="B914" s="1" t="s">
        <v>465</v>
      </c>
      <c r="C914" s="1" t="s">
        <v>3982</v>
      </c>
      <c r="D914" s="1" t="s">
        <v>603</v>
      </c>
      <c r="E914" s="2">
        <v>45849</v>
      </c>
      <c r="F914" s="2">
        <v>45849</v>
      </c>
      <c r="G914" s="1" t="s">
        <v>4005</v>
      </c>
      <c r="H914" s="3" t="s">
        <v>21</v>
      </c>
      <c r="I914" s="1" t="s">
        <v>3984</v>
      </c>
      <c r="J914" s="1" t="s">
        <v>12</v>
      </c>
      <c r="K914" s="3" t="s">
        <v>3995</v>
      </c>
      <c r="L914" s="1" t="s">
        <v>3987</v>
      </c>
      <c r="M914" s="1" t="s">
        <v>3996</v>
      </c>
      <c r="N914" s="1" t="s">
        <v>13</v>
      </c>
      <c r="O914" s="1" t="s">
        <v>3996</v>
      </c>
      <c r="P914" s="1" t="s">
        <v>13</v>
      </c>
      <c r="Q914" s="1" t="s">
        <v>28</v>
      </c>
      <c r="R914" s="1" t="s">
        <v>29</v>
      </c>
      <c r="S914" s="1" t="s">
        <v>4007</v>
      </c>
      <c r="T914" s="4">
        <v>1.3</v>
      </c>
    </row>
    <row r="915" spans="1:20">
      <c r="A915" s="1" t="s">
        <v>3981</v>
      </c>
      <c r="B915" s="1" t="s">
        <v>465</v>
      </c>
      <c r="C915" s="1" t="s">
        <v>3982</v>
      </c>
      <c r="D915" s="1" t="s">
        <v>603</v>
      </c>
      <c r="E915" s="2">
        <v>45849</v>
      </c>
      <c r="F915" s="2">
        <v>45849</v>
      </c>
      <c r="G915" s="1" t="s">
        <v>4008</v>
      </c>
      <c r="H915" s="3" t="s">
        <v>25</v>
      </c>
      <c r="I915" s="1" t="s">
        <v>3984</v>
      </c>
      <c r="J915" s="1" t="s">
        <v>3985</v>
      </c>
      <c r="K915" s="3" t="s">
        <v>3986</v>
      </c>
      <c r="L915" s="1" t="s">
        <v>3987</v>
      </c>
      <c r="M915" s="1" t="s">
        <v>13</v>
      </c>
      <c r="N915" s="1" t="s">
        <v>13</v>
      </c>
      <c r="O915" s="1" t="s">
        <v>3988</v>
      </c>
      <c r="P915" s="1" t="s">
        <v>13</v>
      </c>
      <c r="Q915" s="1" t="s">
        <v>13</v>
      </c>
      <c r="R915" s="1" t="s">
        <v>13</v>
      </c>
      <c r="S915" s="1" t="s">
        <v>4009</v>
      </c>
      <c r="T915" s="4">
        <v>7</v>
      </c>
    </row>
    <row r="916" spans="1:20">
      <c r="A916" s="1" t="s">
        <v>3981</v>
      </c>
      <c r="B916" s="1" t="s">
        <v>465</v>
      </c>
      <c r="C916" s="1" t="s">
        <v>3982</v>
      </c>
      <c r="D916" s="1" t="s">
        <v>603</v>
      </c>
      <c r="E916" s="2">
        <v>45849</v>
      </c>
      <c r="F916" s="2">
        <v>45849</v>
      </c>
      <c r="G916" s="1" t="s">
        <v>4008</v>
      </c>
      <c r="H916" s="3" t="s">
        <v>25</v>
      </c>
      <c r="I916" s="1" t="s">
        <v>3984</v>
      </c>
      <c r="J916" s="1" t="s">
        <v>12</v>
      </c>
      <c r="K916" s="3" t="s">
        <v>3995</v>
      </c>
      <c r="L916" s="1" t="s">
        <v>4013</v>
      </c>
      <c r="M916" s="1" t="s">
        <v>4042</v>
      </c>
      <c r="N916" s="1" t="s">
        <v>4043</v>
      </c>
      <c r="O916" s="1" t="s">
        <v>13</v>
      </c>
      <c r="P916" s="1" t="s">
        <v>13</v>
      </c>
      <c r="Q916" s="1" t="s">
        <v>13</v>
      </c>
      <c r="R916" s="1" t="s">
        <v>13</v>
      </c>
      <c r="S916" s="1" t="s">
        <v>4009</v>
      </c>
      <c r="T916" s="4">
        <v>3.1</v>
      </c>
    </row>
    <row r="917" spans="1:20">
      <c r="A917" s="1" t="s">
        <v>3981</v>
      </c>
      <c r="B917" s="1" t="s">
        <v>465</v>
      </c>
      <c r="C917" s="1" t="s">
        <v>3982</v>
      </c>
      <c r="D917" s="1" t="s">
        <v>603</v>
      </c>
      <c r="E917" s="2">
        <v>45849</v>
      </c>
      <c r="F917" s="2">
        <v>45849</v>
      </c>
      <c r="G917" s="1" t="s">
        <v>4008</v>
      </c>
      <c r="H917" s="3" t="s">
        <v>25</v>
      </c>
      <c r="I917" s="1" t="s">
        <v>3984</v>
      </c>
      <c r="J917" s="1" t="s">
        <v>12</v>
      </c>
      <c r="K917" s="3" t="s">
        <v>3995</v>
      </c>
      <c r="L917" s="1" t="s">
        <v>4013</v>
      </c>
      <c r="M917" s="1" t="s">
        <v>4075</v>
      </c>
      <c r="N917" s="1" t="s">
        <v>4076</v>
      </c>
      <c r="O917" s="1" t="s">
        <v>13</v>
      </c>
      <c r="P917" s="1" t="s">
        <v>13</v>
      </c>
      <c r="Q917" s="1" t="s">
        <v>13</v>
      </c>
      <c r="R917" s="1" t="s">
        <v>13</v>
      </c>
      <c r="S917" s="1" t="s">
        <v>4009</v>
      </c>
      <c r="T917" s="4">
        <v>0.4</v>
      </c>
    </row>
    <row r="918" spans="1:20">
      <c r="A918" s="1" t="s">
        <v>3981</v>
      </c>
      <c r="B918" s="1" t="s">
        <v>465</v>
      </c>
      <c r="C918" s="1" t="s">
        <v>3982</v>
      </c>
      <c r="D918" s="1" t="s">
        <v>603</v>
      </c>
      <c r="E918" s="2">
        <v>45849</v>
      </c>
      <c r="F918" s="2">
        <v>45849</v>
      </c>
      <c r="G918" s="1" t="s">
        <v>4008</v>
      </c>
      <c r="H918" s="3" t="s">
        <v>25</v>
      </c>
      <c r="I918" s="1" t="s">
        <v>3984</v>
      </c>
      <c r="J918" s="1" t="s">
        <v>12</v>
      </c>
      <c r="K918" s="3" t="s">
        <v>3995</v>
      </c>
      <c r="L918" s="1" t="s">
        <v>4013</v>
      </c>
      <c r="M918" s="1" t="s">
        <v>4035</v>
      </c>
      <c r="N918" s="1" t="s">
        <v>4036</v>
      </c>
      <c r="O918" s="1" t="s">
        <v>13</v>
      </c>
      <c r="P918" s="1" t="s">
        <v>13</v>
      </c>
      <c r="Q918" s="1" t="s">
        <v>13</v>
      </c>
      <c r="R918" s="1" t="s">
        <v>13</v>
      </c>
      <c r="S918" s="1" t="s">
        <v>4009</v>
      </c>
      <c r="T918" s="4">
        <v>1.2</v>
      </c>
    </row>
    <row r="919" spans="1:20">
      <c r="A919" s="1" t="s">
        <v>3981</v>
      </c>
      <c r="B919" s="1" t="s">
        <v>465</v>
      </c>
      <c r="C919" s="1" t="s">
        <v>3982</v>
      </c>
      <c r="D919" s="1" t="s">
        <v>603</v>
      </c>
      <c r="E919" s="2">
        <v>45849</v>
      </c>
      <c r="F919" s="2">
        <v>45849</v>
      </c>
      <c r="G919" s="1" t="s">
        <v>4008</v>
      </c>
      <c r="H919" s="3" t="s">
        <v>25</v>
      </c>
      <c r="I919" s="1" t="s">
        <v>3984</v>
      </c>
      <c r="J919" s="1" t="s">
        <v>12</v>
      </c>
      <c r="K919" s="3" t="s">
        <v>3995</v>
      </c>
      <c r="L919" s="1" t="s">
        <v>3987</v>
      </c>
      <c r="M919" s="1" t="s">
        <v>3996</v>
      </c>
      <c r="N919" s="1" t="s">
        <v>13</v>
      </c>
      <c r="O919" s="1" t="s">
        <v>3996</v>
      </c>
      <c r="P919" s="1" t="s">
        <v>13</v>
      </c>
      <c r="Q919" s="1" t="s">
        <v>14</v>
      </c>
      <c r="R919" s="1" t="s">
        <v>37</v>
      </c>
      <c r="S919" s="1" t="s">
        <v>4009</v>
      </c>
      <c r="T919" s="4">
        <v>1</v>
      </c>
    </row>
    <row r="920" spans="1:20">
      <c r="A920" s="1" t="s">
        <v>3981</v>
      </c>
      <c r="B920" s="1" t="s">
        <v>465</v>
      </c>
      <c r="C920" s="1" t="s">
        <v>3982</v>
      </c>
      <c r="D920" s="1" t="s">
        <v>603</v>
      </c>
      <c r="E920" s="2">
        <v>45849</v>
      </c>
      <c r="F920" s="2">
        <v>45849</v>
      </c>
      <c r="G920" s="1" t="s">
        <v>4008</v>
      </c>
      <c r="H920" s="3" t="s">
        <v>25</v>
      </c>
      <c r="I920" s="1" t="s">
        <v>3984</v>
      </c>
      <c r="J920" s="1" t="s">
        <v>12</v>
      </c>
      <c r="K920" s="3" t="s">
        <v>3995</v>
      </c>
      <c r="L920" s="1" t="s">
        <v>3987</v>
      </c>
      <c r="M920" s="1" t="s">
        <v>3996</v>
      </c>
      <c r="N920" s="1" t="s">
        <v>13</v>
      </c>
      <c r="O920" s="1" t="s">
        <v>3996</v>
      </c>
      <c r="P920" s="1" t="s">
        <v>13</v>
      </c>
      <c r="Q920" s="1" t="s">
        <v>28</v>
      </c>
      <c r="R920" s="1" t="s">
        <v>29</v>
      </c>
      <c r="S920" s="1" t="s">
        <v>4009</v>
      </c>
      <c r="T920" s="4">
        <v>6.4</v>
      </c>
    </row>
    <row r="921" spans="1:20">
      <c r="A921" s="1" t="s">
        <v>3981</v>
      </c>
      <c r="B921" s="1" t="s">
        <v>465</v>
      </c>
      <c r="C921" s="1" t="s">
        <v>3982</v>
      </c>
      <c r="D921" s="1" t="s">
        <v>603</v>
      </c>
      <c r="E921" s="2">
        <v>45849</v>
      </c>
      <c r="F921" s="2">
        <v>45849</v>
      </c>
      <c r="G921" s="1" t="s">
        <v>4008</v>
      </c>
      <c r="H921" s="3" t="s">
        <v>25</v>
      </c>
      <c r="I921" s="1" t="s">
        <v>3984</v>
      </c>
      <c r="J921" s="1" t="s">
        <v>12</v>
      </c>
      <c r="K921" s="3" t="s">
        <v>3995</v>
      </c>
      <c r="L921" s="1" t="s">
        <v>3987</v>
      </c>
      <c r="M921" s="1" t="s">
        <v>3996</v>
      </c>
      <c r="N921" s="1" t="s">
        <v>13</v>
      </c>
      <c r="O921" s="1" t="s">
        <v>3996</v>
      </c>
      <c r="P921" s="1" t="s">
        <v>13</v>
      </c>
      <c r="Q921" s="1" t="s">
        <v>44</v>
      </c>
      <c r="R921" s="1" t="s">
        <v>45</v>
      </c>
      <c r="S921" s="1" t="s">
        <v>4009</v>
      </c>
      <c r="T921" s="4">
        <v>19.600000000000001</v>
      </c>
    </row>
    <row r="922" spans="1:20">
      <c r="A922" s="1" t="s">
        <v>3981</v>
      </c>
      <c r="B922" s="1" t="s">
        <v>465</v>
      </c>
      <c r="C922" s="1" t="s">
        <v>3982</v>
      </c>
      <c r="D922" s="1" t="s">
        <v>603</v>
      </c>
      <c r="E922" s="2">
        <v>45849</v>
      </c>
      <c r="F922" s="2">
        <v>45849</v>
      </c>
      <c r="G922" s="1" t="s">
        <v>4008</v>
      </c>
      <c r="H922" s="3" t="s">
        <v>25</v>
      </c>
      <c r="I922" s="1" t="s">
        <v>3984</v>
      </c>
      <c r="J922" s="1" t="s">
        <v>12</v>
      </c>
      <c r="K922" s="3" t="s">
        <v>3995</v>
      </c>
      <c r="L922" s="1" t="s">
        <v>3987</v>
      </c>
      <c r="M922" s="1" t="s">
        <v>3996</v>
      </c>
      <c r="N922" s="1" t="s">
        <v>13</v>
      </c>
      <c r="O922" s="1" t="s">
        <v>3996</v>
      </c>
      <c r="P922" s="1" t="s">
        <v>13</v>
      </c>
      <c r="Q922" s="1" t="s">
        <v>38</v>
      </c>
      <c r="R922" s="1" t="s">
        <v>46</v>
      </c>
      <c r="S922" s="1" t="s">
        <v>4009</v>
      </c>
      <c r="T922" s="4">
        <v>0.8</v>
      </c>
    </row>
    <row r="923" spans="1:20">
      <c r="A923" s="1" t="s">
        <v>3981</v>
      </c>
      <c r="B923" s="1" t="s">
        <v>465</v>
      </c>
      <c r="C923" s="1" t="s">
        <v>3982</v>
      </c>
      <c r="D923" s="1" t="s">
        <v>603</v>
      </c>
      <c r="E923" s="2">
        <v>45849</v>
      </c>
      <c r="F923" s="2">
        <v>45849</v>
      </c>
      <c r="G923" s="1" t="s">
        <v>4008</v>
      </c>
      <c r="H923" s="3" t="s">
        <v>25</v>
      </c>
      <c r="I923" s="1" t="s">
        <v>3984</v>
      </c>
      <c r="J923" s="1" t="s">
        <v>12</v>
      </c>
      <c r="K923" s="3" t="s">
        <v>3995</v>
      </c>
      <c r="L923" s="1" t="s">
        <v>3987</v>
      </c>
      <c r="M923" s="1" t="s">
        <v>3996</v>
      </c>
      <c r="N923" s="1" t="s">
        <v>13</v>
      </c>
      <c r="O923" s="1" t="s">
        <v>3996</v>
      </c>
      <c r="P923" s="1" t="s">
        <v>13</v>
      </c>
      <c r="Q923" s="1" t="s">
        <v>38</v>
      </c>
      <c r="R923" s="1" t="s">
        <v>91</v>
      </c>
      <c r="S923" s="1" t="s">
        <v>4009</v>
      </c>
      <c r="T923" s="4">
        <v>0.8</v>
      </c>
    </row>
    <row r="924" spans="1:20">
      <c r="A924" s="1" t="s">
        <v>3981</v>
      </c>
      <c r="B924" s="1" t="s">
        <v>465</v>
      </c>
      <c r="C924" s="1" t="s">
        <v>3982</v>
      </c>
      <c r="D924" s="1" t="s">
        <v>603</v>
      </c>
      <c r="E924" s="2">
        <v>45849</v>
      </c>
      <c r="F924" s="2">
        <v>45849</v>
      </c>
      <c r="G924" s="1" t="s">
        <v>4008</v>
      </c>
      <c r="H924" s="3" t="s">
        <v>25</v>
      </c>
      <c r="I924" s="1" t="s">
        <v>3984</v>
      </c>
      <c r="J924" s="1" t="s">
        <v>12</v>
      </c>
      <c r="K924" s="3" t="s">
        <v>3995</v>
      </c>
      <c r="L924" s="1" t="s">
        <v>3987</v>
      </c>
      <c r="M924" s="1" t="s">
        <v>3996</v>
      </c>
      <c r="N924" s="1" t="s">
        <v>13</v>
      </c>
      <c r="O924" s="1" t="s">
        <v>3996</v>
      </c>
      <c r="P924" s="1" t="s">
        <v>13</v>
      </c>
      <c r="Q924" s="1" t="s">
        <v>38</v>
      </c>
      <c r="R924" s="1" t="s">
        <v>51</v>
      </c>
      <c r="S924" s="1" t="s">
        <v>4009</v>
      </c>
      <c r="T924" s="4">
        <v>0.6</v>
      </c>
    </row>
    <row r="925" spans="1:20">
      <c r="A925" s="1" t="s">
        <v>3981</v>
      </c>
      <c r="B925" s="1" t="s">
        <v>465</v>
      </c>
      <c r="C925" s="1" t="s">
        <v>3982</v>
      </c>
      <c r="D925" s="1" t="s">
        <v>603</v>
      </c>
      <c r="E925" s="2">
        <v>45849</v>
      </c>
      <c r="F925" s="2">
        <v>45849</v>
      </c>
      <c r="G925" s="1" t="s">
        <v>4008</v>
      </c>
      <c r="H925" s="3" t="s">
        <v>25</v>
      </c>
      <c r="I925" s="1" t="s">
        <v>3984</v>
      </c>
      <c r="J925" s="1" t="s">
        <v>12</v>
      </c>
      <c r="K925" s="3" t="s">
        <v>3995</v>
      </c>
      <c r="L925" s="1" t="s">
        <v>3987</v>
      </c>
      <c r="M925" s="1" t="s">
        <v>3996</v>
      </c>
      <c r="N925" s="1" t="s">
        <v>13</v>
      </c>
      <c r="O925" s="1" t="s">
        <v>3996</v>
      </c>
      <c r="P925" s="1" t="s">
        <v>13</v>
      </c>
      <c r="Q925" s="1" t="s">
        <v>30</v>
      </c>
      <c r="R925" s="1" t="s">
        <v>67</v>
      </c>
      <c r="S925" s="1" t="s">
        <v>4009</v>
      </c>
      <c r="T925" s="4">
        <v>2.8</v>
      </c>
    </row>
    <row r="926" spans="1:20">
      <c r="A926" s="1" t="s">
        <v>3981</v>
      </c>
      <c r="B926" s="1" t="s">
        <v>465</v>
      </c>
      <c r="C926" s="1" t="s">
        <v>3982</v>
      </c>
      <c r="D926" s="1" t="s">
        <v>603</v>
      </c>
      <c r="E926" s="2">
        <v>45849</v>
      </c>
      <c r="F926" s="2">
        <v>45849</v>
      </c>
      <c r="G926" s="1" t="s">
        <v>4008</v>
      </c>
      <c r="H926" s="3" t="s">
        <v>25</v>
      </c>
      <c r="I926" s="1" t="s">
        <v>3984</v>
      </c>
      <c r="J926" s="1" t="s">
        <v>12</v>
      </c>
      <c r="K926" s="3" t="s">
        <v>3995</v>
      </c>
      <c r="L926" s="1" t="s">
        <v>3987</v>
      </c>
      <c r="M926" s="1" t="s">
        <v>3996</v>
      </c>
      <c r="N926" s="1" t="s">
        <v>13</v>
      </c>
      <c r="O926" s="1" t="s">
        <v>3996</v>
      </c>
      <c r="P926" s="1" t="s">
        <v>13</v>
      </c>
      <c r="Q926" s="1" t="s">
        <v>30</v>
      </c>
      <c r="R926" s="1" t="s">
        <v>62</v>
      </c>
      <c r="S926" s="1" t="s">
        <v>4009</v>
      </c>
      <c r="T926" s="4">
        <v>1.5</v>
      </c>
    </row>
    <row r="927" spans="1:20">
      <c r="A927" s="1" t="s">
        <v>3981</v>
      </c>
      <c r="B927" s="1" t="s">
        <v>465</v>
      </c>
      <c r="C927" s="1" t="s">
        <v>3982</v>
      </c>
      <c r="D927" s="1" t="s">
        <v>603</v>
      </c>
      <c r="E927" s="2">
        <v>45849</v>
      </c>
      <c r="F927" s="2">
        <v>45849</v>
      </c>
      <c r="G927" s="1" t="s">
        <v>4008</v>
      </c>
      <c r="H927" s="3" t="s">
        <v>25</v>
      </c>
      <c r="I927" s="1" t="s">
        <v>3984</v>
      </c>
      <c r="J927" s="1" t="s">
        <v>12</v>
      </c>
      <c r="K927" s="3" t="s">
        <v>3995</v>
      </c>
      <c r="L927" s="1" t="s">
        <v>3987</v>
      </c>
      <c r="M927" s="1" t="s">
        <v>3996</v>
      </c>
      <c r="N927" s="1" t="s">
        <v>13</v>
      </c>
      <c r="O927" s="1" t="s">
        <v>3996</v>
      </c>
      <c r="P927" s="1" t="s">
        <v>13</v>
      </c>
      <c r="Q927" s="1" t="s">
        <v>30</v>
      </c>
      <c r="R927" s="1" t="s">
        <v>68</v>
      </c>
      <c r="S927" s="1" t="s">
        <v>4009</v>
      </c>
      <c r="T927" s="4">
        <v>3.8</v>
      </c>
    </row>
    <row r="928" spans="1:20">
      <c r="A928" s="1" t="s">
        <v>3981</v>
      </c>
      <c r="B928" s="1" t="s">
        <v>465</v>
      </c>
      <c r="C928" s="1" t="s">
        <v>3982</v>
      </c>
      <c r="D928" s="1" t="s">
        <v>603</v>
      </c>
      <c r="E928" s="2">
        <v>45863</v>
      </c>
      <c r="F928" s="2">
        <v>45856</v>
      </c>
      <c r="G928" s="1" t="s">
        <v>3983</v>
      </c>
      <c r="H928" s="3" t="s">
        <v>32</v>
      </c>
      <c r="I928" s="1" t="s">
        <v>3984</v>
      </c>
      <c r="J928" s="1" t="s">
        <v>12</v>
      </c>
      <c r="K928" s="3" t="s">
        <v>3995</v>
      </c>
      <c r="L928" s="1" t="s">
        <v>3987</v>
      </c>
      <c r="M928" s="1" t="s">
        <v>3999</v>
      </c>
      <c r="N928" s="1" t="s">
        <v>13</v>
      </c>
      <c r="O928" s="1" t="s">
        <v>3999</v>
      </c>
      <c r="P928" s="1" t="s">
        <v>13</v>
      </c>
      <c r="Q928" s="1" t="s">
        <v>4000</v>
      </c>
      <c r="R928" s="1" t="s">
        <v>4001</v>
      </c>
      <c r="S928" s="1" t="s">
        <v>3989</v>
      </c>
      <c r="T928" s="4">
        <v>23</v>
      </c>
    </row>
    <row r="929" spans="1:20">
      <c r="A929" s="1" t="s">
        <v>3981</v>
      </c>
      <c r="B929" s="1" t="s">
        <v>465</v>
      </c>
      <c r="C929" s="1" t="s">
        <v>3982</v>
      </c>
      <c r="D929" s="1" t="s">
        <v>603</v>
      </c>
      <c r="E929" s="2">
        <v>45863</v>
      </c>
      <c r="F929" s="2">
        <v>45856</v>
      </c>
      <c r="G929" s="1" t="s">
        <v>3983</v>
      </c>
      <c r="H929" s="3" t="s">
        <v>32</v>
      </c>
      <c r="I929" s="1" t="s">
        <v>3984</v>
      </c>
      <c r="J929" s="1" t="s">
        <v>12</v>
      </c>
      <c r="K929" s="3" t="s">
        <v>3995</v>
      </c>
      <c r="L929" s="1" t="s">
        <v>3987</v>
      </c>
      <c r="M929" s="1" t="s">
        <v>3996</v>
      </c>
      <c r="N929" s="1" t="s">
        <v>13</v>
      </c>
      <c r="O929" s="1" t="s">
        <v>3996</v>
      </c>
      <c r="P929" s="1" t="s">
        <v>13</v>
      </c>
      <c r="Q929" s="1" t="s">
        <v>14</v>
      </c>
      <c r="R929" s="1" t="s">
        <v>54</v>
      </c>
      <c r="S929" s="1" t="s">
        <v>3989</v>
      </c>
      <c r="T929" s="4">
        <v>17</v>
      </c>
    </row>
    <row r="930" spans="1:20">
      <c r="A930" s="1" t="s">
        <v>3981</v>
      </c>
      <c r="B930" s="1" t="s">
        <v>465</v>
      </c>
      <c r="C930" s="1" t="s">
        <v>3982</v>
      </c>
      <c r="D930" s="1" t="s">
        <v>603</v>
      </c>
      <c r="E930" s="2">
        <v>45863</v>
      </c>
      <c r="F930" s="2">
        <v>45856</v>
      </c>
      <c r="G930" s="1" t="s">
        <v>3990</v>
      </c>
      <c r="H930" s="3" t="s">
        <v>11</v>
      </c>
      <c r="I930" s="1" t="s">
        <v>3984</v>
      </c>
      <c r="J930" s="1" t="s">
        <v>3985</v>
      </c>
      <c r="K930" s="3" t="s">
        <v>3986</v>
      </c>
      <c r="L930" s="1" t="s">
        <v>3987</v>
      </c>
      <c r="M930" s="1" t="s">
        <v>13</v>
      </c>
      <c r="N930" s="1" t="s">
        <v>13</v>
      </c>
      <c r="O930" s="1" t="s">
        <v>3988</v>
      </c>
      <c r="P930" s="1" t="s">
        <v>13</v>
      </c>
      <c r="Q930" s="1" t="s">
        <v>13</v>
      </c>
      <c r="R930" s="1" t="s">
        <v>13</v>
      </c>
      <c r="S930" s="1" t="s">
        <v>3994</v>
      </c>
      <c r="T930" s="4">
        <v>9.4</v>
      </c>
    </row>
    <row r="931" spans="1:20">
      <c r="A931" s="1" t="s">
        <v>3981</v>
      </c>
      <c r="B931" s="1" t="s">
        <v>465</v>
      </c>
      <c r="C931" s="1" t="s">
        <v>3982</v>
      </c>
      <c r="D931" s="1" t="s">
        <v>603</v>
      </c>
      <c r="E931" s="2">
        <v>45863</v>
      </c>
      <c r="F931" s="2">
        <v>45856</v>
      </c>
      <c r="G931" s="1" t="s">
        <v>3990</v>
      </c>
      <c r="H931" s="3" t="s">
        <v>11</v>
      </c>
      <c r="I931" s="1" t="s">
        <v>3984</v>
      </c>
      <c r="J931" s="1" t="s">
        <v>12</v>
      </c>
      <c r="K931" s="3" t="s">
        <v>3995</v>
      </c>
      <c r="L931" s="1" t="s">
        <v>3987</v>
      </c>
      <c r="M931" s="1" t="s">
        <v>3996</v>
      </c>
      <c r="N931" s="1" t="s">
        <v>13</v>
      </c>
      <c r="O931" s="1" t="s">
        <v>3996</v>
      </c>
      <c r="P931" s="1" t="s">
        <v>13</v>
      </c>
      <c r="Q931" s="1" t="s">
        <v>83</v>
      </c>
      <c r="R931" s="1" t="s">
        <v>84</v>
      </c>
      <c r="S931" s="1" t="s">
        <v>3994</v>
      </c>
      <c r="T931" s="4">
        <v>1</v>
      </c>
    </row>
    <row r="932" spans="1:20">
      <c r="A932" s="1" t="s">
        <v>3981</v>
      </c>
      <c r="B932" s="1" t="s">
        <v>465</v>
      </c>
      <c r="C932" s="1" t="s">
        <v>3982</v>
      </c>
      <c r="D932" s="1" t="s">
        <v>603</v>
      </c>
      <c r="E932" s="2">
        <v>45863</v>
      </c>
      <c r="F932" s="2">
        <v>45856</v>
      </c>
      <c r="G932" s="1" t="s">
        <v>3990</v>
      </c>
      <c r="H932" s="3" t="s">
        <v>11</v>
      </c>
      <c r="I932" s="1" t="s">
        <v>3984</v>
      </c>
      <c r="J932" s="1" t="s">
        <v>12</v>
      </c>
      <c r="K932" s="3" t="s">
        <v>3995</v>
      </c>
      <c r="L932" s="1" t="s">
        <v>3987</v>
      </c>
      <c r="M932" s="1" t="s">
        <v>3996</v>
      </c>
      <c r="N932" s="1" t="s">
        <v>13</v>
      </c>
      <c r="O932" s="1" t="s">
        <v>3996</v>
      </c>
      <c r="P932" s="1" t="s">
        <v>13</v>
      </c>
      <c r="Q932" s="1" t="s">
        <v>96</v>
      </c>
      <c r="R932" s="1" t="s">
        <v>97</v>
      </c>
      <c r="S932" s="1" t="s">
        <v>3994</v>
      </c>
      <c r="T932" s="4">
        <v>1.5</v>
      </c>
    </row>
    <row r="933" spans="1:20">
      <c r="A933" s="1" t="s">
        <v>3981</v>
      </c>
      <c r="B933" s="1" t="s">
        <v>465</v>
      </c>
      <c r="C933" s="1" t="s">
        <v>3982</v>
      </c>
      <c r="D933" s="1" t="s">
        <v>603</v>
      </c>
      <c r="E933" s="2">
        <v>45863</v>
      </c>
      <c r="F933" s="2">
        <v>45856</v>
      </c>
      <c r="G933" s="1" t="s">
        <v>3990</v>
      </c>
      <c r="H933" s="3" t="s">
        <v>11</v>
      </c>
      <c r="I933" s="1" t="s">
        <v>3984</v>
      </c>
      <c r="J933" s="1" t="s">
        <v>12</v>
      </c>
      <c r="K933" s="3" t="s">
        <v>3995</v>
      </c>
      <c r="L933" s="1" t="s">
        <v>3987</v>
      </c>
      <c r="M933" s="1" t="s">
        <v>3996</v>
      </c>
      <c r="N933" s="1" t="s">
        <v>13</v>
      </c>
      <c r="O933" s="1" t="s">
        <v>3996</v>
      </c>
      <c r="P933" s="1" t="s">
        <v>13</v>
      </c>
      <c r="Q933" s="1" t="s">
        <v>14</v>
      </c>
      <c r="R933" s="1" t="s">
        <v>24</v>
      </c>
      <c r="S933" s="1" t="s">
        <v>3994</v>
      </c>
      <c r="T933" s="4">
        <v>0.8</v>
      </c>
    </row>
    <row r="934" spans="1:20">
      <c r="A934" s="1" t="s">
        <v>3981</v>
      </c>
      <c r="B934" s="1" t="s">
        <v>465</v>
      </c>
      <c r="C934" s="1" t="s">
        <v>3982</v>
      </c>
      <c r="D934" s="1" t="s">
        <v>603</v>
      </c>
      <c r="E934" s="2">
        <v>45863</v>
      </c>
      <c r="F934" s="2">
        <v>45856</v>
      </c>
      <c r="G934" s="1" t="s">
        <v>3990</v>
      </c>
      <c r="H934" s="3" t="s">
        <v>11</v>
      </c>
      <c r="I934" s="1" t="s">
        <v>3984</v>
      </c>
      <c r="J934" s="1" t="s">
        <v>12</v>
      </c>
      <c r="K934" s="3" t="s">
        <v>3995</v>
      </c>
      <c r="L934" s="1" t="s">
        <v>3987</v>
      </c>
      <c r="M934" s="1" t="s">
        <v>3996</v>
      </c>
      <c r="N934" s="1" t="s">
        <v>13</v>
      </c>
      <c r="O934" s="1" t="s">
        <v>3996</v>
      </c>
      <c r="P934" s="1" t="s">
        <v>13</v>
      </c>
      <c r="Q934" s="1" t="s">
        <v>14</v>
      </c>
      <c r="R934" s="1" t="s">
        <v>15</v>
      </c>
      <c r="S934" s="1" t="s">
        <v>3994</v>
      </c>
      <c r="T934" s="4">
        <v>1</v>
      </c>
    </row>
    <row r="935" spans="1:20">
      <c r="A935" s="1" t="s">
        <v>3981</v>
      </c>
      <c r="B935" s="1" t="s">
        <v>465</v>
      </c>
      <c r="C935" s="1" t="s">
        <v>3982</v>
      </c>
      <c r="D935" s="1" t="s">
        <v>603</v>
      </c>
      <c r="E935" s="2">
        <v>45863</v>
      </c>
      <c r="F935" s="2">
        <v>45856</v>
      </c>
      <c r="G935" s="1" t="s">
        <v>3990</v>
      </c>
      <c r="H935" s="3" t="s">
        <v>11</v>
      </c>
      <c r="I935" s="1" t="s">
        <v>3984</v>
      </c>
      <c r="J935" s="1" t="s">
        <v>12</v>
      </c>
      <c r="K935" s="3" t="s">
        <v>3995</v>
      </c>
      <c r="L935" s="1" t="s">
        <v>3987</v>
      </c>
      <c r="M935" s="1" t="s">
        <v>3996</v>
      </c>
      <c r="N935" s="1" t="s">
        <v>13</v>
      </c>
      <c r="O935" s="1" t="s">
        <v>3996</v>
      </c>
      <c r="P935" s="1" t="s">
        <v>13</v>
      </c>
      <c r="Q935" s="1" t="s">
        <v>44</v>
      </c>
      <c r="R935" s="1" t="s">
        <v>45</v>
      </c>
      <c r="S935" s="1" t="s">
        <v>3994</v>
      </c>
      <c r="T935" s="4">
        <v>3.5</v>
      </c>
    </row>
    <row r="936" spans="1:20">
      <c r="A936" s="1" t="s">
        <v>3981</v>
      </c>
      <c r="B936" s="1" t="s">
        <v>465</v>
      </c>
      <c r="C936" s="1" t="s">
        <v>3982</v>
      </c>
      <c r="D936" s="1" t="s">
        <v>603</v>
      </c>
      <c r="E936" s="2">
        <v>45863</v>
      </c>
      <c r="F936" s="2">
        <v>45856</v>
      </c>
      <c r="G936" s="1" t="s">
        <v>3990</v>
      </c>
      <c r="H936" s="3" t="s">
        <v>11</v>
      </c>
      <c r="I936" s="1" t="s">
        <v>3984</v>
      </c>
      <c r="J936" s="1" t="s">
        <v>12</v>
      </c>
      <c r="K936" s="3" t="s">
        <v>3995</v>
      </c>
      <c r="L936" s="1" t="s">
        <v>3987</v>
      </c>
      <c r="M936" s="1" t="s">
        <v>3996</v>
      </c>
      <c r="N936" s="1" t="s">
        <v>13</v>
      </c>
      <c r="O936" s="1" t="s">
        <v>3996</v>
      </c>
      <c r="P936" s="1" t="s">
        <v>13</v>
      </c>
      <c r="Q936" s="1" t="s">
        <v>16</v>
      </c>
      <c r="R936" s="1" t="s">
        <v>17</v>
      </c>
      <c r="S936" s="1" t="s">
        <v>3994</v>
      </c>
      <c r="T936" s="4">
        <v>5.7</v>
      </c>
    </row>
    <row r="937" spans="1:20">
      <c r="A937" s="1" t="s">
        <v>3981</v>
      </c>
      <c r="B937" s="1" t="s">
        <v>465</v>
      </c>
      <c r="C937" s="1" t="s">
        <v>3982</v>
      </c>
      <c r="D937" s="1" t="s">
        <v>603</v>
      </c>
      <c r="E937" s="2">
        <v>45863</v>
      </c>
      <c r="F937" s="2">
        <v>45856</v>
      </c>
      <c r="G937" s="1" t="s">
        <v>3990</v>
      </c>
      <c r="H937" s="3" t="s">
        <v>11</v>
      </c>
      <c r="I937" s="1" t="s">
        <v>3984</v>
      </c>
      <c r="J937" s="1" t="s">
        <v>12</v>
      </c>
      <c r="K937" s="3" t="s">
        <v>3995</v>
      </c>
      <c r="L937" s="1" t="s">
        <v>3987</v>
      </c>
      <c r="M937" s="1" t="s">
        <v>3996</v>
      </c>
      <c r="N937" s="1" t="s">
        <v>13</v>
      </c>
      <c r="O937" s="1" t="s">
        <v>3996</v>
      </c>
      <c r="P937" s="1" t="s">
        <v>13</v>
      </c>
      <c r="Q937" s="1" t="s">
        <v>16</v>
      </c>
      <c r="R937" s="1" t="s">
        <v>40</v>
      </c>
      <c r="S937" s="1" t="s">
        <v>3994</v>
      </c>
      <c r="T937" s="4">
        <v>2.9</v>
      </c>
    </row>
    <row r="938" spans="1:20">
      <c r="A938" s="1" t="s">
        <v>3981</v>
      </c>
      <c r="B938" s="1" t="s">
        <v>465</v>
      </c>
      <c r="C938" s="1" t="s">
        <v>3982</v>
      </c>
      <c r="D938" s="1" t="s">
        <v>603</v>
      </c>
      <c r="E938" s="2">
        <v>45863</v>
      </c>
      <c r="F938" s="2">
        <v>45856</v>
      </c>
      <c r="G938" s="1" t="s">
        <v>3990</v>
      </c>
      <c r="H938" s="3" t="s">
        <v>11</v>
      </c>
      <c r="I938" s="1" t="s">
        <v>3984</v>
      </c>
      <c r="J938" s="1" t="s">
        <v>12</v>
      </c>
      <c r="K938" s="3" t="s">
        <v>3995</v>
      </c>
      <c r="L938" s="1" t="s">
        <v>3987</v>
      </c>
      <c r="M938" s="1" t="s">
        <v>3996</v>
      </c>
      <c r="N938" s="1" t="s">
        <v>13</v>
      </c>
      <c r="O938" s="1" t="s">
        <v>3996</v>
      </c>
      <c r="P938" s="1" t="s">
        <v>13</v>
      </c>
      <c r="Q938" s="1" t="s">
        <v>16</v>
      </c>
      <c r="R938" s="1" t="s">
        <v>74</v>
      </c>
      <c r="S938" s="1" t="s">
        <v>3994</v>
      </c>
      <c r="T938" s="4">
        <v>5.5</v>
      </c>
    </row>
    <row r="939" spans="1:20">
      <c r="A939" s="1" t="s">
        <v>3981</v>
      </c>
      <c r="B939" s="1" t="s">
        <v>465</v>
      </c>
      <c r="C939" s="1" t="s">
        <v>3982</v>
      </c>
      <c r="D939" s="1" t="s">
        <v>603</v>
      </c>
      <c r="E939" s="2">
        <v>45863</v>
      </c>
      <c r="F939" s="2">
        <v>45856</v>
      </c>
      <c r="G939" s="1" t="s">
        <v>3990</v>
      </c>
      <c r="H939" s="3" t="s">
        <v>11</v>
      </c>
      <c r="I939" s="1" t="s">
        <v>3984</v>
      </c>
      <c r="J939" s="1" t="s">
        <v>12</v>
      </c>
      <c r="K939" s="3" t="s">
        <v>3995</v>
      </c>
      <c r="L939" s="1" t="s">
        <v>3987</v>
      </c>
      <c r="M939" s="1" t="s">
        <v>3996</v>
      </c>
      <c r="N939" s="1" t="s">
        <v>13</v>
      </c>
      <c r="O939" s="1" t="s">
        <v>3996</v>
      </c>
      <c r="P939" s="1" t="s">
        <v>13</v>
      </c>
      <c r="Q939" s="1" t="s">
        <v>16</v>
      </c>
      <c r="R939" s="1" t="s">
        <v>93</v>
      </c>
      <c r="S939" s="1" t="s">
        <v>3994</v>
      </c>
      <c r="T939" s="4">
        <v>2</v>
      </c>
    </row>
    <row r="940" spans="1:20">
      <c r="A940" s="1" t="s">
        <v>3981</v>
      </c>
      <c r="B940" s="1" t="s">
        <v>465</v>
      </c>
      <c r="C940" s="1" t="s">
        <v>3982</v>
      </c>
      <c r="D940" s="1" t="s">
        <v>603</v>
      </c>
      <c r="E940" s="2">
        <v>45863</v>
      </c>
      <c r="F940" s="2">
        <v>45856</v>
      </c>
      <c r="G940" s="1" t="s">
        <v>3990</v>
      </c>
      <c r="H940" s="3" t="s">
        <v>11</v>
      </c>
      <c r="I940" s="1" t="s">
        <v>3984</v>
      </c>
      <c r="J940" s="1" t="s">
        <v>12</v>
      </c>
      <c r="K940" s="3" t="s">
        <v>3995</v>
      </c>
      <c r="L940" s="1" t="s">
        <v>3987</v>
      </c>
      <c r="M940" s="1" t="s">
        <v>3996</v>
      </c>
      <c r="N940" s="1" t="s">
        <v>13</v>
      </c>
      <c r="O940" s="1" t="s">
        <v>3996</v>
      </c>
      <c r="P940" s="1" t="s">
        <v>13</v>
      </c>
      <c r="Q940" s="1" t="s">
        <v>16</v>
      </c>
      <c r="R940" s="1" t="s">
        <v>85</v>
      </c>
      <c r="S940" s="1" t="s">
        <v>3994</v>
      </c>
      <c r="T940" s="4">
        <v>0.9</v>
      </c>
    </row>
    <row r="941" spans="1:20">
      <c r="A941" s="1" t="s">
        <v>3981</v>
      </c>
      <c r="B941" s="1" t="s">
        <v>465</v>
      </c>
      <c r="C941" s="1" t="s">
        <v>3982</v>
      </c>
      <c r="D941" s="1" t="s">
        <v>603</v>
      </c>
      <c r="E941" s="2">
        <v>45863</v>
      </c>
      <c r="F941" s="2">
        <v>45856</v>
      </c>
      <c r="G941" s="1" t="s">
        <v>3990</v>
      </c>
      <c r="H941" s="3" t="s">
        <v>11</v>
      </c>
      <c r="I941" s="1" t="s">
        <v>3984</v>
      </c>
      <c r="J941" s="1" t="s">
        <v>12</v>
      </c>
      <c r="K941" s="3" t="s">
        <v>3995</v>
      </c>
      <c r="L941" s="1" t="s">
        <v>3987</v>
      </c>
      <c r="M941" s="1" t="s">
        <v>4029</v>
      </c>
      <c r="N941" s="1" t="s">
        <v>13</v>
      </c>
      <c r="O941" s="1" t="s">
        <v>4029</v>
      </c>
      <c r="P941" s="1" t="s">
        <v>13</v>
      </c>
      <c r="Q941" s="1" t="s">
        <v>4030</v>
      </c>
      <c r="R941" s="1" t="s">
        <v>4031</v>
      </c>
      <c r="S941" s="1" t="s">
        <v>3994</v>
      </c>
      <c r="T941" s="4">
        <v>0.5</v>
      </c>
    </row>
    <row r="942" spans="1:20">
      <c r="A942" s="1" t="s">
        <v>3981</v>
      </c>
      <c r="B942" s="1" t="s">
        <v>465</v>
      </c>
      <c r="C942" s="1" t="s">
        <v>3982</v>
      </c>
      <c r="D942" s="1" t="s">
        <v>603</v>
      </c>
      <c r="E942" s="2">
        <v>45863</v>
      </c>
      <c r="F942" s="2">
        <v>45856</v>
      </c>
      <c r="G942" s="1" t="s">
        <v>3990</v>
      </c>
      <c r="H942" s="3" t="s">
        <v>11</v>
      </c>
      <c r="I942" s="1" t="s">
        <v>3984</v>
      </c>
      <c r="J942" s="1" t="s">
        <v>12</v>
      </c>
      <c r="K942" s="3" t="s">
        <v>3995</v>
      </c>
      <c r="L942" s="1" t="s">
        <v>3987</v>
      </c>
      <c r="M942" s="1" t="s">
        <v>4055</v>
      </c>
      <c r="N942" s="1" t="s">
        <v>4056</v>
      </c>
      <c r="O942" s="1" t="s">
        <v>13</v>
      </c>
      <c r="P942" s="1" t="s">
        <v>13</v>
      </c>
      <c r="Q942" s="1" t="s">
        <v>4057</v>
      </c>
      <c r="R942" s="1" t="s">
        <v>4061</v>
      </c>
      <c r="S942" s="1" t="s">
        <v>3994</v>
      </c>
      <c r="T942" s="4">
        <v>1.3</v>
      </c>
    </row>
    <row r="943" spans="1:20">
      <c r="A943" s="1" t="s">
        <v>3981</v>
      </c>
      <c r="B943" s="1" t="s">
        <v>465</v>
      </c>
      <c r="C943" s="1" t="s">
        <v>3982</v>
      </c>
      <c r="D943" s="1" t="s">
        <v>603</v>
      </c>
      <c r="E943" s="2">
        <v>45863</v>
      </c>
      <c r="F943" s="2">
        <v>45856</v>
      </c>
      <c r="G943" s="1" t="s">
        <v>3997</v>
      </c>
      <c r="H943" s="3" t="s">
        <v>41</v>
      </c>
      <c r="I943" s="1" t="s">
        <v>3984</v>
      </c>
      <c r="J943" s="1" t="s">
        <v>12</v>
      </c>
      <c r="K943" s="3" t="s">
        <v>3995</v>
      </c>
      <c r="L943" s="1" t="s">
        <v>3987</v>
      </c>
      <c r="M943" s="1" t="s">
        <v>3999</v>
      </c>
      <c r="N943" s="1" t="s">
        <v>13</v>
      </c>
      <c r="O943" s="1" t="s">
        <v>3999</v>
      </c>
      <c r="P943" s="1" t="s">
        <v>13</v>
      </c>
      <c r="Q943" s="1" t="s">
        <v>4000</v>
      </c>
      <c r="R943" s="1" t="s">
        <v>4001</v>
      </c>
      <c r="S943" s="1" t="s">
        <v>3998</v>
      </c>
      <c r="T943" s="4">
        <v>18.5</v>
      </c>
    </row>
    <row r="944" spans="1:20">
      <c r="A944" s="1" t="s">
        <v>3981</v>
      </c>
      <c r="B944" s="1" t="s">
        <v>465</v>
      </c>
      <c r="C944" s="1" t="s">
        <v>3982</v>
      </c>
      <c r="D944" s="1" t="s">
        <v>603</v>
      </c>
      <c r="E944" s="2">
        <v>45863</v>
      </c>
      <c r="F944" s="2">
        <v>45856</v>
      </c>
      <c r="G944" s="1" t="s">
        <v>3997</v>
      </c>
      <c r="H944" s="3" t="s">
        <v>41</v>
      </c>
      <c r="I944" s="1" t="s">
        <v>3984</v>
      </c>
      <c r="J944" s="1" t="s">
        <v>12</v>
      </c>
      <c r="K944" s="3" t="s">
        <v>3995</v>
      </c>
      <c r="L944" s="1" t="s">
        <v>4002</v>
      </c>
      <c r="M944" s="1" t="s">
        <v>4003</v>
      </c>
      <c r="N944" s="1" t="s">
        <v>13</v>
      </c>
      <c r="O944" s="1" t="s">
        <v>4003</v>
      </c>
      <c r="P944" s="1" t="s">
        <v>13</v>
      </c>
      <c r="Q944" s="1" t="s">
        <v>4004</v>
      </c>
      <c r="R944" s="1" t="s">
        <v>4001</v>
      </c>
      <c r="S944" s="1" t="s">
        <v>3998</v>
      </c>
      <c r="T944" s="4">
        <v>14.5</v>
      </c>
    </row>
    <row r="945" spans="1:20">
      <c r="A945" s="1" t="s">
        <v>3981</v>
      </c>
      <c r="B945" s="1" t="s">
        <v>465</v>
      </c>
      <c r="C945" s="1" t="s">
        <v>3982</v>
      </c>
      <c r="D945" s="1" t="s">
        <v>603</v>
      </c>
      <c r="E945" s="2">
        <v>45863</v>
      </c>
      <c r="F945" s="2">
        <v>45856</v>
      </c>
      <c r="G945" s="1" t="s">
        <v>4005</v>
      </c>
      <c r="H945" s="3" t="s">
        <v>21</v>
      </c>
      <c r="I945" s="1" t="s">
        <v>3984</v>
      </c>
      <c r="J945" s="1" t="s">
        <v>12</v>
      </c>
      <c r="K945" s="3" t="s">
        <v>3995</v>
      </c>
      <c r="L945" s="1" t="s">
        <v>3987</v>
      </c>
      <c r="M945" s="1" t="s">
        <v>3996</v>
      </c>
      <c r="N945" s="1" t="s">
        <v>13</v>
      </c>
      <c r="O945" s="1" t="s">
        <v>3996</v>
      </c>
      <c r="P945" s="1" t="s">
        <v>13</v>
      </c>
      <c r="Q945" s="1" t="s">
        <v>14</v>
      </c>
      <c r="R945" s="1" t="s">
        <v>23</v>
      </c>
      <c r="S945" s="1" t="s">
        <v>4007</v>
      </c>
      <c r="T945" s="4">
        <v>16.7</v>
      </c>
    </row>
    <row r="946" spans="1:20">
      <c r="A946" s="1" t="s">
        <v>3981</v>
      </c>
      <c r="B946" s="1" t="s">
        <v>465</v>
      </c>
      <c r="C946" s="1" t="s">
        <v>3982</v>
      </c>
      <c r="D946" s="1" t="s">
        <v>603</v>
      </c>
      <c r="E946" s="2">
        <v>45863</v>
      </c>
      <c r="F946" s="2">
        <v>45856</v>
      </c>
      <c r="G946" s="1" t="s">
        <v>4005</v>
      </c>
      <c r="H946" s="3" t="s">
        <v>21</v>
      </c>
      <c r="I946" s="1" t="s">
        <v>3984</v>
      </c>
      <c r="J946" s="1" t="s">
        <v>12</v>
      </c>
      <c r="K946" s="3" t="s">
        <v>3995</v>
      </c>
      <c r="L946" s="1" t="s">
        <v>3987</v>
      </c>
      <c r="M946" s="1" t="s">
        <v>3996</v>
      </c>
      <c r="N946" s="1" t="s">
        <v>13</v>
      </c>
      <c r="O946" s="1" t="s">
        <v>3996</v>
      </c>
      <c r="P946" s="1" t="s">
        <v>13</v>
      </c>
      <c r="Q946" s="1" t="s">
        <v>14</v>
      </c>
      <c r="R946" s="1" t="s">
        <v>80</v>
      </c>
      <c r="S946" s="1" t="s">
        <v>4007</v>
      </c>
      <c r="T946" s="4">
        <v>8</v>
      </c>
    </row>
    <row r="947" spans="1:20">
      <c r="A947" s="1" t="s">
        <v>3981</v>
      </c>
      <c r="B947" s="1" t="s">
        <v>465</v>
      </c>
      <c r="C947" s="1" t="s">
        <v>3982</v>
      </c>
      <c r="D947" s="1" t="s">
        <v>603</v>
      </c>
      <c r="E947" s="2">
        <v>45863</v>
      </c>
      <c r="F947" s="2">
        <v>45856</v>
      </c>
      <c r="G947" s="1" t="s">
        <v>4005</v>
      </c>
      <c r="H947" s="3" t="s">
        <v>21</v>
      </c>
      <c r="I947" s="1" t="s">
        <v>3984</v>
      </c>
      <c r="J947" s="1" t="s">
        <v>12</v>
      </c>
      <c r="K947" s="3" t="s">
        <v>3995</v>
      </c>
      <c r="L947" s="1" t="s">
        <v>3987</v>
      </c>
      <c r="M947" s="1" t="s">
        <v>3996</v>
      </c>
      <c r="N947" s="1" t="s">
        <v>13</v>
      </c>
      <c r="O947" s="1" t="s">
        <v>3996</v>
      </c>
      <c r="P947" s="1" t="s">
        <v>13</v>
      </c>
      <c r="Q947" s="1" t="s">
        <v>14</v>
      </c>
      <c r="R947" s="1" t="s">
        <v>77</v>
      </c>
      <c r="S947" s="1" t="s">
        <v>4007</v>
      </c>
      <c r="T947" s="4">
        <v>16.2</v>
      </c>
    </row>
    <row r="948" spans="1:20">
      <c r="A948" s="1" t="s">
        <v>3981</v>
      </c>
      <c r="B948" s="1" t="s">
        <v>465</v>
      </c>
      <c r="C948" s="1" t="s">
        <v>3982</v>
      </c>
      <c r="D948" s="1" t="s">
        <v>603</v>
      </c>
      <c r="E948" s="2">
        <v>45863</v>
      </c>
      <c r="F948" s="2">
        <v>45856</v>
      </c>
      <c r="G948" s="1" t="s">
        <v>4008</v>
      </c>
      <c r="H948" s="3" t="s">
        <v>25</v>
      </c>
      <c r="I948" s="1" t="s">
        <v>3984</v>
      </c>
      <c r="J948" s="1" t="s">
        <v>12</v>
      </c>
      <c r="K948" s="3" t="s">
        <v>3995</v>
      </c>
      <c r="L948" s="1" t="s">
        <v>3987</v>
      </c>
      <c r="M948" s="1" t="s">
        <v>3996</v>
      </c>
      <c r="N948" s="1" t="s">
        <v>13</v>
      </c>
      <c r="O948" s="1" t="s">
        <v>3996</v>
      </c>
      <c r="P948" s="1" t="s">
        <v>13</v>
      </c>
      <c r="Q948" s="1" t="s">
        <v>44</v>
      </c>
      <c r="R948" s="1" t="s">
        <v>45</v>
      </c>
      <c r="S948" s="1" t="s">
        <v>4009</v>
      </c>
      <c r="T948" s="4">
        <v>19.5</v>
      </c>
    </row>
    <row r="949" spans="1:20">
      <c r="A949" s="1" t="s">
        <v>3981</v>
      </c>
      <c r="B949" s="1" t="s">
        <v>465</v>
      </c>
      <c r="C949" s="1" t="s">
        <v>3982</v>
      </c>
      <c r="D949" s="1" t="s">
        <v>603</v>
      </c>
      <c r="E949" s="2">
        <v>45863</v>
      </c>
      <c r="F949" s="2">
        <v>45856</v>
      </c>
      <c r="G949" s="1" t="s">
        <v>4008</v>
      </c>
      <c r="H949" s="3" t="s">
        <v>25</v>
      </c>
      <c r="I949" s="1" t="s">
        <v>3984</v>
      </c>
      <c r="J949" s="1" t="s">
        <v>12</v>
      </c>
      <c r="K949" s="3" t="s">
        <v>3995</v>
      </c>
      <c r="L949" s="1" t="s">
        <v>3987</v>
      </c>
      <c r="M949" s="1" t="s">
        <v>3996</v>
      </c>
      <c r="N949" s="1" t="s">
        <v>13</v>
      </c>
      <c r="O949" s="1" t="s">
        <v>3996</v>
      </c>
      <c r="P949" s="1" t="s">
        <v>13</v>
      </c>
      <c r="Q949" s="1" t="s">
        <v>38</v>
      </c>
      <c r="R949" s="1" t="s">
        <v>46</v>
      </c>
      <c r="S949" s="1" t="s">
        <v>4009</v>
      </c>
      <c r="T949" s="4">
        <v>3.3</v>
      </c>
    </row>
    <row r="950" spans="1:20">
      <c r="A950" s="1" t="s">
        <v>3981</v>
      </c>
      <c r="B950" s="1" t="s">
        <v>465</v>
      </c>
      <c r="C950" s="1" t="s">
        <v>3982</v>
      </c>
      <c r="D950" s="1" t="s">
        <v>603</v>
      </c>
      <c r="E950" s="2">
        <v>45863</v>
      </c>
      <c r="F950" s="2">
        <v>45856</v>
      </c>
      <c r="G950" s="1" t="s">
        <v>4008</v>
      </c>
      <c r="H950" s="3" t="s">
        <v>25</v>
      </c>
      <c r="I950" s="1" t="s">
        <v>3984</v>
      </c>
      <c r="J950" s="1" t="s">
        <v>12</v>
      </c>
      <c r="K950" s="3" t="s">
        <v>3995</v>
      </c>
      <c r="L950" s="1" t="s">
        <v>3987</v>
      </c>
      <c r="M950" s="1" t="s">
        <v>3996</v>
      </c>
      <c r="N950" s="1" t="s">
        <v>13</v>
      </c>
      <c r="O950" s="1" t="s">
        <v>3996</v>
      </c>
      <c r="P950" s="1" t="s">
        <v>13</v>
      </c>
      <c r="Q950" s="1" t="s">
        <v>38</v>
      </c>
      <c r="R950" s="1" t="s">
        <v>91</v>
      </c>
      <c r="S950" s="1" t="s">
        <v>4009</v>
      </c>
      <c r="T950" s="4">
        <v>1</v>
      </c>
    </row>
    <row r="951" spans="1:20">
      <c r="A951" s="1" t="s">
        <v>3981</v>
      </c>
      <c r="B951" s="1" t="s">
        <v>465</v>
      </c>
      <c r="C951" s="1" t="s">
        <v>3982</v>
      </c>
      <c r="D951" s="1" t="s">
        <v>603</v>
      </c>
      <c r="E951" s="2">
        <v>45863</v>
      </c>
      <c r="F951" s="2">
        <v>45856</v>
      </c>
      <c r="G951" s="1" t="s">
        <v>4008</v>
      </c>
      <c r="H951" s="3" t="s">
        <v>25</v>
      </c>
      <c r="I951" s="1" t="s">
        <v>3984</v>
      </c>
      <c r="J951" s="1" t="s">
        <v>12</v>
      </c>
      <c r="K951" s="3" t="s">
        <v>3995</v>
      </c>
      <c r="L951" s="1" t="s">
        <v>3987</v>
      </c>
      <c r="M951" s="1" t="s">
        <v>3996</v>
      </c>
      <c r="N951" s="1" t="s">
        <v>13</v>
      </c>
      <c r="O951" s="1" t="s">
        <v>3996</v>
      </c>
      <c r="P951" s="1" t="s">
        <v>13</v>
      </c>
      <c r="Q951" s="1" t="s">
        <v>38</v>
      </c>
      <c r="R951" s="1" t="s">
        <v>51</v>
      </c>
      <c r="S951" s="1" t="s">
        <v>4009</v>
      </c>
      <c r="T951" s="4">
        <v>0.3</v>
      </c>
    </row>
    <row r="952" spans="1:20">
      <c r="A952" s="1" t="s">
        <v>3981</v>
      </c>
      <c r="B952" s="1" t="s">
        <v>465</v>
      </c>
      <c r="C952" s="1" t="s">
        <v>3982</v>
      </c>
      <c r="D952" s="1" t="s">
        <v>603</v>
      </c>
      <c r="E952" s="2">
        <v>45863</v>
      </c>
      <c r="F952" s="2">
        <v>45856</v>
      </c>
      <c r="G952" s="1" t="s">
        <v>4008</v>
      </c>
      <c r="H952" s="3" t="s">
        <v>25</v>
      </c>
      <c r="I952" s="1" t="s">
        <v>3984</v>
      </c>
      <c r="J952" s="1" t="s">
        <v>12</v>
      </c>
      <c r="K952" s="3" t="s">
        <v>3995</v>
      </c>
      <c r="L952" s="1" t="s">
        <v>3987</v>
      </c>
      <c r="M952" s="1" t="s">
        <v>3996</v>
      </c>
      <c r="N952" s="1" t="s">
        <v>13</v>
      </c>
      <c r="O952" s="1" t="s">
        <v>3996</v>
      </c>
      <c r="P952" s="1" t="s">
        <v>13</v>
      </c>
      <c r="Q952" s="1" t="s">
        <v>38</v>
      </c>
      <c r="R952" s="1" t="s">
        <v>52</v>
      </c>
      <c r="S952" s="1" t="s">
        <v>4009</v>
      </c>
      <c r="T952" s="4">
        <v>0.3</v>
      </c>
    </row>
    <row r="953" spans="1:20">
      <c r="A953" s="1" t="s">
        <v>3981</v>
      </c>
      <c r="B953" s="1" t="s">
        <v>465</v>
      </c>
      <c r="C953" s="1" t="s">
        <v>3982</v>
      </c>
      <c r="D953" s="1" t="s">
        <v>603</v>
      </c>
      <c r="E953" s="2">
        <v>45863</v>
      </c>
      <c r="F953" s="2">
        <v>45856</v>
      </c>
      <c r="G953" s="1" t="s">
        <v>4008</v>
      </c>
      <c r="H953" s="3" t="s">
        <v>25</v>
      </c>
      <c r="I953" s="1" t="s">
        <v>3984</v>
      </c>
      <c r="J953" s="1" t="s">
        <v>12</v>
      </c>
      <c r="K953" s="3" t="s">
        <v>3995</v>
      </c>
      <c r="L953" s="1" t="s">
        <v>3987</v>
      </c>
      <c r="M953" s="1" t="s">
        <v>3996</v>
      </c>
      <c r="N953" s="1" t="s">
        <v>13</v>
      </c>
      <c r="O953" s="1" t="s">
        <v>3996</v>
      </c>
      <c r="P953" s="1" t="s">
        <v>13</v>
      </c>
      <c r="Q953" s="1" t="s">
        <v>30</v>
      </c>
      <c r="R953" s="1" t="s">
        <v>67</v>
      </c>
      <c r="S953" s="1" t="s">
        <v>4009</v>
      </c>
      <c r="T953" s="4">
        <v>4.5</v>
      </c>
    </row>
    <row r="954" spans="1:20">
      <c r="A954" s="1" t="s">
        <v>3981</v>
      </c>
      <c r="B954" s="1" t="s">
        <v>465</v>
      </c>
      <c r="C954" s="1" t="s">
        <v>3982</v>
      </c>
      <c r="D954" s="1" t="s">
        <v>603</v>
      </c>
      <c r="E954" s="2">
        <v>45863</v>
      </c>
      <c r="F954" s="2">
        <v>45856</v>
      </c>
      <c r="G954" s="1" t="s">
        <v>4008</v>
      </c>
      <c r="H954" s="3" t="s">
        <v>25</v>
      </c>
      <c r="I954" s="1" t="s">
        <v>3984</v>
      </c>
      <c r="J954" s="1" t="s">
        <v>12</v>
      </c>
      <c r="K954" s="3" t="s">
        <v>3995</v>
      </c>
      <c r="L954" s="1" t="s">
        <v>3987</v>
      </c>
      <c r="M954" s="1" t="s">
        <v>3996</v>
      </c>
      <c r="N954" s="1" t="s">
        <v>13</v>
      </c>
      <c r="O954" s="1" t="s">
        <v>3996</v>
      </c>
      <c r="P954" s="1" t="s">
        <v>13</v>
      </c>
      <c r="Q954" s="1" t="s">
        <v>30</v>
      </c>
      <c r="R954" s="1" t="s">
        <v>62</v>
      </c>
      <c r="S954" s="1" t="s">
        <v>4009</v>
      </c>
      <c r="T954" s="4">
        <v>9</v>
      </c>
    </row>
    <row r="955" spans="1:20">
      <c r="A955" s="1" t="s">
        <v>3981</v>
      </c>
      <c r="B955" s="1" t="s">
        <v>465</v>
      </c>
      <c r="C955" s="1" t="s">
        <v>3982</v>
      </c>
      <c r="D955" s="1" t="s">
        <v>603</v>
      </c>
      <c r="E955" s="2">
        <v>45863</v>
      </c>
      <c r="F955" s="2">
        <v>45856</v>
      </c>
      <c r="G955" s="1" t="s">
        <v>4008</v>
      </c>
      <c r="H955" s="3" t="s">
        <v>25</v>
      </c>
      <c r="I955" s="1" t="s">
        <v>3984</v>
      </c>
      <c r="J955" s="1" t="s">
        <v>12</v>
      </c>
      <c r="K955" s="3" t="s">
        <v>3995</v>
      </c>
      <c r="L955" s="1" t="s">
        <v>3987</v>
      </c>
      <c r="M955" s="1" t="s">
        <v>3996</v>
      </c>
      <c r="N955" s="1" t="s">
        <v>13</v>
      </c>
      <c r="O955" s="1" t="s">
        <v>3996</v>
      </c>
      <c r="P955" s="1" t="s">
        <v>13</v>
      </c>
      <c r="Q955" s="1" t="s">
        <v>30</v>
      </c>
      <c r="R955" s="1" t="s">
        <v>68</v>
      </c>
      <c r="S955" s="1" t="s">
        <v>4009</v>
      </c>
      <c r="T955" s="4">
        <v>3.1</v>
      </c>
    </row>
    <row r="956" spans="1:20">
      <c r="A956" s="1" t="s">
        <v>3981</v>
      </c>
      <c r="B956" s="1" t="s">
        <v>465</v>
      </c>
      <c r="C956" s="1" t="s">
        <v>3982</v>
      </c>
      <c r="D956" s="1" t="s">
        <v>603</v>
      </c>
      <c r="E956" s="2">
        <v>45863</v>
      </c>
      <c r="F956" s="2">
        <v>45863</v>
      </c>
      <c r="G956" s="1" t="s">
        <v>3983</v>
      </c>
      <c r="H956" s="3" t="s">
        <v>32</v>
      </c>
      <c r="I956" s="1" t="s">
        <v>3984</v>
      </c>
      <c r="J956" s="1" t="s">
        <v>12</v>
      </c>
      <c r="K956" s="3" t="s">
        <v>3995</v>
      </c>
      <c r="L956" s="1" t="s">
        <v>3987</v>
      </c>
      <c r="M956" s="1" t="s">
        <v>3999</v>
      </c>
      <c r="N956" s="1" t="s">
        <v>13</v>
      </c>
      <c r="O956" s="1" t="s">
        <v>3999</v>
      </c>
      <c r="P956" s="1" t="s">
        <v>13</v>
      </c>
      <c r="Q956" s="1" t="s">
        <v>4000</v>
      </c>
      <c r="R956" s="1" t="s">
        <v>4001</v>
      </c>
      <c r="S956" s="1" t="s">
        <v>3989</v>
      </c>
      <c r="T956" s="4">
        <v>6</v>
      </c>
    </row>
    <row r="957" spans="1:20">
      <c r="A957" s="1" t="s">
        <v>3981</v>
      </c>
      <c r="B957" s="1" t="s">
        <v>465</v>
      </c>
      <c r="C957" s="1" t="s">
        <v>3982</v>
      </c>
      <c r="D957" s="1" t="s">
        <v>603</v>
      </c>
      <c r="E957" s="2">
        <v>45863</v>
      </c>
      <c r="F957" s="2">
        <v>45863</v>
      </c>
      <c r="G957" s="1" t="s">
        <v>3983</v>
      </c>
      <c r="H957" s="3" t="s">
        <v>32</v>
      </c>
      <c r="I957" s="1" t="s">
        <v>3984</v>
      </c>
      <c r="J957" s="1" t="s">
        <v>12</v>
      </c>
      <c r="K957" s="3" t="s">
        <v>3995</v>
      </c>
      <c r="L957" s="1" t="s">
        <v>3987</v>
      </c>
      <c r="M957" s="1" t="s">
        <v>3996</v>
      </c>
      <c r="N957" s="1" t="s">
        <v>13</v>
      </c>
      <c r="O957" s="1" t="s">
        <v>3996</v>
      </c>
      <c r="P957" s="1" t="s">
        <v>13</v>
      </c>
      <c r="Q957" s="1" t="s">
        <v>14</v>
      </c>
      <c r="R957" s="1" t="s">
        <v>54</v>
      </c>
      <c r="S957" s="1" t="s">
        <v>3989</v>
      </c>
      <c r="T957" s="4">
        <v>3</v>
      </c>
    </row>
    <row r="958" spans="1:20">
      <c r="A958" s="1" t="s">
        <v>3981</v>
      </c>
      <c r="B958" s="1" t="s">
        <v>465</v>
      </c>
      <c r="C958" s="1" t="s">
        <v>3982</v>
      </c>
      <c r="D958" s="1" t="s">
        <v>603</v>
      </c>
      <c r="E958" s="2">
        <v>45863</v>
      </c>
      <c r="F958" s="2">
        <v>45863</v>
      </c>
      <c r="G958" s="1" t="s">
        <v>3983</v>
      </c>
      <c r="H958" s="3" t="s">
        <v>32</v>
      </c>
      <c r="I958" s="1" t="s">
        <v>3984</v>
      </c>
      <c r="J958" s="1" t="s">
        <v>12</v>
      </c>
      <c r="K958" s="3" t="s">
        <v>3995</v>
      </c>
      <c r="L958" s="1" t="s">
        <v>3987</v>
      </c>
      <c r="M958" s="1" t="s">
        <v>3996</v>
      </c>
      <c r="N958" s="1" t="s">
        <v>13</v>
      </c>
      <c r="O958" s="1" t="s">
        <v>3996</v>
      </c>
      <c r="P958" s="1" t="s">
        <v>13</v>
      </c>
      <c r="Q958" s="1" t="s">
        <v>14</v>
      </c>
      <c r="R958" s="1" t="s">
        <v>98</v>
      </c>
      <c r="S958" s="1" t="s">
        <v>3989</v>
      </c>
      <c r="T958" s="4">
        <v>11</v>
      </c>
    </row>
    <row r="959" spans="1:20">
      <c r="A959" s="1" t="s">
        <v>3981</v>
      </c>
      <c r="B959" s="1" t="s">
        <v>465</v>
      </c>
      <c r="C959" s="1" t="s">
        <v>3982</v>
      </c>
      <c r="D959" s="1" t="s">
        <v>603</v>
      </c>
      <c r="E959" s="2">
        <v>45863</v>
      </c>
      <c r="F959" s="2">
        <v>45863</v>
      </c>
      <c r="G959" s="1" t="s">
        <v>3990</v>
      </c>
      <c r="H959" s="3" t="s">
        <v>11</v>
      </c>
      <c r="I959" s="1" t="s">
        <v>3984</v>
      </c>
      <c r="J959" s="1" t="s">
        <v>3985</v>
      </c>
      <c r="K959" s="3" t="s">
        <v>3986</v>
      </c>
      <c r="L959" s="1" t="s">
        <v>3987</v>
      </c>
      <c r="M959" s="1" t="s">
        <v>13</v>
      </c>
      <c r="N959" s="1" t="s">
        <v>13</v>
      </c>
      <c r="O959" s="1" t="s">
        <v>3988</v>
      </c>
      <c r="P959" s="1" t="s">
        <v>13</v>
      </c>
      <c r="Q959" s="1" t="s">
        <v>13</v>
      </c>
      <c r="R959" s="1" t="s">
        <v>13</v>
      </c>
      <c r="S959" s="1" t="s">
        <v>3994</v>
      </c>
      <c r="T959" s="4">
        <v>1.6</v>
      </c>
    </row>
    <row r="960" spans="1:20">
      <c r="A960" s="1" t="s">
        <v>3981</v>
      </c>
      <c r="B960" s="1" t="s">
        <v>465</v>
      </c>
      <c r="C960" s="1" t="s">
        <v>3982</v>
      </c>
      <c r="D960" s="1" t="s">
        <v>603</v>
      </c>
      <c r="E960" s="2">
        <v>45863</v>
      </c>
      <c r="F960" s="2">
        <v>45863</v>
      </c>
      <c r="G960" s="1" t="s">
        <v>3990</v>
      </c>
      <c r="H960" s="3" t="s">
        <v>11</v>
      </c>
      <c r="I960" s="1" t="s">
        <v>3984</v>
      </c>
      <c r="J960" s="1" t="s">
        <v>12</v>
      </c>
      <c r="K960" s="3" t="s">
        <v>3995</v>
      </c>
      <c r="L960" s="1" t="s">
        <v>3987</v>
      </c>
      <c r="M960" s="1" t="s">
        <v>3996</v>
      </c>
      <c r="N960" s="1" t="s">
        <v>13</v>
      </c>
      <c r="O960" s="1" t="s">
        <v>3996</v>
      </c>
      <c r="P960" s="1" t="s">
        <v>13</v>
      </c>
      <c r="Q960" s="1" t="s">
        <v>83</v>
      </c>
      <c r="R960" s="1" t="s">
        <v>86</v>
      </c>
      <c r="S960" s="1" t="s">
        <v>3994</v>
      </c>
      <c r="T960" s="4">
        <v>2</v>
      </c>
    </row>
    <row r="961" spans="1:20">
      <c r="A961" s="1" t="s">
        <v>3981</v>
      </c>
      <c r="B961" s="1" t="s">
        <v>465</v>
      </c>
      <c r="C961" s="1" t="s">
        <v>3982</v>
      </c>
      <c r="D961" s="1" t="s">
        <v>603</v>
      </c>
      <c r="E961" s="2">
        <v>45863</v>
      </c>
      <c r="F961" s="2">
        <v>45863</v>
      </c>
      <c r="G961" s="1" t="s">
        <v>3990</v>
      </c>
      <c r="H961" s="3" t="s">
        <v>11</v>
      </c>
      <c r="I961" s="1" t="s">
        <v>3984</v>
      </c>
      <c r="J961" s="1" t="s">
        <v>12</v>
      </c>
      <c r="K961" s="3" t="s">
        <v>3995</v>
      </c>
      <c r="L961" s="1" t="s">
        <v>3987</v>
      </c>
      <c r="M961" s="1" t="s">
        <v>3996</v>
      </c>
      <c r="N961" s="1" t="s">
        <v>13</v>
      </c>
      <c r="O961" s="1" t="s">
        <v>3996</v>
      </c>
      <c r="P961" s="1" t="s">
        <v>13</v>
      </c>
      <c r="Q961" s="1" t="s">
        <v>44</v>
      </c>
      <c r="R961" s="1" t="s">
        <v>45</v>
      </c>
      <c r="S961" s="1" t="s">
        <v>3994</v>
      </c>
      <c r="T961" s="4">
        <v>3</v>
      </c>
    </row>
    <row r="962" spans="1:20">
      <c r="A962" s="1" t="s">
        <v>3981</v>
      </c>
      <c r="B962" s="1" t="s">
        <v>465</v>
      </c>
      <c r="C962" s="1" t="s">
        <v>3982</v>
      </c>
      <c r="D962" s="1" t="s">
        <v>603</v>
      </c>
      <c r="E962" s="2">
        <v>45863</v>
      </c>
      <c r="F962" s="2">
        <v>45863</v>
      </c>
      <c r="G962" s="1" t="s">
        <v>3990</v>
      </c>
      <c r="H962" s="3" t="s">
        <v>11</v>
      </c>
      <c r="I962" s="1" t="s">
        <v>3984</v>
      </c>
      <c r="J962" s="1" t="s">
        <v>12</v>
      </c>
      <c r="K962" s="3" t="s">
        <v>3995</v>
      </c>
      <c r="L962" s="1" t="s">
        <v>3987</v>
      </c>
      <c r="M962" s="1" t="s">
        <v>3996</v>
      </c>
      <c r="N962" s="1" t="s">
        <v>13</v>
      </c>
      <c r="O962" s="1" t="s">
        <v>3996</v>
      </c>
      <c r="P962" s="1" t="s">
        <v>13</v>
      </c>
      <c r="Q962" s="1" t="s">
        <v>16</v>
      </c>
      <c r="R962" s="1" t="s">
        <v>17</v>
      </c>
      <c r="S962" s="1" t="s">
        <v>3994</v>
      </c>
      <c r="T962" s="4">
        <v>4.3</v>
      </c>
    </row>
    <row r="963" spans="1:20">
      <c r="A963" s="1" t="s">
        <v>3981</v>
      </c>
      <c r="B963" s="1" t="s">
        <v>465</v>
      </c>
      <c r="C963" s="1" t="s">
        <v>3982</v>
      </c>
      <c r="D963" s="1" t="s">
        <v>603</v>
      </c>
      <c r="E963" s="2">
        <v>45863</v>
      </c>
      <c r="F963" s="2">
        <v>45863</v>
      </c>
      <c r="G963" s="1" t="s">
        <v>3990</v>
      </c>
      <c r="H963" s="3" t="s">
        <v>11</v>
      </c>
      <c r="I963" s="1" t="s">
        <v>3984</v>
      </c>
      <c r="J963" s="1" t="s">
        <v>12</v>
      </c>
      <c r="K963" s="3" t="s">
        <v>3995</v>
      </c>
      <c r="L963" s="1" t="s">
        <v>3987</v>
      </c>
      <c r="M963" s="1" t="s">
        <v>3996</v>
      </c>
      <c r="N963" s="1" t="s">
        <v>13</v>
      </c>
      <c r="O963" s="1" t="s">
        <v>3996</v>
      </c>
      <c r="P963" s="1" t="s">
        <v>13</v>
      </c>
      <c r="Q963" s="1" t="s">
        <v>16</v>
      </c>
      <c r="R963" s="1" t="s">
        <v>87</v>
      </c>
      <c r="S963" s="1" t="s">
        <v>3994</v>
      </c>
      <c r="T963" s="4">
        <v>1</v>
      </c>
    </row>
    <row r="964" spans="1:20">
      <c r="A964" s="1" t="s">
        <v>3981</v>
      </c>
      <c r="B964" s="1" t="s">
        <v>465</v>
      </c>
      <c r="C964" s="1" t="s">
        <v>3982</v>
      </c>
      <c r="D964" s="1" t="s">
        <v>603</v>
      </c>
      <c r="E964" s="2">
        <v>45863</v>
      </c>
      <c r="F964" s="2">
        <v>45863</v>
      </c>
      <c r="G964" s="1" t="s">
        <v>3990</v>
      </c>
      <c r="H964" s="3" t="s">
        <v>11</v>
      </c>
      <c r="I964" s="1" t="s">
        <v>3984</v>
      </c>
      <c r="J964" s="1" t="s">
        <v>12</v>
      </c>
      <c r="K964" s="3" t="s">
        <v>3995</v>
      </c>
      <c r="L964" s="1" t="s">
        <v>3987</v>
      </c>
      <c r="M964" s="1" t="s">
        <v>3996</v>
      </c>
      <c r="N964" s="1" t="s">
        <v>13</v>
      </c>
      <c r="O964" s="1" t="s">
        <v>3996</v>
      </c>
      <c r="P964" s="1" t="s">
        <v>13</v>
      </c>
      <c r="Q964" s="1" t="s">
        <v>16</v>
      </c>
      <c r="R964" s="1" t="s">
        <v>40</v>
      </c>
      <c r="S964" s="1" t="s">
        <v>3994</v>
      </c>
      <c r="T964" s="4">
        <v>2.9</v>
      </c>
    </row>
    <row r="965" spans="1:20">
      <c r="A965" s="1" t="s">
        <v>3981</v>
      </c>
      <c r="B965" s="1" t="s">
        <v>465</v>
      </c>
      <c r="C965" s="1" t="s">
        <v>3982</v>
      </c>
      <c r="D965" s="1" t="s">
        <v>603</v>
      </c>
      <c r="E965" s="2">
        <v>45863</v>
      </c>
      <c r="F965" s="2">
        <v>45863</v>
      </c>
      <c r="G965" s="1" t="s">
        <v>3990</v>
      </c>
      <c r="H965" s="3" t="s">
        <v>11</v>
      </c>
      <c r="I965" s="1" t="s">
        <v>3984</v>
      </c>
      <c r="J965" s="1" t="s">
        <v>12</v>
      </c>
      <c r="K965" s="3" t="s">
        <v>3995</v>
      </c>
      <c r="L965" s="1" t="s">
        <v>3987</v>
      </c>
      <c r="M965" s="1" t="s">
        <v>3996</v>
      </c>
      <c r="N965" s="1" t="s">
        <v>13</v>
      </c>
      <c r="O965" s="1" t="s">
        <v>3996</v>
      </c>
      <c r="P965" s="1" t="s">
        <v>13</v>
      </c>
      <c r="Q965" s="1" t="s">
        <v>16</v>
      </c>
      <c r="R965" s="1" t="s">
        <v>74</v>
      </c>
      <c r="S965" s="1" t="s">
        <v>3994</v>
      </c>
      <c r="T965" s="4">
        <v>1</v>
      </c>
    </row>
    <row r="966" spans="1:20">
      <c r="A966" s="1" t="s">
        <v>3981</v>
      </c>
      <c r="B966" s="1" t="s">
        <v>465</v>
      </c>
      <c r="C966" s="1" t="s">
        <v>3982</v>
      </c>
      <c r="D966" s="1" t="s">
        <v>603</v>
      </c>
      <c r="E966" s="2">
        <v>45863</v>
      </c>
      <c r="F966" s="2">
        <v>45863</v>
      </c>
      <c r="G966" s="1" t="s">
        <v>3990</v>
      </c>
      <c r="H966" s="3" t="s">
        <v>11</v>
      </c>
      <c r="I966" s="1" t="s">
        <v>3984</v>
      </c>
      <c r="J966" s="1" t="s">
        <v>12</v>
      </c>
      <c r="K966" s="3" t="s">
        <v>3995</v>
      </c>
      <c r="L966" s="1" t="s">
        <v>3987</v>
      </c>
      <c r="M966" s="1" t="s">
        <v>3996</v>
      </c>
      <c r="N966" s="1" t="s">
        <v>13</v>
      </c>
      <c r="O966" s="1" t="s">
        <v>3996</v>
      </c>
      <c r="P966" s="1" t="s">
        <v>13</v>
      </c>
      <c r="Q966" s="1" t="s">
        <v>16</v>
      </c>
      <c r="R966" s="1" t="s">
        <v>61</v>
      </c>
      <c r="S966" s="1" t="s">
        <v>3994</v>
      </c>
      <c r="T966" s="4">
        <v>0.7</v>
      </c>
    </row>
    <row r="967" spans="1:20">
      <c r="A967" s="1" t="s">
        <v>3981</v>
      </c>
      <c r="B967" s="1" t="s">
        <v>465</v>
      </c>
      <c r="C967" s="1" t="s">
        <v>3982</v>
      </c>
      <c r="D967" s="1" t="s">
        <v>603</v>
      </c>
      <c r="E967" s="2">
        <v>45863</v>
      </c>
      <c r="F967" s="2">
        <v>45863</v>
      </c>
      <c r="G967" s="1" t="s">
        <v>3990</v>
      </c>
      <c r="H967" s="3" t="s">
        <v>11</v>
      </c>
      <c r="I967" s="1" t="s">
        <v>3984</v>
      </c>
      <c r="J967" s="1" t="s">
        <v>12</v>
      </c>
      <c r="K967" s="3" t="s">
        <v>3995</v>
      </c>
      <c r="L967" s="1" t="s">
        <v>3987</v>
      </c>
      <c r="M967" s="1" t="s">
        <v>3996</v>
      </c>
      <c r="N967" s="1" t="s">
        <v>13</v>
      </c>
      <c r="O967" s="1" t="s">
        <v>3996</v>
      </c>
      <c r="P967" s="1" t="s">
        <v>13</v>
      </c>
      <c r="Q967" s="1" t="s">
        <v>16</v>
      </c>
      <c r="R967" s="1" t="s">
        <v>85</v>
      </c>
      <c r="S967" s="1" t="s">
        <v>3994</v>
      </c>
      <c r="T967" s="4">
        <v>0.5</v>
      </c>
    </row>
    <row r="968" spans="1:20">
      <c r="A968" s="1" t="s">
        <v>3981</v>
      </c>
      <c r="B968" s="1" t="s">
        <v>465</v>
      </c>
      <c r="C968" s="1" t="s">
        <v>3982</v>
      </c>
      <c r="D968" s="1" t="s">
        <v>603</v>
      </c>
      <c r="E968" s="2">
        <v>45863</v>
      </c>
      <c r="F968" s="2">
        <v>45863</v>
      </c>
      <c r="G968" s="1" t="s">
        <v>3990</v>
      </c>
      <c r="H968" s="3" t="s">
        <v>11</v>
      </c>
      <c r="I968" s="1" t="s">
        <v>3984</v>
      </c>
      <c r="J968" s="1" t="s">
        <v>12</v>
      </c>
      <c r="K968" s="3" t="s">
        <v>3995</v>
      </c>
      <c r="L968" s="1" t="s">
        <v>3987</v>
      </c>
      <c r="M968" s="1" t="s">
        <v>4055</v>
      </c>
      <c r="N968" s="1" t="s">
        <v>4056</v>
      </c>
      <c r="O968" s="1" t="s">
        <v>13</v>
      </c>
      <c r="P968" s="1" t="s">
        <v>13</v>
      </c>
      <c r="Q968" s="1" t="s">
        <v>4057</v>
      </c>
      <c r="R968" s="1" t="s">
        <v>4061</v>
      </c>
      <c r="S968" s="1" t="s">
        <v>3994</v>
      </c>
      <c r="T968" s="4">
        <v>1</v>
      </c>
    </row>
    <row r="969" spans="1:20">
      <c r="A969" s="1" t="s">
        <v>3981</v>
      </c>
      <c r="B969" s="1" t="s">
        <v>465</v>
      </c>
      <c r="C969" s="1" t="s">
        <v>3982</v>
      </c>
      <c r="D969" s="1" t="s">
        <v>603</v>
      </c>
      <c r="E969" s="2">
        <v>45863</v>
      </c>
      <c r="F969" s="2">
        <v>45863</v>
      </c>
      <c r="G969" s="1" t="s">
        <v>3997</v>
      </c>
      <c r="H969" s="3" t="s">
        <v>41</v>
      </c>
      <c r="I969" s="1" t="s">
        <v>3984</v>
      </c>
      <c r="J969" s="1" t="s">
        <v>12</v>
      </c>
      <c r="K969" s="3" t="s">
        <v>3995</v>
      </c>
      <c r="L969" s="1" t="s">
        <v>3987</v>
      </c>
      <c r="M969" s="1" t="s">
        <v>3999</v>
      </c>
      <c r="N969" s="1" t="s">
        <v>13</v>
      </c>
      <c r="O969" s="1" t="s">
        <v>3999</v>
      </c>
      <c r="P969" s="1" t="s">
        <v>13</v>
      </c>
      <c r="Q969" s="1" t="s">
        <v>4000</v>
      </c>
      <c r="R969" s="1" t="s">
        <v>4001</v>
      </c>
      <c r="S969" s="1" t="s">
        <v>3998</v>
      </c>
      <c r="T969" s="4">
        <v>7</v>
      </c>
    </row>
    <row r="970" spans="1:20">
      <c r="A970" s="1" t="s">
        <v>3981</v>
      </c>
      <c r="B970" s="1" t="s">
        <v>465</v>
      </c>
      <c r="C970" s="1" t="s">
        <v>3982</v>
      </c>
      <c r="D970" s="1" t="s">
        <v>603</v>
      </c>
      <c r="E970" s="2">
        <v>45863</v>
      </c>
      <c r="F970" s="2">
        <v>45863</v>
      </c>
      <c r="G970" s="1" t="s">
        <v>3997</v>
      </c>
      <c r="H970" s="3" t="s">
        <v>41</v>
      </c>
      <c r="I970" s="1" t="s">
        <v>3984</v>
      </c>
      <c r="J970" s="1" t="s">
        <v>12</v>
      </c>
      <c r="K970" s="3" t="s">
        <v>3995</v>
      </c>
      <c r="L970" s="1" t="s">
        <v>3987</v>
      </c>
      <c r="M970" s="1" t="s">
        <v>3996</v>
      </c>
      <c r="N970" s="1" t="s">
        <v>13</v>
      </c>
      <c r="O970" s="1" t="s">
        <v>3996</v>
      </c>
      <c r="P970" s="1" t="s">
        <v>13</v>
      </c>
      <c r="Q970" s="1" t="s">
        <v>14</v>
      </c>
      <c r="R970" s="1" t="s">
        <v>24</v>
      </c>
      <c r="S970" s="1" t="s">
        <v>3998</v>
      </c>
      <c r="T970" s="4">
        <v>1</v>
      </c>
    </row>
    <row r="971" spans="1:20">
      <c r="A971" s="1" t="s">
        <v>3981</v>
      </c>
      <c r="B971" s="1" t="s">
        <v>465</v>
      </c>
      <c r="C971" s="1" t="s">
        <v>3982</v>
      </c>
      <c r="D971" s="1" t="s">
        <v>603</v>
      </c>
      <c r="E971" s="2">
        <v>45863</v>
      </c>
      <c r="F971" s="2">
        <v>45863</v>
      </c>
      <c r="G971" s="1" t="s">
        <v>3997</v>
      </c>
      <c r="H971" s="3" t="s">
        <v>41</v>
      </c>
      <c r="I971" s="1" t="s">
        <v>3984</v>
      </c>
      <c r="J971" s="1" t="s">
        <v>12</v>
      </c>
      <c r="K971" s="3" t="s">
        <v>3995</v>
      </c>
      <c r="L971" s="1" t="s">
        <v>4002</v>
      </c>
      <c r="M971" s="1" t="s">
        <v>4003</v>
      </c>
      <c r="N971" s="1" t="s">
        <v>13</v>
      </c>
      <c r="O971" s="1" t="s">
        <v>4003</v>
      </c>
      <c r="P971" s="1" t="s">
        <v>13</v>
      </c>
      <c r="Q971" s="1" t="s">
        <v>4004</v>
      </c>
      <c r="R971" s="1" t="s">
        <v>4001</v>
      </c>
      <c r="S971" s="1" t="s">
        <v>3998</v>
      </c>
      <c r="T971" s="4">
        <v>13</v>
      </c>
    </row>
    <row r="972" spans="1:20">
      <c r="A972" s="1" t="s">
        <v>3981</v>
      </c>
      <c r="B972" s="1" t="s">
        <v>465</v>
      </c>
      <c r="C972" s="1" t="s">
        <v>3982</v>
      </c>
      <c r="D972" s="1" t="s">
        <v>603</v>
      </c>
      <c r="E972" s="2">
        <v>45863</v>
      </c>
      <c r="F972" s="2">
        <v>45863</v>
      </c>
      <c r="G972" s="1" t="s">
        <v>4005</v>
      </c>
      <c r="H972" s="3" t="s">
        <v>21</v>
      </c>
      <c r="I972" s="1" t="s">
        <v>3984</v>
      </c>
      <c r="J972" s="1" t="s">
        <v>12</v>
      </c>
      <c r="K972" s="3" t="s">
        <v>3995</v>
      </c>
      <c r="L972" s="1" t="s">
        <v>3987</v>
      </c>
      <c r="M972" s="1" t="s">
        <v>3996</v>
      </c>
      <c r="N972" s="1" t="s">
        <v>13</v>
      </c>
      <c r="O972" s="1" t="s">
        <v>3996</v>
      </c>
      <c r="P972" s="1" t="s">
        <v>13</v>
      </c>
      <c r="Q972" s="1" t="s">
        <v>14</v>
      </c>
      <c r="R972" s="1" t="s">
        <v>23</v>
      </c>
      <c r="S972" s="1" t="s">
        <v>4007</v>
      </c>
      <c r="T972" s="4">
        <v>13.7</v>
      </c>
    </row>
    <row r="973" spans="1:20">
      <c r="A973" s="1" t="s">
        <v>3981</v>
      </c>
      <c r="B973" s="1" t="s">
        <v>465</v>
      </c>
      <c r="C973" s="1" t="s">
        <v>3982</v>
      </c>
      <c r="D973" s="1" t="s">
        <v>603</v>
      </c>
      <c r="E973" s="2">
        <v>45863</v>
      </c>
      <c r="F973" s="2">
        <v>45863</v>
      </c>
      <c r="G973" s="1" t="s">
        <v>4005</v>
      </c>
      <c r="H973" s="3" t="s">
        <v>21</v>
      </c>
      <c r="I973" s="1" t="s">
        <v>3984</v>
      </c>
      <c r="J973" s="1" t="s">
        <v>12</v>
      </c>
      <c r="K973" s="3" t="s">
        <v>3995</v>
      </c>
      <c r="L973" s="1" t="s">
        <v>3987</v>
      </c>
      <c r="M973" s="1" t="s">
        <v>3996</v>
      </c>
      <c r="N973" s="1" t="s">
        <v>13</v>
      </c>
      <c r="O973" s="1" t="s">
        <v>3996</v>
      </c>
      <c r="P973" s="1" t="s">
        <v>13</v>
      </c>
      <c r="Q973" s="1" t="s">
        <v>14</v>
      </c>
      <c r="R973" s="1" t="s">
        <v>80</v>
      </c>
      <c r="S973" s="1" t="s">
        <v>4007</v>
      </c>
      <c r="T973" s="4">
        <v>2.2999999999999998</v>
      </c>
    </row>
    <row r="974" spans="1:20">
      <c r="A974" s="1" t="s">
        <v>3981</v>
      </c>
      <c r="B974" s="1" t="s">
        <v>465</v>
      </c>
      <c r="C974" s="1" t="s">
        <v>3982</v>
      </c>
      <c r="D974" s="1" t="s">
        <v>603</v>
      </c>
      <c r="E974" s="2">
        <v>45863</v>
      </c>
      <c r="F974" s="2">
        <v>45863</v>
      </c>
      <c r="G974" s="1" t="s">
        <v>4005</v>
      </c>
      <c r="H974" s="3" t="s">
        <v>21</v>
      </c>
      <c r="I974" s="1" t="s">
        <v>3984</v>
      </c>
      <c r="J974" s="1" t="s">
        <v>12</v>
      </c>
      <c r="K974" s="3" t="s">
        <v>3995</v>
      </c>
      <c r="L974" s="1" t="s">
        <v>3987</v>
      </c>
      <c r="M974" s="1" t="s">
        <v>3996</v>
      </c>
      <c r="N974" s="1" t="s">
        <v>13</v>
      </c>
      <c r="O974" s="1" t="s">
        <v>3996</v>
      </c>
      <c r="P974" s="1" t="s">
        <v>13</v>
      </c>
      <c r="Q974" s="1" t="s">
        <v>14</v>
      </c>
      <c r="R974" s="1" t="s">
        <v>77</v>
      </c>
      <c r="S974" s="1" t="s">
        <v>4007</v>
      </c>
      <c r="T974" s="4">
        <v>3.4</v>
      </c>
    </row>
    <row r="975" spans="1:20">
      <c r="A975" s="1" t="s">
        <v>3981</v>
      </c>
      <c r="B975" s="1" t="s">
        <v>465</v>
      </c>
      <c r="C975" s="1" t="s">
        <v>3982</v>
      </c>
      <c r="D975" s="1" t="s">
        <v>603</v>
      </c>
      <c r="E975" s="2">
        <v>45863</v>
      </c>
      <c r="F975" s="2">
        <v>45863</v>
      </c>
      <c r="G975" s="1" t="s">
        <v>4008</v>
      </c>
      <c r="H975" s="3" t="s">
        <v>25</v>
      </c>
      <c r="I975" s="1" t="s">
        <v>3984</v>
      </c>
      <c r="J975" s="1" t="s">
        <v>12</v>
      </c>
      <c r="K975" s="3" t="s">
        <v>3995</v>
      </c>
      <c r="L975" s="1" t="s">
        <v>3987</v>
      </c>
      <c r="M975" s="1" t="s">
        <v>3996</v>
      </c>
      <c r="N975" s="1" t="s">
        <v>13</v>
      </c>
      <c r="O975" s="1" t="s">
        <v>3996</v>
      </c>
      <c r="P975" s="1" t="s">
        <v>13</v>
      </c>
      <c r="Q975" s="1" t="s">
        <v>28</v>
      </c>
      <c r="R975" s="1" t="s">
        <v>29</v>
      </c>
      <c r="S975" s="1" t="s">
        <v>4009</v>
      </c>
      <c r="T975" s="4">
        <v>2.5</v>
      </c>
    </row>
    <row r="976" spans="1:20">
      <c r="A976" s="1" t="s">
        <v>3981</v>
      </c>
      <c r="B976" s="1" t="s">
        <v>465</v>
      </c>
      <c r="C976" s="1" t="s">
        <v>3982</v>
      </c>
      <c r="D976" s="1" t="s">
        <v>603</v>
      </c>
      <c r="E976" s="2">
        <v>45863</v>
      </c>
      <c r="F976" s="2">
        <v>45863</v>
      </c>
      <c r="G976" s="1" t="s">
        <v>4008</v>
      </c>
      <c r="H976" s="3" t="s">
        <v>25</v>
      </c>
      <c r="I976" s="1" t="s">
        <v>3984</v>
      </c>
      <c r="J976" s="1" t="s">
        <v>12</v>
      </c>
      <c r="K976" s="3" t="s">
        <v>3995</v>
      </c>
      <c r="L976" s="1" t="s">
        <v>3987</v>
      </c>
      <c r="M976" s="1" t="s">
        <v>3996</v>
      </c>
      <c r="N976" s="1" t="s">
        <v>13</v>
      </c>
      <c r="O976" s="1" t="s">
        <v>3996</v>
      </c>
      <c r="P976" s="1" t="s">
        <v>13</v>
      </c>
      <c r="Q976" s="1" t="s">
        <v>44</v>
      </c>
      <c r="R976" s="1" t="s">
        <v>45</v>
      </c>
      <c r="S976" s="1" t="s">
        <v>4009</v>
      </c>
      <c r="T976" s="4">
        <v>23</v>
      </c>
    </row>
    <row r="977" spans="1:20">
      <c r="A977" s="1" t="s">
        <v>3981</v>
      </c>
      <c r="B977" s="1" t="s">
        <v>465</v>
      </c>
      <c r="C977" s="1" t="s">
        <v>3982</v>
      </c>
      <c r="D977" s="1" t="s">
        <v>603</v>
      </c>
      <c r="E977" s="2">
        <v>45863</v>
      </c>
      <c r="F977" s="2">
        <v>45863</v>
      </c>
      <c r="G977" s="1" t="s">
        <v>4008</v>
      </c>
      <c r="H977" s="3" t="s">
        <v>25</v>
      </c>
      <c r="I977" s="1" t="s">
        <v>3984</v>
      </c>
      <c r="J977" s="1" t="s">
        <v>12</v>
      </c>
      <c r="K977" s="3" t="s">
        <v>3995</v>
      </c>
      <c r="L977" s="1" t="s">
        <v>3987</v>
      </c>
      <c r="M977" s="1" t="s">
        <v>3996</v>
      </c>
      <c r="N977" s="1" t="s">
        <v>13</v>
      </c>
      <c r="O977" s="1" t="s">
        <v>3996</v>
      </c>
      <c r="P977" s="1" t="s">
        <v>13</v>
      </c>
      <c r="Q977" s="1" t="s">
        <v>38</v>
      </c>
      <c r="R977" s="1" t="s">
        <v>46</v>
      </c>
      <c r="S977" s="1" t="s">
        <v>4009</v>
      </c>
      <c r="T977" s="4">
        <v>1</v>
      </c>
    </row>
    <row r="978" spans="1:20">
      <c r="A978" s="1" t="s">
        <v>3981</v>
      </c>
      <c r="B978" s="1" t="s">
        <v>465</v>
      </c>
      <c r="C978" s="1" t="s">
        <v>3982</v>
      </c>
      <c r="D978" s="1" t="s">
        <v>603</v>
      </c>
      <c r="E978" s="2">
        <v>45863</v>
      </c>
      <c r="F978" s="2">
        <v>45863</v>
      </c>
      <c r="G978" s="1" t="s">
        <v>4008</v>
      </c>
      <c r="H978" s="3" t="s">
        <v>25</v>
      </c>
      <c r="I978" s="1" t="s">
        <v>3984</v>
      </c>
      <c r="J978" s="1" t="s">
        <v>12</v>
      </c>
      <c r="K978" s="3" t="s">
        <v>3995</v>
      </c>
      <c r="L978" s="1" t="s">
        <v>3987</v>
      </c>
      <c r="M978" s="1" t="s">
        <v>3996</v>
      </c>
      <c r="N978" s="1" t="s">
        <v>13</v>
      </c>
      <c r="O978" s="1" t="s">
        <v>3996</v>
      </c>
      <c r="P978" s="1" t="s">
        <v>13</v>
      </c>
      <c r="Q978" s="1" t="s">
        <v>38</v>
      </c>
      <c r="R978" s="1" t="s">
        <v>51</v>
      </c>
      <c r="S978" s="1" t="s">
        <v>4009</v>
      </c>
      <c r="T978" s="4">
        <v>0.5</v>
      </c>
    </row>
    <row r="979" spans="1:20">
      <c r="A979" s="1" t="s">
        <v>3981</v>
      </c>
      <c r="B979" s="1" t="s">
        <v>465</v>
      </c>
      <c r="C979" s="1" t="s">
        <v>3982</v>
      </c>
      <c r="D979" s="1" t="s">
        <v>603</v>
      </c>
      <c r="E979" s="2">
        <v>45863</v>
      </c>
      <c r="F979" s="2">
        <v>45863</v>
      </c>
      <c r="G979" s="1" t="s">
        <v>4008</v>
      </c>
      <c r="H979" s="3" t="s">
        <v>25</v>
      </c>
      <c r="I979" s="1" t="s">
        <v>3984</v>
      </c>
      <c r="J979" s="1" t="s">
        <v>12</v>
      </c>
      <c r="K979" s="3" t="s">
        <v>3995</v>
      </c>
      <c r="L979" s="1" t="s">
        <v>3987</v>
      </c>
      <c r="M979" s="1" t="s">
        <v>3996</v>
      </c>
      <c r="N979" s="1" t="s">
        <v>13</v>
      </c>
      <c r="O979" s="1" t="s">
        <v>3996</v>
      </c>
      <c r="P979" s="1" t="s">
        <v>13</v>
      </c>
      <c r="Q979" s="1" t="s">
        <v>30</v>
      </c>
      <c r="R979" s="1" t="s">
        <v>67</v>
      </c>
      <c r="S979" s="1" t="s">
        <v>4009</v>
      </c>
      <c r="T979" s="4">
        <v>0.5</v>
      </c>
    </row>
    <row r="980" spans="1:20">
      <c r="A980" s="1" t="s">
        <v>3981</v>
      </c>
      <c r="B980" s="1" t="s">
        <v>465</v>
      </c>
      <c r="C980" s="1" t="s">
        <v>3982</v>
      </c>
      <c r="D980" s="1" t="s">
        <v>603</v>
      </c>
      <c r="E980" s="2">
        <v>45863</v>
      </c>
      <c r="F980" s="2">
        <v>45863</v>
      </c>
      <c r="G980" s="1" t="s">
        <v>4008</v>
      </c>
      <c r="H980" s="3" t="s">
        <v>25</v>
      </c>
      <c r="I980" s="1" t="s">
        <v>3984</v>
      </c>
      <c r="J980" s="1" t="s">
        <v>12</v>
      </c>
      <c r="K980" s="3" t="s">
        <v>3995</v>
      </c>
      <c r="L980" s="1" t="s">
        <v>3987</v>
      </c>
      <c r="M980" s="1" t="s">
        <v>3996</v>
      </c>
      <c r="N980" s="1" t="s">
        <v>13</v>
      </c>
      <c r="O980" s="1" t="s">
        <v>3996</v>
      </c>
      <c r="P980" s="1" t="s">
        <v>13</v>
      </c>
      <c r="Q980" s="1" t="s">
        <v>30</v>
      </c>
      <c r="R980" s="1" t="s">
        <v>62</v>
      </c>
      <c r="S980" s="1" t="s">
        <v>4009</v>
      </c>
      <c r="T980" s="4">
        <v>2.5</v>
      </c>
    </row>
    <row r="981" spans="1:20">
      <c r="A981" s="1" t="s">
        <v>3981</v>
      </c>
      <c r="B981" s="1" t="s">
        <v>465</v>
      </c>
      <c r="C981" s="1" t="s">
        <v>3982</v>
      </c>
      <c r="D981" s="1" t="s">
        <v>603</v>
      </c>
      <c r="E981" s="2">
        <v>45863</v>
      </c>
      <c r="F981" s="2">
        <v>45863</v>
      </c>
      <c r="G981" s="1" t="s">
        <v>4008</v>
      </c>
      <c r="H981" s="3" t="s">
        <v>25</v>
      </c>
      <c r="I981" s="1" t="s">
        <v>3984</v>
      </c>
      <c r="J981" s="1" t="s">
        <v>12</v>
      </c>
      <c r="K981" s="3" t="s">
        <v>3995</v>
      </c>
      <c r="L981" s="1" t="s">
        <v>3987</v>
      </c>
      <c r="M981" s="1" t="s">
        <v>3996</v>
      </c>
      <c r="N981" s="1" t="s">
        <v>13</v>
      </c>
      <c r="O981" s="1" t="s">
        <v>3996</v>
      </c>
      <c r="P981" s="1" t="s">
        <v>13</v>
      </c>
      <c r="Q981" s="1" t="s">
        <v>30</v>
      </c>
      <c r="R981" s="1" t="s">
        <v>68</v>
      </c>
      <c r="S981" s="1" t="s">
        <v>4009</v>
      </c>
      <c r="T981" s="4">
        <v>1</v>
      </c>
    </row>
    <row r="982" spans="1:20">
      <c r="A982" s="1" t="s">
        <v>3981</v>
      </c>
      <c r="B982" s="1" t="s">
        <v>425</v>
      </c>
      <c r="C982" s="1" t="s">
        <v>4079</v>
      </c>
      <c r="D982" s="1" t="s">
        <v>827</v>
      </c>
      <c r="E982" s="2">
        <v>45667</v>
      </c>
      <c r="F982" s="2">
        <v>45660</v>
      </c>
      <c r="G982" s="1" t="s">
        <v>3983</v>
      </c>
      <c r="H982" s="3" t="s">
        <v>32</v>
      </c>
      <c r="I982" s="1" t="s">
        <v>3984</v>
      </c>
      <c r="J982" s="1" t="s">
        <v>3991</v>
      </c>
      <c r="K982" s="3" t="s">
        <v>3992</v>
      </c>
      <c r="L982" s="1" t="s">
        <v>3987</v>
      </c>
      <c r="M982" s="1" t="s">
        <v>13</v>
      </c>
      <c r="N982" s="1" t="s">
        <v>13</v>
      </c>
      <c r="O982" s="1" t="s">
        <v>3993</v>
      </c>
      <c r="P982" s="1" t="s">
        <v>13</v>
      </c>
      <c r="Q982" s="1" t="s">
        <v>13</v>
      </c>
      <c r="R982" s="1" t="s">
        <v>13</v>
      </c>
      <c r="S982" s="1" t="s">
        <v>3989</v>
      </c>
      <c r="T982" s="4">
        <v>18</v>
      </c>
    </row>
    <row r="983" spans="1:20">
      <c r="A983" s="1" t="s">
        <v>3981</v>
      </c>
      <c r="B983" s="1" t="s">
        <v>425</v>
      </c>
      <c r="C983" s="1" t="s">
        <v>4079</v>
      </c>
      <c r="D983" s="1" t="s">
        <v>827</v>
      </c>
      <c r="E983" s="2">
        <v>45667</v>
      </c>
      <c r="F983" s="2">
        <v>45660</v>
      </c>
      <c r="G983" s="1" t="s">
        <v>3990</v>
      </c>
      <c r="H983" s="3" t="s">
        <v>11</v>
      </c>
      <c r="I983" s="1" t="s">
        <v>3984</v>
      </c>
      <c r="J983" s="1" t="s">
        <v>3991</v>
      </c>
      <c r="K983" s="3" t="s">
        <v>3992</v>
      </c>
      <c r="L983" s="1" t="s">
        <v>3987</v>
      </c>
      <c r="M983" s="1" t="s">
        <v>13</v>
      </c>
      <c r="N983" s="1" t="s">
        <v>13</v>
      </c>
      <c r="O983" s="1" t="s">
        <v>3993</v>
      </c>
      <c r="P983" s="1" t="s">
        <v>13</v>
      </c>
      <c r="Q983" s="1" t="s">
        <v>13</v>
      </c>
      <c r="R983" s="1" t="s">
        <v>13</v>
      </c>
      <c r="S983" s="1" t="s">
        <v>3994</v>
      </c>
      <c r="T983" s="4">
        <v>18</v>
      </c>
    </row>
    <row r="984" spans="1:20">
      <c r="A984" s="1" t="s">
        <v>3981</v>
      </c>
      <c r="B984" s="1" t="s">
        <v>425</v>
      </c>
      <c r="C984" s="1" t="s">
        <v>4079</v>
      </c>
      <c r="D984" s="1" t="s">
        <v>827</v>
      </c>
      <c r="E984" s="2">
        <v>45667</v>
      </c>
      <c r="F984" s="2">
        <v>45660</v>
      </c>
      <c r="G984" s="1" t="s">
        <v>3997</v>
      </c>
      <c r="H984" s="3" t="s">
        <v>41</v>
      </c>
      <c r="I984" s="1" t="s">
        <v>3984</v>
      </c>
      <c r="J984" s="1" t="s">
        <v>3991</v>
      </c>
      <c r="K984" s="3" t="s">
        <v>3992</v>
      </c>
      <c r="L984" s="1" t="s">
        <v>3987</v>
      </c>
      <c r="M984" s="1" t="s">
        <v>13</v>
      </c>
      <c r="N984" s="1" t="s">
        <v>13</v>
      </c>
      <c r="O984" s="1" t="s">
        <v>3993</v>
      </c>
      <c r="P984" s="1" t="s">
        <v>13</v>
      </c>
      <c r="Q984" s="1" t="s">
        <v>13</v>
      </c>
      <c r="R984" s="1" t="s">
        <v>13</v>
      </c>
      <c r="S984" s="1" t="s">
        <v>3998</v>
      </c>
      <c r="T984" s="4">
        <v>18</v>
      </c>
    </row>
    <row r="985" spans="1:20">
      <c r="A985" s="1" t="s">
        <v>3981</v>
      </c>
      <c r="B985" s="1" t="s">
        <v>425</v>
      </c>
      <c r="C985" s="1" t="s">
        <v>4079</v>
      </c>
      <c r="D985" s="1" t="s">
        <v>827</v>
      </c>
      <c r="E985" s="2">
        <v>45667</v>
      </c>
      <c r="F985" s="2">
        <v>45660</v>
      </c>
      <c r="G985" s="1" t="s">
        <v>4005</v>
      </c>
      <c r="H985" s="3" t="s">
        <v>21</v>
      </c>
      <c r="I985" s="1" t="s">
        <v>3984</v>
      </c>
      <c r="J985" s="1" t="s">
        <v>22</v>
      </c>
      <c r="K985" s="3" t="s">
        <v>4006</v>
      </c>
      <c r="L985" s="1" t="s">
        <v>3987</v>
      </c>
      <c r="M985" s="1" t="s">
        <v>3996</v>
      </c>
      <c r="N985" s="1" t="s">
        <v>13</v>
      </c>
      <c r="O985" s="1" t="s">
        <v>3996</v>
      </c>
      <c r="P985" s="1" t="s">
        <v>13</v>
      </c>
      <c r="Q985" s="1" t="s">
        <v>14</v>
      </c>
      <c r="R985" s="1" t="s">
        <v>23</v>
      </c>
      <c r="S985" s="1" t="s">
        <v>4007</v>
      </c>
      <c r="T985" s="4">
        <v>2.2999999999999998</v>
      </c>
    </row>
    <row r="986" spans="1:20">
      <c r="A986" s="1" t="s">
        <v>3981</v>
      </c>
      <c r="B986" s="1" t="s">
        <v>425</v>
      </c>
      <c r="C986" s="1" t="s">
        <v>4079</v>
      </c>
      <c r="D986" s="1" t="s">
        <v>827</v>
      </c>
      <c r="E986" s="2">
        <v>45667</v>
      </c>
      <c r="F986" s="2">
        <v>45660</v>
      </c>
      <c r="G986" s="1" t="s">
        <v>4005</v>
      </c>
      <c r="H986" s="3" t="s">
        <v>21</v>
      </c>
      <c r="I986" s="1" t="s">
        <v>3984</v>
      </c>
      <c r="J986" s="1" t="s">
        <v>3991</v>
      </c>
      <c r="K986" s="3" t="s">
        <v>3992</v>
      </c>
      <c r="L986" s="1" t="s">
        <v>3987</v>
      </c>
      <c r="M986" s="1" t="s">
        <v>13</v>
      </c>
      <c r="N986" s="1" t="s">
        <v>13</v>
      </c>
      <c r="O986" s="1" t="s">
        <v>3993</v>
      </c>
      <c r="P986" s="1" t="s">
        <v>13</v>
      </c>
      <c r="Q986" s="1" t="s">
        <v>13</v>
      </c>
      <c r="R986" s="1" t="s">
        <v>13</v>
      </c>
      <c r="S986" s="1" t="s">
        <v>4007</v>
      </c>
      <c r="T986" s="4">
        <v>18</v>
      </c>
    </row>
    <row r="987" spans="1:20">
      <c r="A987" s="1" t="s">
        <v>3981</v>
      </c>
      <c r="B987" s="1" t="s">
        <v>425</v>
      </c>
      <c r="C987" s="1" t="s">
        <v>4079</v>
      </c>
      <c r="D987" s="1" t="s">
        <v>827</v>
      </c>
      <c r="E987" s="2">
        <v>45667</v>
      </c>
      <c r="F987" s="2">
        <v>45660</v>
      </c>
      <c r="G987" s="1" t="s">
        <v>4008</v>
      </c>
      <c r="H987" s="3" t="s">
        <v>25</v>
      </c>
      <c r="I987" s="1" t="s">
        <v>3984</v>
      </c>
      <c r="J987" s="1" t="s">
        <v>3991</v>
      </c>
      <c r="K987" s="3" t="s">
        <v>3992</v>
      </c>
      <c r="L987" s="1" t="s">
        <v>3987</v>
      </c>
      <c r="M987" s="1" t="s">
        <v>13</v>
      </c>
      <c r="N987" s="1" t="s">
        <v>13</v>
      </c>
      <c r="O987" s="1" t="s">
        <v>3993</v>
      </c>
      <c r="P987" s="1" t="s">
        <v>13</v>
      </c>
      <c r="Q987" s="1" t="s">
        <v>13</v>
      </c>
      <c r="R987" s="1" t="s">
        <v>13</v>
      </c>
      <c r="S987" s="1" t="s">
        <v>4009</v>
      </c>
      <c r="T987" s="4">
        <v>18</v>
      </c>
    </row>
  </sheetData>
  <autoFilter ref="A1:T987" xr:uid="{00000000-0001-0000-0000-000000000000}"/>
  <pageMargins left="0.75" right="0.75" top="1" bottom="1" header="0.5" footer="0.5"/>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EC03F-7CC5-4E96-B08E-9051AE1D293A}">
  <sheetPr codeName="Sheet8">
    <tabColor rgb="FFFF0000"/>
  </sheetPr>
  <dimension ref="A1:AN61"/>
  <sheetViews>
    <sheetView showGridLines="0" topLeftCell="A27" zoomScale="85" zoomScaleNormal="85" workbookViewId="0">
      <selection activeCell="B2" sqref="B2:B58"/>
    </sheetView>
  </sheetViews>
  <sheetFormatPr defaultColWidth="9.28515625" defaultRowHeight="20.25"/>
  <cols>
    <col min="1" max="1" width="14.42578125" style="19" customWidth="1"/>
    <col min="2" max="2" width="14.42578125" style="20" customWidth="1"/>
    <col min="3" max="3" width="1.5703125" style="21" customWidth="1"/>
    <col min="4" max="29" width="4.5703125" style="47" customWidth="1"/>
    <col min="30" max="30" width="1.5703125" style="21" customWidth="1"/>
    <col min="31" max="32" width="8.5703125" style="31" customWidth="1"/>
    <col min="33" max="39" width="8.7109375" style="21" customWidth="1"/>
    <col min="40" max="16384" width="9.28515625" style="21"/>
  </cols>
  <sheetData>
    <row r="1" spans="1:40" ht="33.75">
      <c r="A1" s="50" t="s">
        <v>141</v>
      </c>
      <c r="B1" s="51" t="s">
        <v>4080</v>
      </c>
      <c r="D1" s="58" t="s">
        <v>4081</v>
      </c>
      <c r="E1" s="58"/>
      <c r="F1" s="58"/>
      <c r="G1" s="58"/>
      <c r="H1" s="58"/>
      <c r="I1" s="58"/>
      <c r="J1" s="58"/>
      <c r="K1" s="58"/>
      <c r="L1" s="58"/>
      <c r="M1" s="58"/>
      <c r="N1" s="58"/>
      <c r="O1" s="58"/>
      <c r="P1" s="58"/>
      <c r="Q1" s="58"/>
      <c r="R1" s="58"/>
      <c r="S1" s="58"/>
      <c r="T1" s="58"/>
      <c r="U1" s="58"/>
      <c r="V1" s="58"/>
      <c r="W1" s="58"/>
      <c r="X1" s="58"/>
      <c r="Y1" s="58"/>
      <c r="Z1" s="58"/>
      <c r="AA1" s="58"/>
      <c r="AB1" s="58"/>
      <c r="AC1" s="58"/>
      <c r="AE1" s="22" t="s">
        <v>4082</v>
      </c>
      <c r="AF1" s="22" t="s">
        <v>4083</v>
      </c>
      <c r="AG1" s="23" t="s">
        <v>4084</v>
      </c>
      <c r="AH1" s="23" t="s">
        <v>4085</v>
      </c>
    </row>
    <row r="2" spans="1:40">
      <c r="A2" s="19">
        <v>44197</v>
      </c>
      <c r="B2" s="24">
        <v>145.18520000000001</v>
      </c>
      <c r="D2" s="59" t="s">
        <v>4086</v>
      </c>
      <c r="E2" s="59"/>
      <c r="F2" s="59"/>
      <c r="G2" s="59"/>
      <c r="H2" s="59"/>
      <c r="I2" s="59"/>
      <c r="J2" s="59"/>
      <c r="K2" s="59"/>
      <c r="L2" s="59"/>
      <c r="M2" s="59"/>
      <c r="N2" s="59"/>
      <c r="O2" s="59"/>
      <c r="P2" s="59"/>
      <c r="Q2" s="59"/>
      <c r="R2" s="59"/>
      <c r="S2" s="59"/>
      <c r="T2" s="59"/>
      <c r="U2" s="59"/>
      <c r="V2" s="59"/>
      <c r="W2" s="59"/>
      <c r="X2" s="59"/>
      <c r="Y2" s="59"/>
      <c r="Z2" s="59"/>
      <c r="AA2" s="59"/>
      <c r="AB2" s="59"/>
      <c r="AC2" s="59"/>
      <c r="AE2" s="25">
        <v>45655</v>
      </c>
      <c r="AF2" s="25">
        <v>46018</v>
      </c>
      <c r="AG2" s="26">
        <v>52</v>
      </c>
      <c r="AH2" s="26">
        <f ca="1">_xlfn.FLOOR.MATH((_xlfn.DAYS(TODAY(),AE2)+1)/7,1)</f>
        <v>30</v>
      </c>
      <c r="AI2" s="27">
        <f ca="1">SUMIFS($AM$6:$AM$57,$AI$6:$AI$57,"&lt;="&amp;AH2)</f>
        <v>0.58333333333333326</v>
      </c>
      <c r="AJ2" s="27">
        <f ca="1">SUMIFS($AN$6:$AN$57,$AJ$6:$AJ$57,INDEX($AJ$6:$AJ$57,MATCH(AH2,$AI$6:$AI$57,0)),$AK$6:$AK$57,"&lt;="&amp;TODAY())</f>
        <v>1</v>
      </c>
      <c r="AK2" s="27"/>
    </row>
    <row r="3" spans="1:40">
      <c r="A3" s="19">
        <v>44228</v>
      </c>
      <c r="B3" s="24">
        <v>149.06207999999998</v>
      </c>
      <c r="D3" s="28" t="s">
        <v>4087</v>
      </c>
      <c r="E3" s="28"/>
      <c r="F3" s="28"/>
      <c r="G3" s="28"/>
      <c r="H3" s="28"/>
      <c r="I3" s="28"/>
      <c r="J3" s="28"/>
      <c r="K3" s="28"/>
      <c r="L3" s="29"/>
      <c r="M3" s="28" t="s">
        <v>4088</v>
      </c>
      <c r="N3" s="28"/>
      <c r="O3" s="28"/>
      <c r="P3" s="28"/>
      <c r="Q3" s="28"/>
      <c r="R3" s="28"/>
      <c r="S3" s="28"/>
      <c r="T3" s="28"/>
      <c r="U3" s="29"/>
      <c r="V3" s="28" t="s">
        <v>4089</v>
      </c>
      <c r="W3" s="28"/>
      <c r="X3" s="28"/>
      <c r="Y3" s="28"/>
      <c r="Z3" s="28"/>
      <c r="AA3" s="28"/>
      <c r="AB3" s="28"/>
      <c r="AC3" s="28"/>
      <c r="AE3" s="30"/>
      <c r="AF3" s="30">
        <f>EOMONTH(AF2,-1)+1</f>
        <v>45992</v>
      </c>
      <c r="AG3" s="31">
        <f>INT((DAY(DATE(YEAR(AE2),MONTH(AE2+6)+1,1)-WEEKDAY(DATE(YEAR(AE2),MONTH(AE2+6)+1,2)))+6)/7)</f>
        <v>4</v>
      </c>
      <c r="AH3" s="31">
        <f ca="1">IF((TODAY()-$AE$2-NETWORKDAYS.INTL($AE$2,TODAY(),16)+1)&gt;AG2,AG2,(TODAY()-$AE$2-NETWORKDAYS.INTL($AE$2,TODAY(),16)+1))</f>
        <v>30</v>
      </c>
    </row>
    <row r="4" spans="1:40">
      <c r="A4" s="19">
        <v>44256</v>
      </c>
      <c r="B4" s="24">
        <v>181.38259999999997</v>
      </c>
      <c r="D4" s="32" t="s">
        <v>4090</v>
      </c>
      <c r="E4" s="32" t="s">
        <v>4091</v>
      </c>
      <c r="F4" s="32" t="s">
        <v>4092</v>
      </c>
      <c r="G4" s="32" t="s">
        <v>4093</v>
      </c>
      <c r="H4" s="32" t="s">
        <v>4092</v>
      </c>
      <c r="I4" s="32" t="s">
        <v>4094</v>
      </c>
      <c r="J4" s="32" t="s">
        <v>4090</v>
      </c>
      <c r="K4" s="33" t="s">
        <v>4095</v>
      </c>
      <c r="L4" s="22"/>
      <c r="M4" s="32" t="s">
        <v>4090</v>
      </c>
      <c r="N4" s="32" t="s">
        <v>4091</v>
      </c>
      <c r="O4" s="32" t="s">
        <v>4092</v>
      </c>
      <c r="P4" s="32" t="s">
        <v>4093</v>
      </c>
      <c r="Q4" s="32" t="s">
        <v>4092</v>
      </c>
      <c r="R4" s="32" t="s">
        <v>4094</v>
      </c>
      <c r="S4" s="32" t="s">
        <v>4090</v>
      </c>
      <c r="T4" s="33" t="s">
        <v>4095</v>
      </c>
      <c r="U4" s="22"/>
      <c r="V4" s="32" t="s">
        <v>4090</v>
      </c>
      <c r="W4" s="32" t="s">
        <v>4091</v>
      </c>
      <c r="X4" s="32" t="s">
        <v>4092</v>
      </c>
      <c r="Y4" s="32" t="s">
        <v>4093</v>
      </c>
      <c r="Z4" s="32" t="s">
        <v>4092</v>
      </c>
      <c r="AA4" s="32" t="s">
        <v>4094</v>
      </c>
      <c r="AB4" s="32" t="s">
        <v>4090</v>
      </c>
      <c r="AC4" s="33" t="s">
        <v>4095</v>
      </c>
      <c r="AG4" s="31"/>
      <c r="AH4" s="31"/>
      <c r="AM4" s="60" t="s">
        <v>4096</v>
      </c>
      <c r="AN4" s="60"/>
    </row>
    <row r="5" spans="1:40">
      <c r="A5" s="19">
        <v>44287</v>
      </c>
      <c r="B5" s="24">
        <v>146.21376000000001</v>
      </c>
      <c r="D5" s="34" t="s">
        <v>4097</v>
      </c>
      <c r="E5" s="35">
        <v>4</v>
      </c>
      <c r="F5" s="34" t="s">
        <v>4098</v>
      </c>
      <c r="G5" s="36"/>
      <c r="H5" s="35">
        <v>15</v>
      </c>
      <c r="I5" s="29"/>
      <c r="J5" s="29"/>
      <c r="K5" s="37">
        <v>121.23538230884557</v>
      </c>
      <c r="L5" s="29"/>
      <c r="M5" s="34" t="s">
        <v>4097</v>
      </c>
      <c r="N5" s="35">
        <v>4</v>
      </c>
      <c r="O5" s="34" t="s">
        <v>4098</v>
      </c>
      <c r="P5" s="36"/>
      <c r="Q5" s="35">
        <v>18</v>
      </c>
      <c r="R5" s="29"/>
      <c r="S5" s="29"/>
      <c r="T5" s="37">
        <v>145.84707646176912</v>
      </c>
      <c r="U5" s="29"/>
      <c r="V5" s="34" t="s">
        <v>4097</v>
      </c>
      <c r="W5" s="35">
        <v>5</v>
      </c>
      <c r="X5" s="34" t="s">
        <v>4098</v>
      </c>
      <c r="Y5" s="36"/>
      <c r="Z5" s="35">
        <v>22</v>
      </c>
      <c r="AA5" s="29"/>
      <c r="AB5" s="29"/>
      <c r="AC5" s="33">
        <v>178.66266866566716</v>
      </c>
      <c r="AE5" s="38"/>
      <c r="AF5" s="38"/>
      <c r="AG5" s="31"/>
      <c r="AH5" s="31"/>
      <c r="AM5" s="39" t="s">
        <v>4099</v>
      </c>
      <c r="AN5" s="39" t="s">
        <v>4100</v>
      </c>
    </row>
    <row r="6" spans="1:40">
      <c r="A6" s="19">
        <v>44317</v>
      </c>
      <c r="B6" s="24">
        <v>145.88936799999999</v>
      </c>
      <c r="D6" s="22"/>
      <c r="E6" s="22"/>
      <c r="F6" s="22"/>
      <c r="G6" s="22">
        <v>1</v>
      </c>
      <c r="H6" s="22">
        <v>2</v>
      </c>
      <c r="I6" s="40">
        <v>3</v>
      </c>
      <c r="J6" s="22">
        <v>4</v>
      </c>
      <c r="K6" s="33">
        <v>8.2038980509745123</v>
      </c>
      <c r="L6" s="22"/>
      <c r="M6" s="22"/>
      <c r="N6" s="22"/>
      <c r="O6" s="22"/>
      <c r="P6" s="22"/>
      <c r="Q6" s="22"/>
      <c r="R6" s="41"/>
      <c r="S6" s="22">
        <v>1</v>
      </c>
      <c r="T6" s="33">
        <v>32.815592203898049</v>
      </c>
      <c r="U6" s="22"/>
      <c r="V6" s="22"/>
      <c r="W6" s="22"/>
      <c r="X6" s="22"/>
      <c r="Y6" s="22"/>
      <c r="Z6" s="22"/>
      <c r="AA6" s="41"/>
      <c r="AB6" s="22">
        <v>1</v>
      </c>
      <c r="AC6" s="33">
        <v>32.815592203898049</v>
      </c>
      <c r="AE6" s="42">
        <f>K6/$K$5</f>
        <v>6.7669172932330823E-2</v>
      </c>
      <c r="AF6" s="42">
        <f>T6/$T$5</f>
        <v>0.22499999999999998</v>
      </c>
      <c r="AG6" s="42">
        <f>AC6/$AC$5</f>
        <v>0.18367346938775511</v>
      </c>
      <c r="AH6" s="31"/>
      <c r="AI6" s="43">
        <v>1</v>
      </c>
      <c r="AJ6" s="43">
        <v>4</v>
      </c>
      <c r="AK6" s="44">
        <v>45661</v>
      </c>
      <c r="AL6" s="45">
        <v>6.7669172932330796E-2</v>
      </c>
      <c r="AM6" s="45">
        <f>AL6/SUM(AL$6:AL$57)</f>
        <v>5.6390977443609002E-3</v>
      </c>
      <c r="AN6" s="45">
        <f>AL6/SUMIFS($AL$6:$AL$57,$AJ$6:$AJ$57,AJ6)</f>
        <v>6.7669172932330809E-2</v>
      </c>
    </row>
    <row r="7" spans="1:40">
      <c r="A7" s="19">
        <v>44348</v>
      </c>
      <c r="B7" s="24">
        <v>176.76397</v>
      </c>
      <c r="D7" s="22">
        <v>5</v>
      </c>
      <c r="E7" s="22">
        <v>6</v>
      </c>
      <c r="F7" s="22">
        <v>7</v>
      </c>
      <c r="G7" s="22">
        <v>8</v>
      </c>
      <c r="H7" s="22">
        <v>9</v>
      </c>
      <c r="I7" s="22">
        <v>10</v>
      </c>
      <c r="J7" s="22">
        <v>11</v>
      </c>
      <c r="K7" s="33">
        <v>40.107946026986504</v>
      </c>
      <c r="L7" s="22"/>
      <c r="M7" s="22">
        <v>2</v>
      </c>
      <c r="N7" s="22">
        <v>3</v>
      </c>
      <c r="O7" s="22">
        <v>4</v>
      </c>
      <c r="P7" s="22">
        <v>5</v>
      </c>
      <c r="Q7" s="22">
        <v>6</v>
      </c>
      <c r="R7" s="22">
        <v>7</v>
      </c>
      <c r="S7" s="22">
        <v>8</v>
      </c>
      <c r="T7" s="33">
        <v>40.107946026986504</v>
      </c>
      <c r="U7" s="22"/>
      <c r="V7" s="22">
        <v>2</v>
      </c>
      <c r="W7" s="22">
        <v>3</v>
      </c>
      <c r="X7" s="22">
        <v>4</v>
      </c>
      <c r="Y7" s="22">
        <v>5</v>
      </c>
      <c r="Z7" s="22">
        <v>6</v>
      </c>
      <c r="AA7" s="22">
        <v>7</v>
      </c>
      <c r="AB7" s="22">
        <v>8</v>
      </c>
      <c r="AC7" s="33">
        <v>40.107946026986504</v>
      </c>
      <c r="AE7" s="42">
        <f>K7/$K$5</f>
        <v>0.33082706766917291</v>
      </c>
      <c r="AF7" s="42">
        <f>T7/$T$5</f>
        <v>0.27499999999999997</v>
      </c>
      <c r="AG7" s="42">
        <f t="shared" ref="AG7:AG10" si="0">AC7/$AC$5</f>
        <v>0.22448979591836735</v>
      </c>
      <c r="AH7" s="31"/>
      <c r="AI7" s="43">
        <v>2</v>
      </c>
      <c r="AJ7" s="43">
        <v>4</v>
      </c>
      <c r="AK7" s="44">
        <f>AK6+7</f>
        <v>45668</v>
      </c>
      <c r="AL7" s="45">
        <v>0.33082706766917291</v>
      </c>
      <c r="AM7" s="45">
        <f>AL7/SUM(AL$6:AL$57)</f>
        <v>2.7568922305764413E-2</v>
      </c>
      <c r="AN7" s="45">
        <f t="shared" ref="AN7:AN57" si="1">AL7/SUMIFS($AL$6:$AL$57,$AJ$6:$AJ$57,AJ7)</f>
        <v>0.33082706766917297</v>
      </c>
    </row>
    <row r="8" spans="1:40">
      <c r="A8" s="19">
        <v>44378</v>
      </c>
      <c r="B8" s="24">
        <v>136.41874355999991</v>
      </c>
      <c r="D8" s="22">
        <v>12</v>
      </c>
      <c r="E8" s="22">
        <v>13</v>
      </c>
      <c r="F8" s="22">
        <v>14</v>
      </c>
      <c r="G8" s="22">
        <v>15</v>
      </c>
      <c r="H8" s="22">
        <v>16</v>
      </c>
      <c r="I8" s="40">
        <v>17</v>
      </c>
      <c r="J8" s="22">
        <v>18</v>
      </c>
      <c r="K8" s="33">
        <v>32.815592203898049</v>
      </c>
      <c r="L8" s="22"/>
      <c r="M8" s="22">
        <v>9</v>
      </c>
      <c r="N8" s="22">
        <v>10</v>
      </c>
      <c r="O8" s="22">
        <v>11</v>
      </c>
      <c r="P8" s="22">
        <v>12</v>
      </c>
      <c r="Q8" s="22">
        <v>13</v>
      </c>
      <c r="R8" s="40">
        <v>14</v>
      </c>
      <c r="S8" s="22">
        <v>15</v>
      </c>
      <c r="T8" s="33">
        <v>32.815592203898049</v>
      </c>
      <c r="U8" s="22"/>
      <c r="V8" s="22">
        <v>9</v>
      </c>
      <c r="W8" s="22">
        <v>10</v>
      </c>
      <c r="X8" s="22">
        <v>11</v>
      </c>
      <c r="Y8" s="22">
        <v>12</v>
      </c>
      <c r="Z8" s="22">
        <v>13</v>
      </c>
      <c r="AA8" s="40">
        <v>14</v>
      </c>
      <c r="AB8" s="22">
        <v>15</v>
      </c>
      <c r="AC8" s="33">
        <v>32.815592203898049</v>
      </c>
      <c r="AE8" s="42">
        <f>K8/$K$5</f>
        <v>0.27067669172932329</v>
      </c>
      <c r="AF8" s="42">
        <f>T8/$T$5</f>
        <v>0.22499999999999998</v>
      </c>
      <c r="AG8" s="42">
        <f t="shared" si="0"/>
        <v>0.18367346938775511</v>
      </c>
      <c r="AH8" s="31"/>
      <c r="AI8" s="43">
        <v>3</v>
      </c>
      <c r="AJ8" s="43">
        <v>4</v>
      </c>
      <c r="AK8" s="44">
        <f t="shared" ref="AK8:AK57" si="2">AK7+7</f>
        <v>45675</v>
      </c>
      <c r="AL8" s="45">
        <v>0.27067669172932329</v>
      </c>
      <c r="AM8" s="45">
        <f t="shared" ref="AM8:AM57" si="3">AL8/SUM(AL$6:AL$57)</f>
        <v>2.2556390977443611E-2</v>
      </c>
      <c r="AN8" s="45">
        <f t="shared" si="1"/>
        <v>0.27067669172932335</v>
      </c>
    </row>
    <row r="9" spans="1:40">
      <c r="A9" s="19">
        <v>44409</v>
      </c>
      <c r="B9" s="24">
        <v>143.95884000000001</v>
      </c>
      <c r="D9" s="22">
        <v>19</v>
      </c>
      <c r="E9" s="22">
        <v>20</v>
      </c>
      <c r="F9" s="22">
        <v>21</v>
      </c>
      <c r="G9" s="22">
        <v>22</v>
      </c>
      <c r="H9" s="22">
        <v>23</v>
      </c>
      <c r="I9" s="22">
        <v>24</v>
      </c>
      <c r="J9" s="22">
        <v>25</v>
      </c>
      <c r="K9" s="33">
        <v>40.107946026986504</v>
      </c>
      <c r="L9" s="22"/>
      <c r="M9" s="22">
        <v>16</v>
      </c>
      <c r="N9" s="22">
        <v>17</v>
      </c>
      <c r="O9" s="22">
        <v>18</v>
      </c>
      <c r="P9" s="22">
        <v>19</v>
      </c>
      <c r="Q9" s="22">
        <v>20</v>
      </c>
      <c r="R9" s="22">
        <v>21</v>
      </c>
      <c r="S9" s="22">
        <v>22</v>
      </c>
      <c r="T9" s="33">
        <v>40.107946026986504</v>
      </c>
      <c r="U9" s="22"/>
      <c r="V9" s="22">
        <v>16</v>
      </c>
      <c r="W9" s="22">
        <v>17</v>
      </c>
      <c r="X9" s="22">
        <v>18</v>
      </c>
      <c r="Y9" s="22">
        <v>19</v>
      </c>
      <c r="Z9" s="22">
        <v>20</v>
      </c>
      <c r="AA9" s="22">
        <v>21</v>
      </c>
      <c r="AB9" s="22">
        <v>22</v>
      </c>
      <c r="AC9" s="33">
        <v>40.107946026986504</v>
      </c>
      <c r="AE9" s="42">
        <f>K9/$K$5</f>
        <v>0.33082706766917291</v>
      </c>
      <c r="AF9" s="42">
        <f>T9/$T$5</f>
        <v>0.27499999999999997</v>
      </c>
      <c r="AG9" s="42">
        <f t="shared" si="0"/>
        <v>0.22448979591836735</v>
      </c>
      <c r="AH9" s="31"/>
      <c r="AI9" s="43">
        <v>4</v>
      </c>
      <c r="AJ9" s="43">
        <v>4</v>
      </c>
      <c r="AK9" s="44">
        <f t="shared" si="2"/>
        <v>45682</v>
      </c>
      <c r="AL9" s="45">
        <v>0.33082706766917291</v>
      </c>
      <c r="AM9" s="45">
        <f t="shared" si="3"/>
        <v>2.7568922305764413E-2</v>
      </c>
      <c r="AN9" s="45">
        <f t="shared" si="1"/>
        <v>0.33082706766917297</v>
      </c>
    </row>
    <row r="10" spans="1:40">
      <c r="A10" s="19">
        <v>44440</v>
      </c>
      <c r="B10" s="24">
        <v>169.17141700000002</v>
      </c>
      <c r="D10" s="22">
        <v>26</v>
      </c>
      <c r="E10" s="22">
        <v>27</v>
      </c>
      <c r="F10" s="22">
        <v>28</v>
      </c>
      <c r="G10" s="22">
        <v>29</v>
      </c>
      <c r="H10" s="22">
        <v>30</v>
      </c>
      <c r="I10" s="40">
        <v>31</v>
      </c>
      <c r="J10" s="22"/>
      <c r="K10" s="33"/>
      <c r="L10" s="22"/>
      <c r="M10" s="22">
        <v>23</v>
      </c>
      <c r="N10" s="22">
        <v>24</v>
      </c>
      <c r="O10" s="22">
        <v>25</v>
      </c>
      <c r="P10" s="22">
        <v>26</v>
      </c>
      <c r="Q10" s="22">
        <v>27</v>
      </c>
      <c r="R10" s="40">
        <v>28</v>
      </c>
      <c r="S10" s="22"/>
      <c r="T10" s="33"/>
      <c r="U10" s="22"/>
      <c r="V10" s="22">
        <v>23</v>
      </c>
      <c r="W10" s="22">
        <v>24</v>
      </c>
      <c r="X10" s="22">
        <v>25</v>
      </c>
      <c r="Y10" s="22">
        <v>26</v>
      </c>
      <c r="Z10" s="22">
        <v>27</v>
      </c>
      <c r="AA10" s="40">
        <v>28</v>
      </c>
      <c r="AB10" s="22">
        <v>29</v>
      </c>
      <c r="AC10" s="33">
        <v>32.815592203898049</v>
      </c>
      <c r="AE10" s="42"/>
      <c r="AF10" s="42"/>
      <c r="AG10" s="42">
        <f t="shared" si="0"/>
        <v>0.18367346938775511</v>
      </c>
      <c r="AH10" s="31"/>
      <c r="AI10" s="43">
        <v>5</v>
      </c>
      <c r="AJ10" s="43">
        <v>8</v>
      </c>
      <c r="AK10" s="44">
        <f t="shared" si="2"/>
        <v>45689</v>
      </c>
      <c r="AL10" s="45">
        <v>0.22499999999999998</v>
      </c>
      <c r="AM10" s="45">
        <f t="shared" si="3"/>
        <v>1.8749999999999999E-2</v>
      </c>
      <c r="AN10" s="45">
        <f t="shared" si="1"/>
        <v>0.22500000000000003</v>
      </c>
    </row>
    <row r="11" spans="1:40">
      <c r="A11" s="19">
        <v>44470</v>
      </c>
      <c r="B11" s="24">
        <v>146.97331199999999</v>
      </c>
      <c r="D11" s="22"/>
      <c r="E11" s="22"/>
      <c r="F11" s="22"/>
      <c r="G11" s="22"/>
      <c r="H11" s="22"/>
      <c r="I11" s="22"/>
      <c r="J11" s="22"/>
      <c r="K11" s="33"/>
      <c r="L11" s="22"/>
      <c r="M11" s="22"/>
      <c r="N11" s="22"/>
      <c r="O11" s="22"/>
      <c r="P11" s="22"/>
      <c r="Q11" s="22"/>
      <c r="R11" s="22"/>
      <c r="S11" s="22"/>
      <c r="T11" s="33"/>
      <c r="U11" s="22"/>
      <c r="V11" s="22">
        <v>30</v>
      </c>
      <c r="W11" s="22">
        <v>31</v>
      </c>
      <c r="X11" s="22"/>
      <c r="Y11" s="22"/>
      <c r="Z11" s="22"/>
      <c r="AA11" s="22"/>
      <c r="AB11" s="22"/>
      <c r="AC11" s="33"/>
      <c r="AE11" s="42"/>
      <c r="AF11" s="42"/>
      <c r="AG11" s="46"/>
      <c r="AI11" s="43">
        <v>6</v>
      </c>
      <c r="AJ11" s="43">
        <v>8</v>
      </c>
      <c r="AK11" s="44">
        <f t="shared" si="2"/>
        <v>45696</v>
      </c>
      <c r="AL11" s="45">
        <v>0.27499999999999997</v>
      </c>
      <c r="AM11" s="45">
        <f t="shared" si="3"/>
        <v>2.2916666666666669E-2</v>
      </c>
      <c r="AN11" s="45">
        <f t="shared" si="1"/>
        <v>0.27500000000000002</v>
      </c>
    </row>
    <row r="12" spans="1:40">
      <c r="A12" s="19">
        <v>44501</v>
      </c>
      <c r="B12" s="24">
        <v>138.65780000000001</v>
      </c>
      <c r="D12" s="29"/>
      <c r="E12" s="29"/>
      <c r="F12" s="29"/>
      <c r="G12" s="29"/>
      <c r="H12" s="29"/>
      <c r="I12" s="29"/>
      <c r="J12" s="29"/>
      <c r="K12" s="29"/>
      <c r="L12" s="29"/>
      <c r="M12" s="29"/>
      <c r="N12" s="29"/>
      <c r="O12" s="29"/>
      <c r="P12" s="29"/>
      <c r="Q12" s="29"/>
      <c r="R12" s="29"/>
      <c r="S12" s="29"/>
      <c r="T12" s="29"/>
      <c r="U12" s="29"/>
      <c r="V12" s="29"/>
      <c r="W12" s="29"/>
      <c r="X12" s="29"/>
      <c r="Y12" s="29"/>
      <c r="Z12" s="29"/>
      <c r="AA12" s="29"/>
      <c r="AB12" s="29"/>
      <c r="AC12" s="29"/>
      <c r="AE12" s="42"/>
      <c r="AF12" s="42"/>
      <c r="AG12" s="46"/>
      <c r="AI12" s="43">
        <v>7</v>
      </c>
      <c r="AJ12" s="43">
        <v>8</v>
      </c>
      <c r="AK12" s="44">
        <f t="shared" si="2"/>
        <v>45703</v>
      </c>
      <c r="AL12" s="45">
        <v>0.22499999999999998</v>
      </c>
      <c r="AM12" s="45">
        <f t="shared" si="3"/>
        <v>1.8749999999999999E-2</v>
      </c>
      <c r="AN12" s="45">
        <f t="shared" si="1"/>
        <v>0.22500000000000003</v>
      </c>
    </row>
    <row r="13" spans="1:40">
      <c r="A13" s="19">
        <v>44531</v>
      </c>
      <c r="B13" s="24">
        <v>144.41378</v>
      </c>
      <c r="D13" s="28" t="s">
        <v>4101</v>
      </c>
      <c r="E13" s="28"/>
      <c r="F13" s="28"/>
      <c r="G13" s="28"/>
      <c r="H13" s="28"/>
      <c r="I13" s="28"/>
      <c r="J13" s="28"/>
      <c r="K13" s="28"/>
      <c r="L13" s="29"/>
      <c r="M13" s="28" t="s">
        <v>4102</v>
      </c>
      <c r="N13" s="28"/>
      <c r="O13" s="28"/>
      <c r="P13" s="28"/>
      <c r="Q13" s="28"/>
      <c r="R13" s="28"/>
      <c r="S13" s="28"/>
      <c r="T13" s="28"/>
      <c r="U13" s="29"/>
      <c r="V13" s="28" t="s">
        <v>4103</v>
      </c>
      <c r="W13" s="28"/>
      <c r="X13" s="28"/>
      <c r="Y13" s="28"/>
      <c r="Z13" s="28"/>
      <c r="AA13" s="28"/>
      <c r="AB13" s="28"/>
      <c r="AC13" s="28"/>
      <c r="AE13" s="42"/>
      <c r="AF13" s="42"/>
      <c r="AG13" s="46"/>
      <c r="AI13" s="43">
        <v>8</v>
      </c>
      <c r="AJ13" s="43">
        <v>8</v>
      </c>
      <c r="AK13" s="44">
        <f t="shared" si="2"/>
        <v>45710</v>
      </c>
      <c r="AL13" s="45">
        <v>0.27499999999999997</v>
      </c>
      <c r="AM13" s="45">
        <f t="shared" si="3"/>
        <v>2.2916666666666669E-2</v>
      </c>
      <c r="AN13" s="45">
        <f t="shared" si="1"/>
        <v>0.27500000000000002</v>
      </c>
    </row>
    <row r="14" spans="1:40">
      <c r="A14" s="19">
        <v>44562</v>
      </c>
      <c r="B14" s="24">
        <v>145.89727999999999</v>
      </c>
      <c r="D14" s="32" t="s">
        <v>4090</v>
      </c>
      <c r="E14" s="32" t="s">
        <v>4091</v>
      </c>
      <c r="F14" s="32" t="s">
        <v>4092</v>
      </c>
      <c r="G14" s="32" t="s">
        <v>4093</v>
      </c>
      <c r="H14" s="32" t="s">
        <v>4092</v>
      </c>
      <c r="I14" s="32" t="s">
        <v>4094</v>
      </c>
      <c r="J14" s="32" t="s">
        <v>4090</v>
      </c>
      <c r="K14" s="33" t="s">
        <v>4095</v>
      </c>
      <c r="L14" s="22"/>
      <c r="M14" s="32" t="s">
        <v>4090</v>
      </c>
      <c r="N14" s="32" t="s">
        <v>4091</v>
      </c>
      <c r="O14" s="32" t="s">
        <v>4092</v>
      </c>
      <c r="P14" s="32" t="s">
        <v>4093</v>
      </c>
      <c r="Q14" s="32" t="s">
        <v>4092</v>
      </c>
      <c r="R14" s="32" t="s">
        <v>4094</v>
      </c>
      <c r="S14" s="32" t="s">
        <v>4090</v>
      </c>
      <c r="T14" s="33" t="s">
        <v>4095</v>
      </c>
      <c r="U14" s="22"/>
      <c r="V14" s="32" t="s">
        <v>4090</v>
      </c>
      <c r="W14" s="32" t="s">
        <v>4091</v>
      </c>
      <c r="X14" s="32" t="s">
        <v>4092</v>
      </c>
      <c r="Y14" s="32" t="s">
        <v>4093</v>
      </c>
      <c r="Z14" s="32" t="s">
        <v>4092</v>
      </c>
      <c r="AA14" s="32" t="s">
        <v>4094</v>
      </c>
      <c r="AB14" s="32" t="s">
        <v>4090</v>
      </c>
      <c r="AC14" s="33" t="s">
        <v>4095</v>
      </c>
      <c r="AE14" s="42"/>
      <c r="AF14" s="42"/>
      <c r="AG14" s="46"/>
      <c r="AI14" s="43">
        <v>9</v>
      </c>
      <c r="AJ14" s="43">
        <v>13</v>
      </c>
      <c r="AK14" s="44">
        <f t="shared" si="2"/>
        <v>45717</v>
      </c>
      <c r="AL14" s="45">
        <v>0.18367346938775511</v>
      </c>
      <c r="AM14" s="45">
        <f t="shared" si="3"/>
        <v>1.5306122448979595E-2</v>
      </c>
      <c r="AN14" s="45">
        <f t="shared" si="1"/>
        <v>0.18367346938775511</v>
      </c>
    </row>
    <row r="15" spans="1:40">
      <c r="A15" s="19">
        <v>44593</v>
      </c>
      <c r="B15" s="24">
        <v>149.06207999999998</v>
      </c>
      <c r="D15" s="34" t="s">
        <v>4097</v>
      </c>
      <c r="E15" s="35">
        <v>4</v>
      </c>
      <c r="F15" s="34" t="s">
        <v>4098</v>
      </c>
      <c r="G15" s="36"/>
      <c r="H15" s="35">
        <v>18</v>
      </c>
      <c r="I15" s="29"/>
      <c r="J15" s="29"/>
      <c r="K15" s="37">
        <v>145.84707646176912</v>
      </c>
      <c r="L15" s="29"/>
      <c r="M15" s="34" t="s">
        <v>4097</v>
      </c>
      <c r="N15" s="35">
        <v>4</v>
      </c>
      <c r="O15" s="34" t="s">
        <v>4098</v>
      </c>
      <c r="P15" s="36"/>
      <c r="Q15" s="35">
        <v>18</v>
      </c>
      <c r="R15" s="29"/>
      <c r="S15" s="29"/>
      <c r="T15" s="37">
        <v>145.84707646176912</v>
      </c>
      <c r="U15" s="29"/>
      <c r="V15" s="34" t="s">
        <v>4097</v>
      </c>
      <c r="W15" s="35">
        <v>5</v>
      </c>
      <c r="X15" s="34" t="s">
        <v>4098</v>
      </c>
      <c r="Y15" s="36"/>
      <c r="Z15" s="35">
        <v>22</v>
      </c>
      <c r="AA15" s="29"/>
      <c r="AB15" s="29"/>
      <c r="AC15" s="33">
        <v>177.7511244377811</v>
      </c>
      <c r="AE15" s="42"/>
      <c r="AF15" s="42"/>
      <c r="AG15" s="46"/>
      <c r="AI15" s="43">
        <v>10</v>
      </c>
      <c r="AJ15" s="43">
        <v>13</v>
      </c>
      <c r="AK15" s="44">
        <f t="shared" si="2"/>
        <v>45724</v>
      </c>
      <c r="AL15" s="45">
        <v>0.22448979591836735</v>
      </c>
      <c r="AM15" s="45">
        <f t="shared" si="3"/>
        <v>1.8707482993197282E-2</v>
      </c>
      <c r="AN15" s="45">
        <f t="shared" si="1"/>
        <v>0.22448979591836735</v>
      </c>
    </row>
    <row r="16" spans="1:40">
      <c r="A16" s="19">
        <v>44621</v>
      </c>
      <c r="B16" s="24">
        <v>181.38259999999997</v>
      </c>
      <c r="D16" s="22"/>
      <c r="E16" s="22"/>
      <c r="F16" s="22">
        <v>1</v>
      </c>
      <c r="G16" s="22">
        <v>2</v>
      </c>
      <c r="H16" s="22">
        <v>3</v>
      </c>
      <c r="I16" s="22">
        <v>4</v>
      </c>
      <c r="J16" s="22">
        <v>5</v>
      </c>
      <c r="K16" s="33">
        <v>40.107946026986504</v>
      </c>
      <c r="L16" s="22"/>
      <c r="M16" s="22"/>
      <c r="N16" s="22"/>
      <c r="O16" s="22"/>
      <c r="P16" s="22"/>
      <c r="Q16" s="22">
        <v>1</v>
      </c>
      <c r="R16" s="22">
        <v>2</v>
      </c>
      <c r="S16" s="22">
        <v>3</v>
      </c>
      <c r="T16" s="33">
        <v>40.107946026986504</v>
      </c>
      <c r="U16" s="22"/>
      <c r="V16" s="22"/>
      <c r="W16" s="22"/>
      <c r="X16" s="22"/>
      <c r="Y16" s="22"/>
      <c r="Z16" s="22"/>
      <c r="AA16" s="22"/>
      <c r="AB16" s="22"/>
      <c r="AC16" s="33">
        <v>31.904047976011991</v>
      </c>
      <c r="AE16" s="42">
        <f>K16/$K$15</f>
        <v>0.27499999999999997</v>
      </c>
      <c r="AF16" s="42">
        <f>T16/$T$15</f>
        <v>0.27499999999999997</v>
      </c>
      <c r="AG16" s="42">
        <f>AC16/$AC$15</f>
        <v>0.17948717948717949</v>
      </c>
      <c r="AH16" s="31"/>
      <c r="AI16" s="43">
        <v>11</v>
      </c>
      <c r="AJ16" s="43">
        <v>13</v>
      </c>
      <c r="AK16" s="44">
        <f t="shared" si="2"/>
        <v>45731</v>
      </c>
      <c r="AL16" s="45">
        <v>0.18367346938775511</v>
      </c>
      <c r="AM16" s="45">
        <f t="shared" si="3"/>
        <v>1.5306122448979595E-2</v>
      </c>
      <c r="AN16" s="45">
        <f t="shared" si="1"/>
        <v>0.18367346938775511</v>
      </c>
    </row>
    <row r="17" spans="1:40">
      <c r="A17" s="19">
        <v>44652</v>
      </c>
      <c r="B17" s="24">
        <v>146.21376000000001</v>
      </c>
      <c r="D17" s="22">
        <v>6</v>
      </c>
      <c r="E17" s="22">
        <v>7</v>
      </c>
      <c r="F17" s="22">
        <v>8</v>
      </c>
      <c r="G17" s="22">
        <v>9</v>
      </c>
      <c r="H17" s="22">
        <v>10</v>
      </c>
      <c r="I17" s="40">
        <v>11</v>
      </c>
      <c r="J17" s="22">
        <v>12</v>
      </c>
      <c r="K17" s="33">
        <v>32.815592203898049</v>
      </c>
      <c r="L17" s="22"/>
      <c r="M17" s="22">
        <v>4</v>
      </c>
      <c r="N17" s="22">
        <v>5</v>
      </c>
      <c r="O17" s="22">
        <v>6</v>
      </c>
      <c r="P17" s="22">
        <v>7</v>
      </c>
      <c r="Q17" s="22">
        <v>8</v>
      </c>
      <c r="R17" s="40">
        <v>9</v>
      </c>
      <c r="S17" s="22">
        <v>10</v>
      </c>
      <c r="T17" s="33">
        <v>32.815592203898049</v>
      </c>
      <c r="U17" s="22"/>
      <c r="V17" s="22">
        <v>1</v>
      </c>
      <c r="W17" s="22">
        <v>2</v>
      </c>
      <c r="X17" s="22">
        <v>3</v>
      </c>
      <c r="Y17" s="22">
        <v>4</v>
      </c>
      <c r="Z17" s="22">
        <v>5</v>
      </c>
      <c r="AA17" s="40">
        <v>6</v>
      </c>
      <c r="AB17" s="22">
        <v>7</v>
      </c>
      <c r="AC17" s="33">
        <v>32.815592203898049</v>
      </c>
      <c r="AE17" s="42">
        <f t="shared" ref="AE17:AE19" si="4">K17/$K$15</f>
        <v>0.22499999999999998</v>
      </c>
      <c r="AF17" s="42">
        <f t="shared" ref="AF17:AF19" si="5">T17/$T$15</f>
        <v>0.22499999999999998</v>
      </c>
      <c r="AG17" s="42">
        <f t="shared" ref="AG17:AG20" si="6">AC17/$AC$15</f>
        <v>0.18461538461538463</v>
      </c>
      <c r="AH17" s="31"/>
      <c r="AI17" s="43">
        <v>12</v>
      </c>
      <c r="AJ17" s="43">
        <v>13</v>
      </c>
      <c r="AK17" s="44">
        <f t="shared" si="2"/>
        <v>45738</v>
      </c>
      <c r="AL17" s="45">
        <v>0.22448979591836735</v>
      </c>
      <c r="AM17" s="45">
        <f t="shared" si="3"/>
        <v>1.8707482993197282E-2</v>
      </c>
      <c r="AN17" s="45">
        <f t="shared" si="1"/>
        <v>0.22448979591836735</v>
      </c>
    </row>
    <row r="18" spans="1:40">
      <c r="A18" s="19">
        <v>44682</v>
      </c>
      <c r="B18" s="24">
        <v>145.88936799999999</v>
      </c>
      <c r="D18" s="22">
        <v>13</v>
      </c>
      <c r="E18" s="22">
        <v>14</v>
      </c>
      <c r="F18" s="22">
        <v>15</v>
      </c>
      <c r="G18" s="22">
        <v>16</v>
      </c>
      <c r="H18" s="22">
        <v>17</v>
      </c>
      <c r="I18" s="22">
        <v>18</v>
      </c>
      <c r="J18" s="22">
        <v>19</v>
      </c>
      <c r="K18" s="33">
        <v>40.107946026986504</v>
      </c>
      <c r="L18" s="22"/>
      <c r="M18" s="22">
        <v>11</v>
      </c>
      <c r="N18" s="22">
        <v>12</v>
      </c>
      <c r="O18" s="22">
        <v>13</v>
      </c>
      <c r="P18" s="22">
        <v>14</v>
      </c>
      <c r="Q18" s="22">
        <v>15</v>
      </c>
      <c r="R18" s="22">
        <v>16</v>
      </c>
      <c r="S18" s="22">
        <v>17</v>
      </c>
      <c r="T18" s="33">
        <v>40.107946026986504</v>
      </c>
      <c r="U18" s="22"/>
      <c r="V18" s="22">
        <v>8</v>
      </c>
      <c r="W18" s="22">
        <v>9</v>
      </c>
      <c r="X18" s="22">
        <v>10</v>
      </c>
      <c r="Y18" s="22">
        <v>11</v>
      </c>
      <c r="Z18" s="22">
        <v>12</v>
      </c>
      <c r="AA18" s="22">
        <v>13</v>
      </c>
      <c r="AB18" s="22">
        <v>14</v>
      </c>
      <c r="AC18" s="33">
        <v>40.107946026986504</v>
      </c>
      <c r="AE18" s="42">
        <f t="shared" si="4"/>
        <v>0.27499999999999997</v>
      </c>
      <c r="AF18" s="42">
        <f t="shared" si="5"/>
        <v>0.27499999999999997</v>
      </c>
      <c r="AG18" s="42">
        <f t="shared" si="6"/>
        <v>0.22564102564102564</v>
      </c>
      <c r="AH18" s="31"/>
      <c r="AI18" s="43">
        <v>13</v>
      </c>
      <c r="AJ18" s="43">
        <v>13</v>
      </c>
      <c r="AK18" s="44">
        <f t="shared" si="2"/>
        <v>45745</v>
      </c>
      <c r="AL18" s="45">
        <v>0.18367346938775511</v>
      </c>
      <c r="AM18" s="45">
        <f t="shared" si="3"/>
        <v>1.5306122448979595E-2</v>
      </c>
      <c r="AN18" s="45">
        <f t="shared" si="1"/>
        <v>0.18367346938775511</v>
      </c>
    </row>
    <row r="19" spans="1:40">
      <c r="A19" s="19">
        <v>44713</v>
      </c>
      <c r="B19" s="24">
        <v>176.76397</v>
      </c>
      <c r="D19" s="22">
        <v>20</v>
      </c>
      <c r="E19" s="22">
        <v>21</v>
      </c>
      <c r="F19" s="22">
        <v>22</v>
      </c>
      <c r="G19" s="22">
        <v>23</v>
      </c>
      <c r="H19" s="22">
        <v>24</v>
      </c>
      <c r="I19" s="40">
        <v>25</v>
      </c>
      <c r="J19" s="22">
        <v>26</v>
      </c>
      <c r="K19" s="33">
        <v>32.815592203898049</v>
      </c>
      <c r="L19" s="22"/>
      <c r="M19" s="22">
        <v>18</v>
      </c>
      <c r="N19" s="22">
        <v>19</v>
      </c>
      <c r="O19" s="22">
        <v>20</v>
      </c>
      <c r="P19" s="22">
        <v>21</v>
      </c>
      <c r="Q19" s="22">
        <v>22</v>
      </c>
      <c r="R19" s="40">
        <v>23</v>
      </c>
      <c r="S19" s="22">
        <v>24</v>
      </c>
      <c r="T19" s="33">
        <v>32.815592203898049</v>
      </c>
      <c r="U19" s="22"/>
      <c r="V19" s="22">
        <v>15</v>
      </c>
      <c r="W19" s="22">
        <v>16</v>
      </c>
      <c r="X19" s="22">
        <v>17</v>
      </c>
      <c r="Y19" s="22">
        <v>18</v>
      </c>
      <c r="Z19" s="22">
        <v>19</v>
      </c>
      <c r="AA19" s="40">
        <v>20</v>
      </c>
      <c r="AB19" s="22">
        <v>21</v>
      </c>
      <c r="AC19" s="33">
        <v>32.815592203898049</v>
      </c>
      <c r="AE19" s="42">
        <f t="shared" si="4"/>
        <v>0.22499999999999998</v>
      </c>
      <c r="AF19" s="42">
        <f t="shared" si="5"/>
        <v>0.22499999999999998</v>
      </c>
      <c r="AG19" s="42">
        <f t="shared" si="6"/>
        <v>0.18461538461538463</v>
      </c>
      <c r="AH19" s="31"/>
      <c r="AI19" s="43">
        <v>14</v>
      </c>
      <c r="AJ19" s="43">
        <v>17</v>
      </c>
      <c r="AK19" s="44">
        <f t="shared" si="2"/>
        <v>45752</v>
      </c>
      <c r="AL19" s="45">
        <v>0.27499999999999997</v>
      </c>
      <c r="AM19" s="45">
        <f t="shared" si="3"/>
        <v>2.2916666666666669E-2</v>
      </c>
      <c r="AN19" s="45">
        <f t="shared" si="1"/>
        <v>0.27500000000000002</v>
      </c>
    </row>
    <row r="20" spans="1:40">
      <c r="A20" s="19">
        <v>44743</v>
      </c>
      <c r="B20" s="24">
        <v>135.40201200000001</v>
      </c>
      <c r="D20" s="22">
        <v>27</v>
      </c>
      <c r="E20" s="22">
        <v>28</v>
      </c>
      <c r="F20" s="22">
        <v>29</v>
      </c>
      <c r="G20" s="22">
        <v>30</v>
      </c>
      <c r="H20" s="22"/>
      <c r="I20" s="22"/>
      <c r="J20" s="22"/>
      <c r="K20" s="33"/>
      <c r="L20" s="22"/>
      <c r="M20" s="22">
        <v>25</v>
      </c>
      <c r="N20" s="22">
        <v>26</v>
      </c>
      <c r="O20" s="22">
        <v>27</v>
      </c>
      <c r="P20" s="22">
        <v>28</v>
      </c>
      <c r="Q20" s="22">
        <v>29</v>
      </c>
      <c r="R20" s="22">
        <v>30</v>
      </c>
      <c r="S20" s="22">
        <v>31</v>
      </c>
      <c r="T20" s="33"/>
      <c r="U20" s="22"/>
      <c r="V20" s="22">
        <v>22</v>
      </c>
      <c r="W20" s="22">
        <v>23</v>
      </c>
      <c r="X20" s="22">
        <v>24</v>
      </c>
      <c r="Y20" s="22">
        <v>25</v>
      </c>
      <c r="Z20" s="22">
        <v>26</v>
      </c>
      <c r="AA20" s="22">
        <v>27</v>
      </c>
      <c r="AB20" s="22">
        <v>28</v>
      </c>
      <c r="AC20" s="33">
        <v>40.107946026986504</v>
      </c>
      <c r="AE20" s="42"/>
      <c r="AF20" s="42"/>
      <c r="AG20" s="42">
        <f t="shared" si="6"/>
        <v>0.22564102564102564</v>
      </c>
      <c r="AH20" s="31"/>
      <c r="AI20" s="43">
        <v>15</v>
      </c>
      <c r="AJ20" s="43">
        <v>17</v>
      </c>
      <c r="AK20" s="44">
        <f t="shared" si="2"/>
        <v>45759</v>
      </c>
      <c r="AL20" s="45">
        <v>0.22499999999999998</v>
      </c>
      <c r="AM20" s="45">
        <f t="shared" si="3"/>
        <v>1.8749999999999999E-2</v>
      </c>
      <c r="AN20" s="45">
        <f t="shared" si="1"/>
        <v>0.22500000000000001</v>
      </c>
    </row>
    <row r="21" spans="1:40">
      <c r="A21" s="19">
        <v>44774</v>
      </c>
      <c r="B21" s="24">
        <v>143.95884000000001</v>
      </c>
      <c r="D21" s="22"/>
      <c r="E21" s="22"/>
      <c r="F21" s="22"/>
      <c r="G21" s="22"/>
      <c r="H21" s="22"/>
      <c r="I21" s="22"/>
      <c r="J21" s="22"/>
      <c r="K21" s="33"/>
      <c r="L21" s="22"/>
      <c r="M21" s="22"/>
      <c r="N21" s="22"/>
      <c r="O21" s="22"/>
      <c r="P21" s="22"/>
      <c r="Q21" s="22"/>
      <c r="R21" s="22"/>
      <c r="S21" s="22"/>
      <c r="T21" s="33"/>
      <c r="U21" s="22"/>
      <c r="V21" s="22">
        <v>29</v>
      </c>
      <c r="W21" s="22">
        <v>30</v>
      </c>
      <c r="X21" s="22"/>
      <c r="Y21" s="22"/>
      <c r="Z21" s="22"/>
      <c r="AA21" s="22"/>
      <c r="AB21" s="22"/>
      <c r="AC21" s="33"/>
      <c r="AE21" s="42"/>
      <c r="AF21" s="42"/>
      <c r="AG21" s="46"/>
      <c r="AI21" s="43">
        <v>16</v>
      </c>
      <c r="AJ21" s="43">
        <v>17</v>
      </c>
      <c r="AK21" s="44">
        <f t="shared" si="2"/>
        <v>45766</v>
      </c>
      <c r="AL21" s="45">
        <v>0.27499999999999997</v>
      </c>
      <c r="AM21" s="45">
        <f t="shared" si="3"/>
        <v>2.2916666666666669E-2</v>
      </c>
      <c r="AN21" s="45">
        <f t="shared" si="1"/>
        <v>0.27500000000000002</v>
      </c>
    </row>
    <row r="22" spans="1:40">
      <c r="A22" s="19">
        <v>44805</v>
      </c>
      <c r="B22" s="24">
        <v>169.17141700000002</v>
      </c>
      <c r="D22" s="29"/>
      <c r="E22" s="29"/>
      <c r="F22" s="29"/>
      <c r="G22" s="29"/>
      <c r="H22" s="29"/>
      <c r="I22" s="29"/>
      <c r="J22" s="29"/>
      <c r="K22" s="29"/>
      <c r="L22" s="29"/>
      <c r="M22" s="29"/>
      <c r="N22" s="29"/>
      <c r="O22" s="29"/>
      <c r="P22" s="29"/>
      <c r="Q22" s="29"/>
      <c r="R22" s="29"/>
      <c r="S22" s="29"/>
      <c r="T22" s="29"/>
      <c r="U22" s="29"/>
      <c r="V22" s="29"/>
      <c r="W22" s="29"/>
      <c r="X22" s="29"/>
      <c r="Y22" s="29"/>
      <c r="Z22" s="29"/>
      <c r="AA22" s="29"/>
      <c r="AB22" s="29"/>
      <c r="AC22" s="29"/>
      <c r="AE22" s="42"/>
      <c r="AF22" s="42"/>
      <c r="AG22" s="46"/>
      <c r="AI22" s="43">
        <v>17</v>
      </c>
      <c r="AJ22" s="43">
        <v>17</v>
      </c>
      <c r="AK22" s="44">
        <f t="shared" si="2"/>
        <v>45773</v>
      </c>
      <c r="AL22" s="45">
        <v>0.22499999999999998</v>
      </c>
      <c r="AM22" s="45">
        <f t="shared" si="3"/>
        <v>1.8749999999999999E-2</v>
      </c>
      <c r="AN22" s="45">
        <f t="shared" si="1"/>
        <v>0.22500000000000001</v>
      </c>
    </row>
    <row r="23" spans="1:40">
      <c r="A23" s="19">
        <v>44835</v>
      </c>
      <c r="B23" s="24">
        <v>146.97331199999999</v>
      </c>
      <c r="D23" s="28" t="s">
        <v>4104</v>
      </c>
      <c r="E23" s="28"/>
      <c r="F23" s="28"/>
      <c r="G23" s="28"/>
      <c r="H23" s="28"/>
      <c r="I23" s="28"/>
      <c r="J23" s="28"/>
      <c r="K23" s="28"/>
      <c r="L23" s="29"/>
      <c r="M23" s="28" t="s">
        <v>4105</v>
      </c>
      <c r="N23" s="28"/>
      <c r="O23" s="28"/>
      <c r="P23" s="28"/>
      <c r="Q23" s="28"/>
      <c r="R23" s="28"/>
      <c r="S23" s="28"/>
      <c r="T23" s="28"/>
      <c r="U23" s="29"/>
      <c r="V23" s="28" t="s">
        <v>4106</v>
      </c>
      <c r="W23" s="28"/>
      <c r="X23" s="28"/>
      <c r="Y23" s="28"/>
      <c r="Z23" s="28"/>
      <c r="AA23" s="28"/>
      <c r="AB23" s="28"/>
      <c r="AC23" s="28"/>
      <c r="AE23" s="42"/>
      <c r="AF23" s="42"/>
      <c r="AG23" s="46"/>
      <c r="AI23" s="43">
        <v>18</v>
      </c>
      <c r="AJ23" s="43">
        <v>21</v>
      </c>
      <c r="AK23" s="44">
        <f t="shared" si="2"/>
        <v>45780</v>
      </c>
      <c r="AL23" s="45">
        <v>0.27499999999999997</v>
      </c>
      <c r="AM23" s="45">
        <f t="shared" si="3"/>
        <v>2.2916666666666669E-2</v>
      </c>
      <c r="AN23" s="45">
        <f t="shared" si="1"/>
        <v>0.27500000000000002</v>
      </c>
    </row>
    <row r="24" spans="1:40">
      <c r="A24" s="19">
        <v>44866</v>
      </c>
      <c r="B24" s="24">
        <v>141.114476</v>
      </c>
      <c r="D24" s="32" t="s">
        <v>4090</v>
      </c>
      <c r="E24" s="32" t="s">
        <v>4091</v>
      </c>
      <c r="F24" s="32" t="s">
        <v>4092</v>
      </c>
      <c r="G24" s="32" t="s">
        <v>4093</v>
      </c>
      <c r="H24" s="32" t="s">
        <v>4092</v>
      </c>
      <c r="I24" s="32" t="s">
        <v>4094</v>
      </c>
      <c r="J24" s="32" t="s">
        <v>4090</v>
      </c>
      <c r="K24" s="33" t="s">
        <v>4095</v>
      </c>
      <c r="L24" s="22"/>
      <c r="M24" s="32" t="s">
        <v>4090</v>
      </c>
      <c r="N24" s="32" t="s">
        <v>4091</v>
      </c>
      <c r="O24" s="32" t="s">
        <v>4092</v>
      </c>
      <c r="P24" s="32" t="s">
        <v>4093</v>
      </c>
      <c r="Q24" s="32" t="s">
        <v>4092</v>
      </c>
      <c r="R24" s="32" t="s">
        <v>4094</v>
      </c>
      <c r="S24" s="32" t="s">
        <v>4090</v>
      </c>
      <c r="T24" s="33" t="s">
        <v>4095</v>
      </c>
      <c r="U24" s="22"/>
      <c r="V24" s="32" t="s">
        <v>4090</v>
      </c>
      <c r="W24" s="32" t="s">
        <v>4091</v>
      </c>
      <c r="X24" s="32" t="s">
        <v>4092</v>
      </c>
      <c r="Y24" s="32" t="s">
        <v>4093</v>
      </c>
      <c r="Z24" s="32" t="s">
        <v>4092</v>
      </c>
      <c r="AA24" s="32" t="s">
        <v>4094</v>
      </c>
      <c r="AB24" s="32" t="s">
        <v>4090</v>
      </c>
      <c r="AC24" s="33" t="s">
        <v>4095</v>
      </c>
      <c r="AE24" s="42"/>
      <c r="AF24" s="42"/>
      <c r="AG24" s="46"/>
      <c r="AI24" s="43">
        <v>19</v>
      </c>
      <c r="AJ24" s="43">
        <v>21</v>
      </c>
      <c r="AK24" s="44">
        <f t="shared" si="2"/>
        <v>45787</v>
      </c>
      <c r="AL24" s="45">
        <v>0.22499999999999998</v>
      </c>
      <c r="AM24" s="45">
        <f t="shared" si="3"/>
        <v>1.8749999999999999E-2</v>
      </c>
      <c r="AN24" s="45">
        <f t="shared" si="1"/>
        <v>0.22500000000000001</v>
      </c>
    </row>
    <row r="25" spans="1:40">
      <c r="A25" s="19">
        <v>44896</v>
      </c>
      <c r="B25" s="24">
        <v>139.19185999999999</v>
      </c>
      <c r="D25" s="34" t="s">
        <v>4097</v>
      </c>
      <c r="E25" s="35">
        <v>4</v>
      </c>
      <c r="F25" s="34" t="s">
        <v>4098</v>
      </c>
      <c r="G25" s="36"/>
      <c r="H25" s="35">
        <v>18</v>
      </c>
      <c r="I25" s="29"/>
      <c r="J25" s="29"/>
      <c r="K25" s="37">
        <v>145.84707646176912</v>
      </c>
      <c r="L25" s="29"/>
      <c r="M25" s="34" t="s">
        <v>4097</v>
      </c>
      <c r="N25" s="35">
        <v>4</v>
      </c>
      <c r="O25" s="34" t="s">
        <v>4098</v>
      </c>
      <c r="P25" s="36"/>
      <c r="Q25" s="35">
        <v>18</v>
      </c>
      <c r="R25" s="29"/>
      <c r="S25" s="29"/>
      <c r="T25" s="37">
        <v>145.84707646176912</v>
      </c>
      <c r="U25" s="29"/>
      <c r="V25" s="34" t="s">
        <v>4097</v>
      </c>
      <c r="W25" s="35">
        <v>5</v>
      </c>
      <c r="X25" s="34" t="s">
        <v>4098</v>
      </c>
      <c r="Y25" s="36"/>
      <c r="Z25" s="35">
        <v>21</v>
      </c>
      <c r="AA25" s="29"/>
      <c r="AB25" s="29"/>
      <c r="AC25" s="33">
        <v>170.45877061469264</v>
      </c>
      <c r="AE25" s="42"/>
      <c r="AF25" s="42"/>
      <c r="AG25" s="46"/>
      <c r="AI25" s="43">
        <v>20</v>
      </c>
      <c r="AJ25" s="43">
        <v>21</v>
      </c>
      <c r="AK25" s="44">
        <f t="shared" si="2"/>
        <v>45794</v>
      </c>
      <c r="AL25" s="45">
        <v>0.27499999999999997</v>
      </c>
      <c r="AM25" s="45">
        <f t="shared" si="3"/>
        <v>2.2916666666666669E-2</v>
      </c>
      <c r="AN25" s="45">
        <f t="shared" si="1"/>
        <v>0.27500000000000002</v>
      </c>
    </row>
    <row r="26" spans="1:40">
      <c r="A26" s="19">
        <v>44927</v>
      </c>
      <c r="B26" s="24">
        <v>138.59845999999999</v>
      </c>
      <c r="D26" s="22"/>
      <c r="E26" s="22"/>
      <c r="F26" s="22">
        <v>1</v>
      </c>
      <c r="G26" s="22">
        <v>2</v>
      </c>
      <c r="H26" s="22">
        <v>3</v>
      </c>
      <c r="I26" s="40">
        <v>4</v>
      </c>
      <c r="J26" s="22">
        <v>5</v>
      </c>
      <c r="K26" s="33">
        <v>32.815592203898049</v>
      </c>
      <c r="L26" s="22"/>
      <c r="M26" s="22"/>
      <c r="N26" s="22"/>
      <c r="O26" s="22"/>
      <c r="P26" s="22"/>
      <c r="Q26" s="22"/>
      <c r="R26" s="40">
        <v>1</v>
      </c>
      <c r="S26" s="22">
        <v>2</v>
      </c>
      <c r="T26" s="33">
        <v>32.815592203898049</v>
      </c>
      <c r="U26" s="22"/>
      <c r="V26" s="22"/>
      <c r="W26" s="22"/>
      <c r="X26" s="22"/>
      <c r="Y26" s="22"/>
      <c r="Z26" s="22"/>
      <c r="AA26" s="22"/>
      <c r="AB26" s="22"/>
      <c r="AC26" s="33">
        <v>32.815592203898049</v>
      </c>
      <c r="AE26" s="42">
        <f>K26/$K$25</f>
        <v>0.22499999999999998</v>
      </c>
      <c r="AF26" s="42">
        <f>T26/$T$25</f>
        <v>0.22499999999999998</v>
      </c>
      <c r="AG26" s="42">
        <f>AC26/$AC$25</f>
        <v>0.19251336898395721</v>
      </c>
      <c r="AH26" s="31"/>
      <c r="AI26" s="43">
        <v>21</v>
      </c>
      <c r="AJ26" s="43">
        <v>21</v>
      </c>
      <c r="AK26" s="44">
        <f t="shared" si="2"/>
        <v>45801</v>
      </c>
      <c r="AL26" s="45">
        <v>0.22499999999999998</v>
      </c>
      <c r="AM26" s="45">
        <f t="shared" si="3"/>
        <v>1.8749999999999999E-2</v>
      </c>
      <c r="AN26" s="45">
        <f t="shared" si="1"/>
        <v>0.22500000000000001</v>
      </c>
    </row>
    <row r="27" spans="1:40">
      <c r="A27" s="19">
        <v>44958</v>
      </c>
      <c r="B27" s="24">
        <v>149.06207999999998</v>
      </c>
      <c r="D27" s="22">
        <v>6</v>
      </c>
      <c r="E27" s="22">
        <v>7</v>
      </c>
      <c r="F27" s="22">
        <v>8</v>
      </c>
      <c r="G27" s="22">
        <v>9</v>
      </c>
      <c r="H27" s="22">
        <v>10</v>
      </c>
      <c r="I27" s="22">
        <v>11</v>
      </c>
      <c r="J27" s="22">
        <v>12</v>
      </c>
      <c r="K27" s="33">
        <v>40.107946026986504</v>
      </c>
      <c r="L27" s="22"/>
      <c r="M27" s="22">
        <v>3</v>
      </c>
      <c r="N27" s="22">
        <v>4</v>
      </c>
      <c r="O27" s="22">
        <v>5</v>
      </c>
      <c r="P27" s="22">
        <v>6</v>
      </c>
      <c r="Q27" s="22">
        <v>7</v>
      </c>
      <c r="R27" s="22">
        <v>8</v>
      </c>
      <c r="S27" s="22">
        <v>9</v>
      </c>
      <c r="T27" s="33">
        <v>40.107946026986504</v>
      </c>
      <c r="U27" s="22"/>
      <c r="V27" s="22"/>
      <c r="W27" s="22">
        <v>1</v>
      </c>
      <c r="X27" s="22">
        <v>2</v>
      </c>
      <c r="Y27" s="22">
        <v>3</v>
      </c>
      <c r="Z27" s="22">
        <v>4</v>
      </c>
      <c r="AA27" s="22">
        <v>5</v>
      </c>
      <c r="AB27" s="22">
        <v>6</v>
      </c>
      <c r="AC27" s="33">
        <v>31.904047976011991</v>
      </c>
      <c r="AE27" s="42">
        <f t="shared" ref="AE27:AE29" si="7">K27/$K$25</f>
        <v>0.27499999999999997</v>
      </c>
      <c r="AF27" s="42">
        <f t="shared" ref="AF27:AF29" si="8">T27/$T$25</f>
        <v>0.27499999999999997</v>
      </c>
      <c r="AG27" s="42">
        <f t="shared" ref="AG27:AG30" si="9">AC27/$AC$25</f>
        <v>0.18716577540106952</v>
      </c>
      <c r="AH27" s="31"/>
      <c r="AI27" s="43">
        <v>22</v>
      </c>
      <c r="AJ27" s="43">
        <v>26</v>
      </c>
      <c r="AK27" s="44">
        <f t="shared" si="2"/>
        <v>45808</v>
      </c>
      <c r="AL27" s="45">
        <v>0.17948717948717949</v>
      </c>
      <c r="AM27" s="45">
        <f>AL27/SUM(AL$6:AL$57)</f>
        <v>1.495726495726496E-2</v>
      </c>
      <c r="AN27" s="45">
        <f t="shared" si="1"/>
        <v>0.17948717948717949</v>
      </c>
    </row>
    <row r="28" spans="1:40">
      <c r="A28" s="19">
        <v>44986</v>
      </c>
      <c r="B28" s="24">
        <v>181.38259999999997</v>
      </c>
      <c r="D28" s="22">
        <v>13</v>
      </c>
      <c r="E28" s="22">
        <v>14</v>
      </c>
      <c r="F28" s="22">
        <v>15</v>
      </c>
      <c r="G28" s="22">
        <v>16</v>
      </c>
      <c r="H28" s="22">
        <v>17</v>
      </c>
      <c r="I28" s="40">
        <v>18</v>
      </c>
      <c r="J28" s="22">
        <v>19</v>
      </c>
      <c r="K28" s="33">
        <v>32.815592203898049</v>
      </c>
      <c r="L28" s="22"/>
      <c r="M28" s="22">
        <v>10</v>
      </c>
      <c r="N28" s="22">
        <v>11</v>
      </c>
      <c r="O28" s="22">
        <v>12</v>
      </c>
      <c r="P28" s="22">
        <v>13</v>
      </c>
      <c r="Q28" s="22">
        <v>14</v>
      </c>
      <c r="R28" s="40">
        <v>15</v>
      </c>
      <c r="S28" s="22">
        <v>16</v>
      </c>
      <c r="T28" s="33">
        <v>32.815592203898049</v>
      </c>
      <c r="U28" s="22"/>
      <c r="V28" s="22">
        <v>7</v>
      </c>
      <c r="W28" s="22">
        <v>8</v>
      </c>
      <c r="X28" s="22">
        <v>9</v>
      </c>
      <c r="Y28" s="22">
        <v>10</v>
      </c>
      <c r="Z28" s="22">
        <v>11</v>
      </c>
      <c r="AA28" s="40">
        <v>12</v>
      </c>
      <c r="AB28" s="22">
        <v>13</v>
      </c>
      <c r="AC28" s="33">
        <v>32.815592203898049</v>
      </c>
      <c r="AE28" s="42">
        <f t="shared" si="7"/>
        <v>0.22499999999999998</v>
      </c>
      <c r="AF28" s="42">
        <f t="shared" si="8"/>
        <v>0.22499999999999998</v>
      </c>
      <c r="AG28" s="42">
        <f t="shared" si="9"/>
        <v>0.19251336898395721</v>
      </c>
      <c r="AH28" s="31"/>
      <c r="AI28" s="43">
        <v>23</v>
      </c>
      <c r="AJ28" s="43">
        <v>26</v>
      </c>
      <c r="AK28" s="44">
        <f t="shared" si="2"/>
        <v>45815</v>
      </c>
      <c r="AL28" s="45">
        <v>0.18461538461538463</v>
      </c>
      <c r="AM28" s="45">
        <f t="shared" si="3"/>
        <v>1.5384615384615387E-2</v>
      </c>
      <c r="AN28" s="45">
        <f t="shared" si="1"/>
        <v>0.18461538461538463</v>
      </c>
    </row>
    <row r="29" spans="1:40">
      <c r="A29" s="19">
        <v>45017</v>
      </c>
      <c r="B29" s="24">
        <v>146.21376000000001</v>
      </c>
      <c r="D29" s="22">
        <v>20</v>
      </c>
      <c r="E29" s="22">
        <v>21</v>
      </c>
      <c r="F29" s="22">
        <v>22</v>
      </c>
      <c r="G29" s="22">
        <v>23</v>
      </c>
      <c r="H29" s="22">
        <v>24</v>
      </c>
      <c r="I29" s="22">
        <v>25</v>
      </c>
      <c r="J29" s="22">
        <v>26</v>
      </c>
      <c r="K29" s="33">
        <v>40.107946026986504</v>
      </c>
      <c r="L29" s="22"/>
      <c r="M29" s="22">
        <v>17</v>
      </c>
      <c r="N29" s="22">
        <v>18</v>
      </c>
      <c r="O29" s="22">
        <v>19</v>
      </c>
      <c r="P29" s="22">
        <v>20</v>
      </c>
      <c r="Q29" s="22">
        <v>21</v>
      </c>
      <c r="R29" s="22">
        <v>22</v>
      </c>
      <c r="S29" s="22">
        <v>23</v>
      </c>
      <c r="T29" s="33">
        <v>40.107946026986504</v>
      </c>
      <c r="U29" s="22"/>
      <c r="V29" s="22">
        <v>14</v>
      </c>
      <c r="W29" s="22">
        <v>15</v>
      </c>
      <c r="X29" s="22">
        <v>16</v>
      </c>
      <c r="Y29" s="22">
        <v>17</v>
      </c>
      <c r="Z29" s="22">
        <v>18</v>
      </c>
      <c r="AA29" s="22">
        <v>19</v>
      </c>
      <c r="AB29" s="22">
        <v>20</v>
      </c>
      <c r="AC29" s="33">
        <v>40.107946026986504</v>
      </c>
      <c r="AE29" s="42">
        <f t="shared" si="7"/>
        <v>0.27499999999999997</v>
      </c>
      <c r="AF29" s="42">
        <f t="shared" si="8"/>
        <v>0.27499999999999997</v>
      </c>
      <c r="AG29" s="42">
        <f t="shared" si="9"/>
        <v>0.23529411764705882</v>
      </c>
      <c r="AH29" s="31"/>
      <c r="AI29" s="43">
        <v>24</v>
      </c>
      <c r="AJ29" s="43">
        <v>26</v>
      </c>
      <c r="AK29" s="44">
        <f t="shared" si="2"/>
        <v>45822</v>
      </c>
      <c r="AL29" s="45">
        <v>0.22564102564102564</v>
      </c>
      <c r="AM29" s="45">
        <f t="shared" si="3"/>
        <v>1.8803418803418806E-2</v>
      </c>
      <c r="AN29" s="45">
        <f t="shared" si="1"/>
        <v>0.22564102564102564</v>
      </c>
    </row>
    <row r="30" spans="1:40">
      <c r="A30" s="19">
        <v>45047</v>
      </c>
      <c r="B30" s="24">
        <v>145.88936799999999</v>
      </c>
      <c r="D30" s="22">
        <v>27</v>
      </c>
      <c r="E30" s="22">
        <v>28</v>
      </c>
      <c r="F30" s="22">
        <v>29</v>
      </c>
      <c r="G30" s="22">
        <v>30</v>
      </c>
      <c r="H30" s="22">
        <v>31</v>
      </c>
      <c r="I30" s="22"/>
      <c r="J30" s="22"/>
      <c r="K30" s="33"/>
      <c r="L30" s="22"/>
      <c r="M30" s="22">
        <v>24</v>
      </c>
      <c r="N30" s="22">
        <v>25</v>
      </c>
      <c r="O30" s="22">
        <v>26</v>
      </c>
      <c r="P30" s="22">
        <v>27</v>
      </c>
      <c r="Q30" s="22">
        <v>28</v>
      </c>
      <c r="R30" s="40">
        <v>29</v>
      </c>
      <c r="S30" s="22">
        <v>30</v>
      </c>
      <c r="T30" s="33"/>
      <c r="U30" s="22"/>
      <c r="V30" s="22">
        <v>21</v>
      </c>
      <c r="W30" s="22">
        <v>22</v>
      </c>
      <c r="X30" s="22">
        <v>23</v>
      </c>
      <c r="Y30" s="22">
        <v>24</v>
      </c>
      <c r="Z30" s="22">
        <v>25</v>
      </c>
      <c r="AA30" s="40">
        <v>26</v>
      </c>
      <c r="AB30" s="22">
        <v>27</v>
      </c>
      <c r="AC30" s="33">
        <v>32.815592203898049</v>
      </c>
      <c r="AE30" s="42"/>
      <c r="AF30" s="42"/>
      <c r="AG30" s="42">
        <f t="shared" si="9"/>
        <v>0.19251336898395721</v>
      </c>
      <c r="AH30" s="31"/>
      <c r="AI30" s="43">
        <v>25</v>
      </c>
      <c r="AJ30" s="43">
        <v>26</v>
      </c>
      <c r="AK30" s="44">
        <f t="shared" si="2"/>
        <v>45829</v>
      </c>
      <c r="AL30" s="45">
        <v>0.18461538461538463</v>
      </c>
      <c r="AM30" s="45">
        <f t="shared" si="3"/>
        <v>1.5384615384615387E-2</v>
      </c>
      <c r="AN30" s="45">
        <f t="shared" si="1"/>
        <v>0.18461538461538463</v>
      </c>
    </row>
    <row r="31" spans="1:40">
      <c r="A31" s="19">
        <v>45078</v>
      </c>
      <c r="B31" s="24">
        <v>176.76397</v>
      </c>
      <c r="D31" s="22"/>
      <c r="E31" s="22"/>
      <c r="F31" s="22"/>
      <c r="G31" s="22"/>
      <c r="H31" s="22"/>
      <c r="I31" s="22"/>
      <c r="J31" s="22"/>
      <c r="K31" s="33"/>
      <c r="L31" s="22"/>
      <c r="M31" s="22">
        <v>31</v>
      </c>
      <c r="N31" s="22"/>
      <c r="O31" s="22"/>
      <c r="P31" s="22"/>
      <c r="Q31" s="22"/>
      <c r="R31" s="22"/>
      <c r="S31" s="22"/>
      <c r="T31" s="33"/>
      <c r="U31" s="22"/>
      <c r="V31" s="22">
        <v>28</v>
      </c>
      <c r="W31" s="22">
        <v>29</v>
      </c>
      <c r="X31" s="22">
        <v>30</v>
      </c>
      <c r="Y31" s="22"/>
      <c r="Z31" s="22"/>
      <c r="AA31" s="22"/>
      <c r="AB31" s="22"/>
      <c r="AC31" s="33"/>
      <c r="AE31" s="42"/>
      <c r="AF31" s="42"/>
      <c r="AG31" s="46"/>
      <c r="AI31" s="43">
        <v>26</v>
      </c>
      <c r="AJ31" s="43">
        <v>26</v>
      </c>
      <c r="AK31" s="44">
        <f t="shared" si="2"/>
        <v>45836</v>
      </c>
      <c r="AL31" s="45">
        <v>0.22564102564102564</v>
      </c>
      <c r="AM31" s="45">
        <f t="shared" si="3"/>
        <v>1.8803418803418806E-2</v>
      </c>
      <c r="AN31" s="45">
        <f t="shared" si="1"/>
        <v>0.22564102564102564</v>
      </c>
    </row>
    <row r="32" spans="1:40">
      <c r="A32" s="19">
        <v>45108</v>
      </c>
      <c r="B32" s="24">
        <v>136.98239803636579</v>
      </c>
      <c r="D32" s="29"/>
      <c r="E32" s="29"/>
      <c r="F32" s="29"/>
      <c r="H32" s="29"/>
      <c r="I32" s="29"/>
      <c r="J32" s="29"/>
      <c r="K32" s="29"/>
      <c r="L32" s="29"/>
      <c r="M32" s="29"/>
      <c r="N32" s="29"/>
      <c r="O32" s="29"/>
      <c r="P32" s="29"/>
      <c r="Q32" s="29"/>
      <c r="R32" s="29"/>
      <c r="S32" s="29"/>
      <c r="T32" s="29"/>
      <c r="U32" s="29"/>
      <c r="V32" s="29"/>
      <c r="W32" s="29"/>
      <c r="X32" s="29"/>
      <c r="Y32" s="29"/>
      <c r="Z32" s="29"/>
      <c r="AA32" s="29"/>
      <c r="AB32" s="29"/>
      <c r="AC32" s="29"/>
      <c r="AE32" s="42"/>
      <c r="AF32" s="42"/>
      <c r="AG32" s="46"/>
      <c r="AI32" s="43">
        <v>27</v>
      </c>
      <c r="AJ32" s="43">
        <v>30</v>
      </c>
      <c r="AK32" s="44">
        <f t="shared" si="2"/>
        <v>45843</v>
      </c>
      <c r="AL32" s="45">
        <v>0.22499999999999998</v>
      </c>
      <c r="AM32" s="45">
        <f t="shared" si="3"/>
        <v>1.8749999999999999E-2</v>
      </c>
      <c r="AN32" s="45">
        <f t="shared" si="1"/>
        <v>0.22500000000000003</v>
      </c>
    </row>
    <row r="33" spans="1:40">
      <c r="A33" s="19">
        <v>45139</v>
      </c>
      <c r="B33" s="24">
        <v>143.95884000000001</v>
      </c>
      <c r="D33" s="28" t="s">
        <v>4107</v>
      </c>
      <c r="E33" s="28"/>
      <c r="F33" s="28"/>
      <c r="G33" s="28"/>
      <c r="H33" s="28"/>
      <c r="I33" s="28"/>
      <c r="J33" s="28"/>
      <c r="K33" s="28"/>
      <c r="L33" s="29"/>
      <c r="M33" s="28" t="s">
        <v>4108</v>
      </c>
      <c r="N33" s="28"/>
      <c r="O33" s="28"/>
      <c r="P33" s="28"/>
      <c r="Q33" s="28"/>
      <c r="R33" s="28"/>
      <c r="S33" s="28"/>
      <c r="T33" s="28"/>
      <c r="U33" s="29"/>
      <c r="V33" s="28" t="s">
        <v>4109</v>
      </c>
      <c r="W33" s="28"/>
      <c r="X33" s="28"/>
      <c r="Y33" s="28"/>
      <c r="Z33" s="28"/>
      <c r="AA33" s="28"/>
      <c r="AB33" s="28"/>
      <c r="AC33" s="28"/>
      <c r="AE33" s="42"/>
      <c r="AF33" s="42"/>
      <c r="AG33" s="46"/>
      <c r="AI33" s="43">
        <v>28</v>
      </c>
      <c r="AJ33" s="43">
        <v>30</v>
      </c>
      <c r="AK33" s="44">
        <f t="shared" si="2"/>
        <v>45850</v>
      </c>
      <c r="AL33" s="45">
        <v>0.27499999999999997</v>
      </c>
      <c r="AM33" s="45">
        <f t="shared" si="3"/>
        <v>2.2916666666666669E-2</v>
      </c>
      <c r="AN33" s="45">
        <f t="shared" si="1"/>
        <v>0.27500000000000002</v>
      </c>
    </row>
    <row r="34" spans="1:40">
      <c r="A34" s="19">
        <v>45170</v>
      </c>
      <c r="B34" s="24">
        <v>169.17141700000002</v>
      </c>
      <c r="D34" s="32" t="s">
        <v>4090</v>
      </c>
      <c r="E34" s="32" t="s">
        <v>4091</v>
      </c>
      <c r="F34" s="32" t="s">
        <v>4092</v>
      </c>
      <c r="G34" s="32" t="s">
        <v>4093</v>
      </c>
      <c r="H34" s="32" t="s">
        <v>4092</v>
      </c>
      <c r="I34" s="32" t="s">
        <v>4094</v>
      </c>
      <c r="J34" s="32" t="s">
        <v>4090</v>
      </c>
      <c r="K34" s="33" t="s">
        <v>4095</v>
      </c>
      <c r="L34" s="22"/>
      <c r="M34" s="32" t="s">
        <v>4090</v>
      </c>
      <c r="N34" s="32" t="s">
        <v>4091</v>
      </c>
      <c r="O34" s="32" t="s">
        <v>4092</v>
      </c>
      <c r="P34" s="32" t="s">
        <v>4093</v>
      </c>
      <c r="Q34" s="32" t="s">
        <v>4092</v>
      </c>
      <c r="R34" s="32" t="s">
        <v>4094</v>
      </c>
      <c r="S34" s="32" t="s">
        <v>4090</v>
      </c>
      <c r="T34" s="33" t="s">
        <v>4095</v>
      </c>
      <c r="U34" s="22"/>
      <c r="V34" s="32" t="s">
        <v>4090</v>
      </c>
      <c r="W34" s="32" t="s">
        <v>4091</v>
      </c>
      <c r="X34" s="32" t="s">
        <v>4092</v>
      </c>
      <c r="Y34" s="32" t="s">
        <v>4093</v>
      </c>
      <c r="Z34" s="32" t="s">
        <v>4092</v>
      </c>
      <c r="AA34" s="32" t="s">
        <v>4094</v>
      </c>
      <c r="AB34" s="32" t="s">
        <v>4090</v>
      </c>
      <c r="AC34" s="33" t="s">
        <v>4095</v>
      </c>
      <c r="AE34" s="42"/>
      <c r="AF34" s="42"/>
      <c r="AG34" s="46"/>
      <c r="AI34" s="43">
        <v>29</v>
      </c>
      <c r="AJ34" s="43">
        <v>30</v>
      </c>
      <c r="AK34" s="44">
        <f t="shared" si="2"/>
        <v>45857</v>
      </c>
      <c r="AL34" s="45">
        <v>0.22499999999999998</v>
      </c>
      <c r="AM34" s="45">
        <f t="shared" si="3"/>
        <v>1.8749999999999999E-2</v>
      </c>
      <c r="AN34" s="45">
        <f t="shared" si="1"/>
        <v>0.22500000000000003</v>
      </c>
    </row>
    <row r="35" spans="1:40">
      <c r="A35" s="19">
        <v>45200</v>
      </c>
      <c r="B35" s="24">
        <v>146.97331199999999</v>
      </c>
      <c r="D35" s="34" t="s">
        <v>4097</v>
      </c>
      <c r="E35" s="35">
        <v>4</v>
      </c>
      <c r="F35" s="34" t="s">
        <v>4098</v>
      </c>
      <c r="G35" s="36"/>
      <c r="H35" s="35">
        <v>18</v>
      </c>
      <c r="I35" s="29"/>
      <c r="J35" s="29"/>
      <c r="K35" s="37">
        <v>145.84707646176912</v>
      </c>
      <c r="L35" s="29"/>
      <c r="M35" s="34" t="s">
        <v>4097</v>
      </c>
      <c r="N35" s="35">
        <v>4</v>
      </c>
      <c r="O35" s="34" t="s">
        <v>4098</v>
      </c>
      <c r="P35" s="36"/>
      <c r="Q35" s="35">
        <v>18</v>
      </c>
      <c r="R35" s="29"/>
      <c r="S35" s="29"/>
      <c r="T35" s="37">
        <v>145.84707646176912</v>
      </c>
      <c r="U35" s="29"/>
      <c r="V35" s="34" t="s">
        <v>4097</v>
      </c>
      <c r="W35" s="35">
        <v>5</v>
      </c>
      <c r="X35" s="34" t="s">
        <v>4098</v>
      </c>
      <c r="Y35" s="36"/>
      <c r="Z35" s="35">
        <v>19</v>
      </c>
      <c r="AA35" s="29"/>
      <c r="AB35" s="29"/>
      <c r="AC35" s="33">
        <v>154.96251874062969</v>
      </c>
      <c r="AE35" s="42"/>
      <c r="AF35" s="42"/>
      <c r="AG35" s="42"/>
      <c r="AI35" s="43">
        <v>30</v>
      </c>
      <c r="AJ35" s="43">
        <v>30</v>
      </c>
      <c r="AK35" s="44">
        <f t="shared" si="2"/>
        <v>45864</v>
      </c>
      <c r="AL35" s="45">
        <v>0.27499999999999997</v>
      </c>
      <c r="AM35" s="45">
        <f t="shared" si="3"/>
        <v>2.2916666666666669E-2</v>
      </c>
      <c r="AN35" s="45">
        <f t="shared" si="1"/>
        <v>0.27500000000000002</v>
      </c>
    </row>
    <row r="36" spans="1:40">
      <c r="A36" s="19">
        <v>45231</v>
      </c>
      <c r="B36" s="24">
        <v>141.114476</v>
      </c>
      <c r="D36" s="22"/>
      <c r="E36" s="22"/>
      <c r="F36" s="22"/>
      <c r="G36" s="22">
        <v>1</v>
      </c>
      <c r="H36" s="22">
        <v>2</v>
      </c>
      <c r="I36" s="22">
        <v>3</v>
      </c>
      <c r="J36" s="22">
        <v>4</v>
      </c>
      <c r="K36" s="33">
        <v>40.107946026986504</v>
      </c>
      <c r="L36" s="22"/>
      <c r="M36" s="22"/>
      <c r="N36" s="22"/>
      <c r="O36" s="22"/>
      <c r="P36" s="22"/>
      <c r="Q36" s="22"/>
      <c r="R36" s="22"/>
      <c r="S36" s="22">
        <v>1</v>
      </c>
      <c r="T36" s="33">
        <v>40.107946026986504</v>
      </c>
      <c r="U36" s="22"/>
      <c r="V36" s="22"/>
      <c r="W36" s="22"/>
      <c r="X36" s="22"/>
      <c r="Y36" s="22"/>
      <c r="Z36" s="22"/>
      <c r="AA36" s="22"/>
      <c r="AB36" s="22"/>
      <c r="AC36" s="33">
        <v>24.611694152923537</v>
      </c>
      <c r="AE36" s="42">
        <f>K36/$K$35</f>
        <v>0.27499999999999997</v>
      </c>
      <c r="AF36" s="42">
        <f>T36/$T$35</f>
        <v>0.27499999999999997</v>
      </c>
      <c r="AG36" s="42">
        <f>AC36/$AC$35</f>
        <v>0.1588235294117647</v>
      </c>
      <c r="AH36" s="31"/>
      <c r="AI36" s="43">
        <v>31</v>
      </c>
      <c r="AJ36" s="43">
        <v>34</v>
      </c>
      <c r="AK36" s="44">
        <f t="shared" si="2"/>
        <v>45871</v>
      </c>
      <c r="AL36" s="45">
        <v>0.22499999999999998</v>
      </c>
      <c r="AM36" s="45">
        <f t="shared" si="3"/>
        <v>1.8749999999999999E-2</v>
      </c>
      <c r="AN36" s="45">
        <f t="shared" si="1"/>
        <v>0.22500000000000003</v>
      </c>
    </row>
    <row r="37" spans="1:40">
      <c r="A37" s="19">
        <v>45261</v>
      </c>
      <c r="B37" s="24">
        <v>139.19186000000002</v>
      </c>
      <c r="D37" s="22">
        <v>5</v>
      </c>
      <c r="E37" s="22">
        <v>6</v>
      </c>
      <c r="F37" s="22">
        <v>7</v>
      </c>
      <c r="G37" s="22">
        <v>8</v>
      </c>
      <c r="H37" s="22">
        <v>9</v>
      </c>
      <c r="I37" s="40">
        <v>10</v>
      </c>
      <c r="J37" s="22">
        <v>11</v>
      </c>
      <c r="K37" s="33">
        <v>32.815592203898049</v>
      </c>
      <c r="L37" s="22"/>
      <c r="M37" s="22">
        <v>2</v>
      </c>
      <c r="N37" s="22">
        <v>3</v>
      </c>
      <c r="O37" s="22">
        <v>4</v>
      </c>
      <c r="P37" s="22">
        <v>5</v>
      </c>
      <c r="Q37" s="22">
        <v>6</v>
      </c>
      <c r="R37" s="40">
        <v>7</v>
      </c>
      <c r="S37" s="22">
        <v>8</v>
      </c>
      <c r="T37" s="33">
        <v>32.815592203898049</v>
      </c>
      <c r="U37" s="22"/>
      <c r="V37" s="22"/>
      <c r="W37" s="22">
        <v>1</v>
      </c>
      <c r="X37" s="22">
        <v>2</v>
      </c>
      <c r="Y37" s="22">
        <v>3</v>
      </c>
      <c r="Z37" s="22">
        <v>4</v>
      </c>
      <c r="AA37" s="40">
        <v>5</v>
      </c>
      <c r="AB37" s="22">
        <v>6</v>
      </c>
      <c r="AC37" s="33">
        <v>32.815592203898049</v>
      </c>
      <c r="AE37" s="42">
        <f>K37/$K$35</f>
        <v>0.22499999999999998</v>
      </c>
      <c r="AF37" s="42">
        <f>T37/$T$35</f>
        <v>0.22499999999999998</v>
      </c>
      <c r="AG37" s="42">
        <f>AC37/$AC$35</f>
        <v>0.21176470588235291</v>
      </c>
      <c r="AH37" s="31"/>
      <c r="AI37" s="43">
        <v>32</v>
      </c>
      <c r="AJ37" s="43">
        <v>34</v>
      </c>
      <c r="AK37" s="44">
        <f t="shared" si="2"/>
        <v>45878</v>
      </c>
      <c r="AL37" s="45">
        <v>0.27499999999999997</v>
      </c>
      <c r="AM37" s="45">
        <f t="shared" si="3"/>
        <v>2.2916666666666669E-2</v>
      </c>
      <c r="AN37" s="45">
        <f t="shared" si="1"/>
        <v>0.27500000000000002</v>
      </c>
    </row>
    <row r="38" spans="1:40">
      <c r="A38" s="19">
        <v>45292</v>
      </c>
      <c r="B38" s="24">
        <v>137.1</v>
      </c>
      <c r="D38" s="22">
        <v>12</v>
      </c>
      <c r="E38" s="22">
        <v>13</v>
      </c>
      <c r="F38" s="22">
        <v>14</v>
      </c>
      <c r="G38" s="22">
        <v>15</v>
      </c>
      <c r="H38" s="22">
        <v>16</v>
      </c>
      <c r="I38" s="22">
        <v>17</v>
      </c>
      <c r="J38" s="22">
        <v>18</v>
      </c>
      <c r="K38" s="33">
        <v>40.107946026986504</v>
      </c>
      <c r="L38" s="22"/>
      <c r="M38" s="22">
        <v>9</v>
      </c>
      <c r="N38" s="22">
        <v>10</v>
      </c>
      <c r="O38" s="22">
        <v>11</v>
      </c>
      <c r="P38" s="22">
        <v>12</v>
      </c>
      <c r="Q38" s="22">
        <v>13</v>
      </c>
      <c r="R38" s="22">
        <v>14</v>
      </c>
      <c r="S38" s="22">
        <v>15</v>
      </c>
      <c r="T38" s="33">
        <v>40.107946026986504</v>
      </c>
      <c r="U38" s="22"/>
      <c r="V38" s="22">
        <v>7</v>
      </c>
      <c r="W38" s="22">
        <v>8</v>
      </c>
      <c r="X38" s="22">
        <v>9</v>
      </c>
      <c r="Y38" s="22">
        <v>10</v>
      </c>
      <c r="Z38" s="22">
        <v>11</v>
      </c>
      <c r="AA38" s="22">
        <v>12</v>
      </c>
      <c r="AB38" s="22">
        <v>13</v>
      </c>
      <c r="AC38" s="33">
        <v>40.107946026986504</v>
      </c>
      <c r="AE38" s="42">
        <f>K38/$K$35</f>
        <v>0.27499999999999997</v>
      </c>
      <c r="AF38" s="42">
        <f>T38/$T$35</f>
        <v>0.27499999999999997</v>
      </c>
      <c r="AG38" s="42">
        <f>AC38/$AC$35</f>
        <v>0.25882352941176467</v>
      </c>
      <c r="AH38" s="31"/>
      <c r="AI38" s="43">
        <v>33</v>
      </c>
      <c r="AJ38" s="43">
        <v>34</v>
      </c>
      <c r="AK38" s="44">
        <f t="shared" si="2"/>
        <v>45885</v>
      </c>
      <c r="AL38" s="45">
        <v>0.22499999999999998</v>
      </c>
      <c r="AM38" s="45">
        <f t="shared" si="3"/>
        <v>1.8749999999999999E-2</v>
      </c>
      <c r="AN38" s="45">
        <f t="shared" si="1"/>
        <v>0.22500000000000003</v>
      </c>
    </row>
    <row r="39" spans="1:40">
      <c r="A39" s="19">
        <v>45323</v>
      </c>
      <c r="B39" s="24">
        <v>145.30000000000001</v>
      </c>
      <c r="D39" s="22">
        <v>19</v>
      </c>
      <c r="E39" s="22">
        <v>20</v>
      </c>
      <c r="F39" s="22">
        <v>21</v>
      </c>
      <c r="G39" s="22">
        <v>22</v>
      </c>
      <c r="H39" s="22">
        <v>23</v>
      </c>
      <c r="I39" s="40">
        <v>24</v>
      </c>
      <c r="J39" s="22">
        <v>25</v>
      </c>
      <c r="K39" s="33">
        <v>32.815592203898049</v>
      </c>
      <c r="L39" s="22"/>
      <c r="M39" s="22">
        <v>16</v>
      </c>
      <c r="N39" s="22">
        <v>17</v>
      </c>
      <c r="O39" s="22">
        <v>18</v>
      </c>
      <c r="P39" s="22">
        <v>19</v>
      </c>
      <c r="Q39" s="22">
        <v>20</v>
      </c>
      <c r="R39" s="40">
        <v>21</v>
      </c>
      <c r="S39" s="22">
        <v>22</v>
      </c>
      <c r="T39" s="33">
        <v>32.815592203898049</v>
      </c>
      <c r="U39" s="22"/>
      <c r="V39" s="22">
        <v>14</v>
      </c>
      <c r="W39" s="22">
        <v>15</v>
      </c>
      <c r="X39" s="22">
        <v>16</v>
      </c>
      <c r="Y39" s="22">
        <v>17</v>
      </c>
      <c r="Z39" s="22">
        <v>18</v>
      </c>
      <c r="AA39" s="40">
        <v>19</v>
      </c>
      <c r="AB39" s="22">
        <v>20</v>
      </c>
      <c r="AC39" s="33">
        <v>32.815592203898049</v>
      </c>
      <c r="AE39" s="42">
        <f>K39/$K$35</f>
        <v>0.22499999999999998</v>
      </c>
      <c r="AF39" s="42">
        <f>T39/$T$35</f>
        <v>0.22499999999999998</v>
      </c>
      <c r="AG39" s="42">
        <f>AC39/$AC$35</f>
        <v>0.21176470588235291</v>
      </c>
      <c r="AH39" s="31"/>
      <c r="AI39" s="43">
        <v>34</v>
      </c>
      <c r="AJ39" s="43">
        <v>34</v>
      </c>
      <c r="AK39" s="44">
        <f t="shared" si="2"/>
        <v>45892</v>
      </c>
      <c r="AL39" s="45">
        <v>0.27499999999999997</v>
      </c>
      <c r="AM39" s="45">
        <f t="shared" si="3"/>
        <v>2.2916666666666669E-2</v>
      </c>
      <c r="AN39" s="45">
        <f t="shared" si="1"/>
        <v>0.27500000000000002</v>
      </c>
    </row>
    <row r="40" spans="1:40">
      <c r="A40" s="19">
        <v>45352</v>
      </c>
      <c r="B40" s="24">
        <v>178</v>
      </c>
      <c r="D40" s="22">
        <v>26</v>
      </c>
      <c r="E40" s="22">
        <v>27</v>
      </c>
      <c r="F40" s="22">
        <v>28</v>
      </c>
      <c r="G40" s="22">
        <v>29</v>
      </c>
      <c r="H40" s="22">
        <v>30</v>
      </c>
      <c r="I40" s="22">
        <v>31</v>
      </c>
      <c r="J40" s="22"/>
      <c r="K40" s="33"/>
      <c r="L40" s="22"/>
      <c r="M40" s="22">
        <v>23</v>
      </c>
      <c r="N40" s="22">
        <v>24</v>
      </c>
      <c r="O40" s="22">
        <v>25</v>
      </c>
      <c r="P40" s="22">
        <v>26</v>
      </c>
      <c r="Q40" s="22">
        <v>27</v>
      </c>
      <c r="R40" s="22">
        <v>28</v>
      </c>
      <c r="S40" s="22">
        <v>29</v>
      </c>
      <c r="T40" s="33"/>
      <c r="U40" s="22"/>
      <c r="V40" s="22">
        <v>21</v>
      </c>
      <c r="W40" s="22">
        <v>22</v>
      </c>
      <c r="X40" s="22">
        <v>23</v>
      </c>
      <c r="Y40" s="22">
        <v>24</v>
      </c>
      <c r="Z40" s="22">
        <v>25</v>
      </c>
      <c r="AA40" s="22">
        <v>26</v>
      </c>
      <c r="AB40" s="22">
        <v>27</v>
      </c>
      <c r="AC40" s="33">
        <v>24.611694152923537</v>
      </c>
      <c r="AE40" s="42"/>
      <c r="AF40" s="42"/>
      <c r="AG40" s="42">
        <f>AC40/$AC$35</f>
        <v>0.1588235294117647</v>
      </c>
      <c r="AH40" s="31"/>
      <c r="AI40" s="43">
        <v>35</v>
      </c>
      <c r="AJ40" s="43">
        <v>39</v>
      </c>
      <c r="AK40" s="44">
        <f t="shared" si="2"/>
        <v>45899</v>
      </c>
      <c r="AL40" s="45">
        <v>0.19251336898395721</v>
      </c>
      <c r="AM40" s="45">
        <f t="shared" si="3"/>
        <v>1.6042780748663103E-2</v>
      </c>
      <c r="AN40" s="45">
        <f t="shared" si="1"/>
        <v>0.19251336898395724</v>
      </c>
    </row>
    <row r="41" spans="1:40">
      <c r="A41" s="19">
        <v>45383</v>
      </c>
      <c r="B41" s="24">
        <v>145.30000000000001</v>
      </c>
      <c r="D41" s="22"/>
      <c r="E41" s="22"/>
      <c r="F41" s="22"/>
      <c r="G41" s="22"/>
      <c r="H41" s="22"/>
      <c r="I41" s="22"/>
      <c r="J41" s="22"/>
      <c r="K41" s="33"/>
      <c r="L41" s="22"/>
      <c r="M41" s="22">
        <v>30</v>
      </c>
      <c r="N41" s="22"/>
      <c r="O41" s="22"/>
      <c r="P41" s="22"/>
      <c r="Q41" s="22"/>
      <c r="R41" s="22"/>
      <c r="S41" s="22"/>
      <c r="T41" s="33"/>
      <c r="U41" s="22"/>
      <c r="V41" s="22">
        <v>28</v>
      </c>
      <c r="W41" s="22">
        <v>29</v>
      </c>
      <c r="X41" s="22">
        <v>30</v>
      </c>
      <c r="Y41" s="22">
        <v>31</v>
      </c>
      <c r="Z41" s="22"/>
      <c r="AA41" s="22"/>
      <c r="AB41" s="22"/>
      <c r="AC41" s="33">
        <v>0</v>
      </c>
      <c r="AE41" s="42"/>
      <c r="AF41" s="42"/>
      <c r="AG41" s="46"/>
      <c r="AI41" s="43">
        <v>36</v>
      </c>
      <c r="AJ41" s="43">
        <v>39</v>
      </c>
      <c r="AK41" s="44">
        <f t="shared" si="2"/>
        <v>45906</v>
      </c>
      <c r="AL41" s="45">
        <v>0.18716577540106952</v>
      </c>
      <c r="AM41" s="45">
        <f t="shared" si="3"/>
        <v>1.5597147950089129E-2</v>
      </c>
      <c r="AN41" s="45">
        <f t="shared" si="1"/>
        <v>0.18716577540106955</v>
      </c>
    </row>
    <row r="42" spans="1:40">
      <c r="A42" s="19">
        <v>45413</v>
      </c>
      <c r="B42" s="24">
        <v>145.30000000000001</v>
      </c>
      <c r="AI42" s="43">
        <v>37</v>
      </c>
      <c r="AJ42" s="43">
        <v>39</v>
      </c>
      <c r="AK42" s="44">
        <f t="shared" si="2"/>
        <v>45913</v>
      </c>
      <c r="AL42" s="45">
        <v>0.19251336898395721</v>
      </c>
      <c r="AM42" s="45">
        <f t="shared" si="3"/>
        <v>1.6042780748663103E-2</v>
      </c>
      <c r="AN42" s="45">
        <f t="shared" si="1"/>
        <v>0.19251336898395724</v>
      </c>
    </row>
    <row r="43" spans="1:40">
      <c r="A43" s="19">
        <v>45444</v>
      </c>
      <c r="B43" s="24">
        <v>177</v>
      </c>
      <c r="D43" s="48"/>
      <c r="T43" s="49"/>
      <c r="AI43" s="43">
        <v>38</v>
      </c>
      <c r="AJ43" s="43">
        <v>39</v>
      </c>
      <c r="AK43" s="44">
        <f t="shared" si="2"/>
        <v>45920</v>
      </c>
      <c r="AL43" s="45">
        <v>0.23529411764705882</v>
      </c>
      <c r="AM43" s="45">
        <f t="shared" si="3"/>
        <v>1.9607843137254905E-2</v>
      </c>
      <c r="AN43" s="45">
        <f t="shared" si="1"/>
        <v>0.23529411764705885</v>
      </c>
    </row>
    <row r="44" spans="1:40">
      <c r="A44" s="19">
        <v>45474</v>
      </c>
      <c r="B44" s="24">
        <v>137.1</v>
      </c>
      <c r="AI44" s="43">
        <v>39</v>
      </c>
      <c r="AJ44" s="43">
        <v>39</v>
      </c>
      <c r="AK44" s="44">
        <f t="shared" si="2"/>
        <v>45927</v>
      </c>
      <c r="AL44" s="45">
        <v>0.19251336898395721</v>
      </c>
      <c r="AM44" s="45">
        <f t="shared" si="3"/>
        <v>1.6042780748663103E-2</v>
      </c>
      <c r="AN44" s="45">
        <f t="shared" si="1"/>
        <v>0.19251336898395724</v>
      </c>
    </row>
    <row r="45" spans="1:40">
      <c r="A45" s="19">
        <v>45505</v>
      </c>
      <c r="B45" s="24">
        <v>145.30000000000001</v>
      </c>
      <c r="AI45" s="43">
        <v>40</v>
      </c>
      <c r="AJ45" s="43">
        <v>43</v>
      </c>
      <c r="AK45" s="44">
        <f t="shared" si="2"/>
        <v>45934</v>
      </c>
      <c r="AL45" s="45">
        <v>0.27499999999999997</v>
      </c>
      <c r="AM45" s="45">
        <f t="shared" si="3"/>
        <v>2.2916666666666669E-2</v>
      </c>
      <c r="AN45" s="45">
        <f t="shared" si="1"/>
        <v>0.27500000000000002</v>
      </c>
    </row>
    <row r="46" spans="1:40">
      <c r="A46" s="19">
        <v>45536</v>
      </c>
      <c r="B46" s="24">
        <v>169.8</v>
      </c>
      <c r="AI46" s="43">
        <v>41</v>
      </c>
      <c r="AJ46" s="43">
        <v>43</v>
      </c>
      <c r="AK46" s="44">
        <f t="shared" si="2"/>
        <v>45941</v>
      </c>
      <c r="AL46" s="45">
        <v>0.22499999999999998</v>
      </c>
      <c r="AM46" s="45">
        <f t="shared" si="3"/>
        <v>1.8749999999999999E-2</v>
      </c>
      <c r="AN46" s="45">
        <f t="shared" si="1"/>
        <v>0.22500000000000001</v>
      </c>
    </row>
    <row r="47" spans="1:40">
      <c r="A47" s="19">
        <v>45566</v>
      </c>
      <c r="B47" s="24">
        <v>145.30000000000001</v>
      </c>
      <c r="AI47" s="43">
        <v>42</v>
      </c>
      <c r="AJ47" s="43">
        <v>43</v>
      </c>
      <c r="AK47" s="44">
        <f t="shared" si="2"/>
        <v>45948</v>
      </c>
      <c r="AL47" s="45">
        <v>0.27499999999999997</v>
      </c>
      <c r="AM47" s="45">
        <f t="shared" si="3"/>
        <v>2.2916666666666669E-2</v>
      </c>
      <c r="AN47" s="45">
        <f t="shared" si="1"/>
        <v>0.27500000000000002</v>
      </c>
    </row>
    <row r="48" spans="1:40">
      <c r="A48" s="19">
        <v>45597</v>
      </c>
      <c r="B48" s="24">
        <v>145.30000000000001</v>
      </c>
      <c r="AI48" s="43">
        <v>43</v>
      </c>
      <c r="AJ48" s="43">
        <v>43</v>
      </c>
      <c r="AK48" s="44">
        <f t="shared" si="2"/>
        <v>45955</v>
      </c>
      <c r="AL48" s="45">
        <v>0.22499999999999998</v>
      </c>
      <c r="AM48" s="45">
        <f t="shared" si="3"/>
        <v>1.8749999999999999E-2</v>
      </c>
      <c r="AN48" s="45">
        <f t="shared" si="1"/>
        <v>0.22500000000000001</v>
      </c>
    </row>
    <row r="49" spans="1:40">
      <c r="A49" s="19">
        <v>45627</v>
      </c>
      <c r="B49" s="24">
        <v>153.4</v>
      </c>
      <c r="AI49" s="43">
        <v>44</v>
      </c>
      <c r="AJ49" s="43">
        <v>47</v>
      </c>
      <c r="AK49" s="44">
        <f t="shared" si="2"/>
        <v>45962</v>
      </c>
      <c r="AL49" s="45">
        <v>0.27499999999999997</v>
      </c>
      <c r="AM49" s="45">
        <f t="shared" si="3"/>
        <v>2.2916666666666669E-2</v>
      </c>
      <c r="AN49" s="45">
        <f t="shared" si="1"/>
        <v>0.27500000000000002</v>
      </c>
    </row>
    <row r="50" spans="1:40">
      <c r="A50" s="19">
        <v>45658</v>
      </c>
      <c r="B50" s="24">
        <v>121.2</v>
      </c>
      <c r="AI50" s="43">
        <v>45</v>
      </c>
      <c r="AJ50" s="43">
        <v>47</v>
      </c>
      <c r="AK50" s="44">
        <f t="shared" si="2"/>
        <v>45969</v>
      </c>
      <c r="AL50" s="45">
        <v>0.22499999999999998</v>
      </c>
      <c r="AM50" s="45">
        <f t="shared" si="3"/>
        <v>1.8749999999999999E-2</v>
      </c>
      <c r="AN50" s="45">
        <f t="shared" si="1"/>
        <v>0.22500000000000001</v>
      </c>
    </row>
    <row r="51" spans="1:40">
      <c r="A51" s="19">
        <v>45689</v>
      </c>
      <c r="B51" s="24">
        <v>145.80000000000001</v>
      </c>
      <c r="AI51" s="43">
        <v>46</v>
      </c>
      <c r="AJ51" s="43">
        <v>47</v>
      </c>
      <c r="AK51" s="44">
        <f t="shared" si="2"/>
        <v>45976</v>
      </c>
      <c r="AL51" s="45">
        <v>0.27499999999999997</v>
      </c>
      <c r="AM51" s="45">
        <f t="shared" si="3"/>
        <v>2.2916666666666669E-2</v>
      </c>
      <c r="AN51" s="45">
        <f t="shared" si="1"/>
        <v>0.27500000000000002</v>
      </c>
    </row>
    <row r="52" spans="1:40">
      <c r="A52" s="19">
        <v>45717</v>
      </c>
      <c r="B52" s="24">
        <v>178.7</v>
      </c>
      <c r="AI52" s="43">
        <v>47</v>
      </c>
      <c r="AJ52" s="43">
        <v>47</v>
      </c>
      <c r="AK52" s="44">
        <f t="shared" si="2"/>
        <v>45983</v>
      </c>
      <c r="AL52" s="45">
        <v>0.22499999999999998</v>
      </c>
      <c r="AM52" s="45">
        <f t="shared" si="3"/>
        <v>1.8749999999999999E-2</v>
      </c>
      <c r="AN52" s="45">
        <f t="shared" si="1"/>
        <v>0.22500000000000001</v>
      </c>
    </row>
    <row r="53" spans="1:40">
      <c r="A53" s="19">
        <v>45748</v>
      </c>
      <c r="B53" s="24">
        <v>145.80000000000001</v>
      </c>
      <c r="AI53" s="43">
        <v>48</v>
      </c>
      <c r="AJ53" s="43">
        <v>52</v>
      </c>
      <c r="AK53" s="44">
        <f t="shared" si="2"/>
        <v>45990</v>
      </c>
      <c r="AL53" s="45">
        <v>0.1588235294117647</v>
      </c>
      <c r="AM53" s="45">
        <f t="shared" si="3"/>
        <v>1.323529411764706E-2</v>
      </c>
      <c r="AN53" s="45">
        <f t="shared" si="1"/>
        <v>0.15882352941176472</v>
      </c>
    </row>
    <row r="54" spans="1:40">
      <c r="A54" s="19">
        <v>45778</v>
      </c>
      <c r="B54" s="24">
        <v>145.80000000000001</v>
      </c>
      <c r="AI54" s="43">
        <v>49</v>
      </c>
      <c r="AJ54" s="43">
        <v>52</v>
      </c>
      <c r="AK54" s="44">
        <f t="shared" si="2"/>
        <v>45997</v>
      </c>
      <c r="AL54" s="45">
        <v>0.21176470588235291</v>
      </c>
      <c r="AM54" s="45">
        <f t="shared" si="3"/>
        <v>1.7647058823529412E-2</v>
      </c>
      <c r="AN54" s="45">
        <f t="shared" si="1"/>
        <v>0.21176470588235294</v>
      </c>
    </row>
    <row r="55" spans="1:40">
      <c r="A55" s="19">
        <v>45809</v>
      </c>
      <c r="B55" s="24">
        <v>177.8</v>
      </c>
      <c r="AI55" s="43">
        <v>50</v>
      </c>
      <c r="AJ55" s="43">
        <v>52</v>
      </c>
      <c r="AK55" s="44">
        <f t="shared" si="2"/>
        <v>46004</v>
      </c>
      <c r="AL55" s="45">
        <v>0.25882352941176467</v>
      </c>
      <c r="AM55" s="45">
        <f t="shared" si="3"/>
        <v>2.1568627450980392E-2</v>
      </c>
      <c r="AN55" s="45">
        <f t="shared" si="1"/>
        <v>0.25882352941176473</v>
      </c>
    </row>
    <row r="56" spans="1:40">
      <c r="A56" s="19">
        <v>45839</v>
      </c>
      <c r="B56" s="24">
        <v>145.80000000000001</v>
      </c>
      <c r="AI56" s="43">
        <v>51</v>
      </c>
      <c r="AJ56" s="43">
        <v>52</v>
      </c>
      <c r="AK56" s="44">
        <f t="shared" si="2"/>
        <v>46011</v>
      </c>
      <c r="AL56" s="45">
        <v>0.21176470588235291</v>
      </c>
      <c r="AM56" s="45">
        <f t="shared" si="3"/>
        <v>1.7647058823529412E-2</v>
      </c>
      <c r="AN56" s="45">
        <f t="shared" si="1"/>
        <v>0.21176470588235294</v>
      </c>
    </row>
    <row r="57" spans="1:40">
      <c r="A57" s="19">
        <v>45870</v>
      </c>
      <c r="B57" s="24">
        <v>145.80000000000001</v>
      </c>
      <c r="AI57" s="43">
        <v>52</v>
      </c>
      <c r="AJ57" s="43">
        <v>52</v>
      </c>
      <c r="AK57" s="44">
        <f t="shared" si="2"/>
        <v>46018</v>
      </c>
      <c r="AL57" s="45">
        <v>0.1588235294117647</v>
      </c>
      <c r="AM57" s="45">
        <f t="shared" si="3"/>
        <v>1.323529411764706E-2</v>
      </c>
      <c r="AN57" s="45">
        <f t="shared" si="1"/>
        <v>0.15882352941176472</v>
      </c>
    </row>
    <row r="58" spans="1:40">
      <c r="A58" s="19">
        <v>45901</v>
      </c>
      <c r="B58" s="24">
        <v>170.5</v>
      </c>
    </row>
    <row r="59" spans="1:40">
      <c r="A59" s="19">
        <v>45931</v>
      </c>
      <c r="B59" s="24">
        <v>145.80000000000001</v>
      </c>
    </row>
    <row r="60" spans="1:40">
      <c r="A60" s="19">
        <v>45962</v>
      </c>
      <c r="B60" s="24">
        <v>145.80000000000001</v>
      </c>
    </row>
    <row r="61" spans="1:40">
      <c r="A61" s="19">
        <v>45992</v>
      </c>
      <c r="B61" s="24">
        <v>155</v>
      </c>
    </row>
  </sheetData>
  <mergeCells count="3">
    <mergeCell ref="D1:AC1"/>
    <mergeCell ref="D2:AC2"/>
    <mergeCell ref="AM4:AN4"/>
  </mergeCells>
  <pageMargins left="0.7" right="0.7" top="0.75" bottom="0.75" header="0.3" footer="0.3"/>
  <pageSetup orientation="portrait" horizontalDpi="1200" verticalDpi="1200" r:id="rId1"/>
  <legacy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C61931E5587BD4D857FDA264B4D4426" ma:contentTypeVersion="14" ma:contentTypeDescription="Create a new document." ma:contentTypeScope="" ma:versionID="3ab9af944af6925c65a6770a3b00b386">
  <xsd:schema xmlns:xsd="http://www.w3.org/2001/XMLSchema" xmlns:xs="http://www.w3.org/2001/XMLSchema" xmlns:p="http://schemas.microsoft.com/office/2006/metadata/properties" xmlns:ns2="5a8aaf98-8ec5-4149-a09e-06826cef8f08" xmlns:ns3="b726b561-f27b-4aba-8b59-410dedf8a42f" targetNamespace="http://schemas.microsoft.com/office/2006/metadata/properties" ma:root="true" ma:fieldsID="60a340186ca77830a3428d489a4aa016" ns2:_="" ns3:_="">
    <xsd:import namespace="5a8aaf98-8ec5-4149-a09e-06826cef8f08"/>
    <xsd:import namespace="b726b561-f27b-4aba-8b59-410dedf8a42f"/>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a8aaf98-8ec5-4149-a09e-06826cef8f08"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20" nillable="true" ma:displayName="Taxonomy Catch All Column" ma:hidden="true" ma:list="{9e9d8ebd-88c7-41fd-91ab-d628df8cafd9}" ma:internalName="TaxCatchAll" ma:showField="CatchAllData" ma:web="5a8aaf98-8ec5-4149-a09e-06826cef8f08">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726b561-f27b-4aba-8b59-410dedf8a42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31e66014-0ed7-4bb2-b746-ad8c74ccc797"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5a8aaf98-8ec5-4149-a09e-06826cef8f08" xsi:nil="true"/>
    <lcf76f155ced4ddcb4097134ff3c332f xmlns="b726b561-f27b-4aba-8b59-410dedf8a42f">
      <Terms xmlns="http://schemas.microsoft.com/office/infopath/2007/PartnerControls"/>
    </lcf76f155ced4ddcb4097134ff3c332f>
    <_dlc_DocId xmlns="5a8aaf98-8ec5-4149-a09e-06826cef8f08">SECTOR-2116472989-4463</_dlc_DocId>
    <_dlc_DocIdUrl xmlns="5a8aaf98-8ec5-4149-a09e-06826cef8f08">
      <Url>https://ngc.sharepoint.us/sites/AS-Sector/NimbusTeam/_layouts/15/DocIdRedir.aspx?ID=SECTOR-2116472989-4463</Url>
      <Description>SECTOR-2116472989-4463</Description>
    </_dlc_DocIdUrl>
  </documentManagement>
</p:properties>
</file>

<file path=customXml/itemProps1.xml><?xml version="1.0" encoding="utf-8"?>
<ds:datastoreItem xmlns:ds="http://schemas.openxmlformats.org/officeDocument/2006/customXml" ds:itemID="{3E192510-9ECD-4398-8D0E-CB20996896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a8aaf98-8ec5-4149-a09e-06826cef8f08"/>
    <ds:schemaRef ds:uri="b726b561-f27b-4aba-8b59-410dedf8a4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3ADBEE7-C4D0-4063-BC89-268FB6B9EB40}">
  <ds:schemaRefs>
    <ds:schemaRef ds:uri="http://schemas.microsoft.com/sharepoint/events"/>
  </ds:schemaRefs>
</ds:datastoreItem>
</file>

<file path=customXml/itemProps3.xml><?xml version="1.0" encoding="utf-8"?>
<ds:datastoreItem xmlns:ds="http://schemas.openxmlformats.org/officeDocument/2006/customXml" ds:itemID="{3B6E5B4A-6264-427E-96A1-856DA322BC57}">
  <ds:schemaRefs>
    <ds:schemaRef ds:uri="http://schemas.microsoft.com/sharepoint/v3/contenttype/forms"/>
  </ds:schemaRefs>
</ds:datastoreItem>
</file>

<file path=customXml/itemProps4.xml><?xml version="1.0" encoding="utf-8"?>
<ds:datastoreItem xmlns:ds="http://schemas.openxmlformats.org/officeDocument/2006/customXml" ds:itemID="{635CCB74-8558-4C48-AAF2-13CDD0D19AE3}">
  <ds:schemaRefs>
    <ds:schemaRef ds:uri="http://schemas.microsoft.com/office/2006/metadata/properties"/>
    <ds:schemaRef ds:uri="http://schemas.microsoft.com/office/infopath/2007/PartnerControls"/>
    <ds:schemaRef ds:uri="5a8aaf98-8ec5-4149-a09e-06826cef8f08"/>
    <ds:schemaRef ds:uri="b726b561-f27b-4aba-8b59-410dedf8a42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CleanData</vt:lpstr>
      <vt:lpstr>SuppCodes</vt:lpstr>
      <vt:lpstr>EP by Function</vt:lpstr>
      <vt:lpstr>PromoTable</vt:lpstr>
      <vt:lpstr>Promos_Stack_MonthX</vt:lpstr>
      <vt:lpstr>PIE</vt:lpstr>
      <vt:lpstr>Promotions</vt:lpstr>
      <vt:lpstr>Data</vt:lpstr>
      <vt:lpstr>MFC</vt:lpstr>
    </vt:vector>
  </TitlesOfParts>
  <Manager/>
  <Company>SAP AG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SAP WebAS</dc:creator>
  <cp:keywords/>
  <dc:description/>
  <cp:lastModifiedBy>Georgeson, Nick [US] (AS)</cp:lastModifiedBy>
  <cp:revision>1</cp:revision>
  <dcterms:created xsi:type="dcterms:W3CDTF">2025-07-26T17:43:23Z</dcterms:created>
  <dcterms:modified xsi:type="dcterms:W3CDTF">2025-07-30T18:02:08Z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0x0101006C61931E5587BD4D857FDA264B4D4426</vt:lpwstr>
  </property>
  <property fmtid="{D5CDD505-2E9C-101B-9397-08002B2CF9AE}" pid="3" name="_dlc_DocIdItemGuid">
    <vt:lpwstr>dd1b73cb-1a0c-4a56-97d0-79a5899874ac</vt:lpwstr>
  </property>
  <property fmtid="{D5CDD505-2E9C-101B-9397-08002B2CF9AE}" pid="4" name="MediaServiceImageTags">
    <vt:lpwstr/>
  </property>
</Properties>
</file>